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900"/>
  </bookViews>
  <sheets>
    <sheet name="Tab" sheetId="1" r:id="rId1"/>
    <sheet name="XLCubedFormats" sheetId="2" state="hidden" r:id="rId2"/>
  </sheets>
  <definedNames>
    <definedName name="_xlnm.Print_Area" localSheetId="0">Tab!$A$1:$E$291</definedName>
    <definedName name="_xlnm.Print_Titles" localSheetId="0">Tab!$19:$20</definedName>
    <definedName name="XL3DisableCameraObjects" hidden="1">XLCubedFormats!A1</definedName>
    <definedName name="XL3ObjLocationecae039a_ef51_44cf_84b1_206d0a3ea086">Tab!$A$11</definedName>
  </definedNames>
  <calcPr calcId="40001"/>
</workbook>
</file>

<file path=xl/sharedStrings.xml><?xml version="1.0" encoding="utf-8"?>
<sst xmlns="http://schemas.openxmlformats.org/spreadsheetml/2006/main" uniqueCount="114">
  <si>
    <t>Semester und Datenstichtag</t>
  </si>
  <si>
    <t xml:space="preserve">   Allgemeines Personal</t>
  </si>
  <si>
    <t>Universität</t>
  </si>
  <si>
    <t>Frauen</t>
  </si>
  <si>
    <t xml:space="preserve">   Wintersemester 2018 (Stichtag: 31.12.2018)</t>
  </si>
  <si>
    <t>Slicer Button Background</t>
  </si>
  <si>
    <t>Grid Title</t>
  </si>
  <si>
    <t>Oth Written Member</t>
  </si>
  <si>
    <t>Fill in Grid Name, Dimension or Both</t>
  </si>
  <si>
    <t>[ALLG Wertart].[Wertart]</t>
  </si>
  <si>
    <t xml:space="preserve">   Wintersemester 2011 (Stichtag: 31.12.2011)</t>
  </si>
  <si>
    <t xml:space="preserve">         darunter Krankenpflege im Rahmen einer öff. Krankenanstalt und Tierpflege in med. Einrichtungen</t>
  </si>
  <si>
    <t>All Marital Status</t>
  </si>
  <si>
    <t>Male</t>
  </si>
  <si>
    <t>Member1 Name</t>
  </si>
  <si>
    <t>Absolutwert</t>
  </si>
  <si>
    <t>Datenaufbereitung: bmfwf, Abt. I/10</t>
  </si>
  <si>
    <t>&lt;-- default Column Member Format</t>
  </si>
  <si>
    <t>Beschäftigungsausmaß in Prozent</t>
  </si>
  <si>
    <t>Stammpersonal an Universitäten - Köpfe</t>
  </si>
  <si>
    <t>Gesamt</t>
  </si>
  <si>
    <t xml:space="preserve">   Wintersemester 2013 (Stichtag: 31.12.2013)</t>
  </si>
  <si>
    <t xml:space="preserve">         Assistenzprofessorinnen und Assistenzprofessoren (KV) (UG-Karrierepfad)</t>
  </si>
  <si>
    <t>Alternate Rows</t>
  </si>
  <si>
    <t>&lt;--  writeable cell format</t>
  </si>
  <si>
    <t xml:space="preserve">      Äquivalente zu Professorinnen und Professoren</t>
  </si>
  <si>
    <t>11, 12, 12, 14, 16, 21, 23, 26, 27, 28, 40, 50, 60, 61, 62, 64, 65, 66, 70, 81, 82, 83, 84, 85, 86, 88, 87</t>
  </si>
  <si>
    <t xml:space="preserve">   Wintersemester 2007 (Stichtag: 31.12.2007)</t>
  </si>
  <si>
    <t xml:space="preserve">   Wintersemester 2021 (Stichtag: 31.12.2021)</t>
  </si>
  <si>
    <t xml:space="preserve">      wissenschaftliche und künstlerische Mitarbeiterinnen und Mitarbeiter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</si>
  <si>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</si>
  <si>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</si>
  <si>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</si>
  <si>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</si>
  <si>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</si>
  <si>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</si>
  <si>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 xml:space="preserve">         darunter Assistenzprofessorinnen und Assistenprofessoren (KV)</t>
  </si>
  <si>
    <t xml:space="preserve">Verwendungen 11, 12, 14, 16, 21, 23, 26, 27, 28, 40 bis 70, 81, 82, 83, 84, 85, 86, 87, 88 gemäß Z 3.6 der Anlage 9 UHSBV - </t>
  </si>
  <si>
    <t>Personal Universitäten</t>
  </si>
  <si>
    <t xml:space="preserve">         darunter über F&amp;E-Projekte drittfinanziertes allgemeines Personal</t>
  </si>
  <si>
    <t>Verwendungskategorien WBV</t>
  </si>
  <si>
    <t xml:space="preserve">   Wissenschaftliches und künstlerisches Personal</t>
  </si>
  <si>
    <t xml:space="preserve">   Wintersemester 2015 (Stichtag: 31.12.2015)</t>
  </si>
  <si>
    <t>Männer</t>
  </si>
  <si>
    <t xml:space="preserve">      Professorinnen und Professoren</t>
  </si>
  <si>
    <t>Slice Name (Optional)</t>
  </si>
  <si>
    <t>Seit 2023 aufgrund BGBl II Nr. 233/2023 inklusive Verwendung 88 Assistenzprofessor/in (KV) (Karrierepfad gemäß § 99 Abs. 5 und 6 UG).</t>
  </si>
  <si>
    <t>Measures</t>
  </si>
  <si>
    <t xml:space="preserve">   Wintersemester 2009 (Stichtag: 31.12.2009)</t>
  </si>
  <si>
    <t xml:space="preserve">   Wintersemester 2023 (Stichtag: 31.12.2023)</t>
  </si>
  <si>
    <t xml:space="preserve">         darunter Universitätsassistentinnen und -assistenten (KV) auf Laufbahnstelle gemäß § 13b Abs. 3 UG</t>
  </si>
  <si>
    <t>[PU Person].[Geschlecht]</t>
  </si>
  <si>
    <t>darunter Ärzt/inn/e/n mit ausschließlichen Aufgaben in öffentlichen Krankenanstalten</t>
  </si>
  <si>
    <t xml:space="preserve">         darunter Ärztinnen und Ärzte in Facharztausbildung</t>
  </si>
  <si>
    <t xml:space="preserve">   Wintersemester 2017 (Stichtag: 31.12.2017)</t>
  </si>
  <si>
    <t>Customer</t>
  </si>
  <si>
    <t>-All Customer</t>
  </si>
  <si>
    <t>Default Alternate Row Member Format --&gt;</t>
  </si>
  <si>
    <t>Bundesland Universität</t>
  </si>
  <si>
    <t xml:space="preserve">         Dozentinnen und Dozenten</t>
  </si>
  <si>
    <t xml:space="preserve">   Wintersemester 2010 (Stichtag: 31.12.2010)</t>
  </si>
  <si>
    <t xml:space="preserve">         darunter Ärzt/inn/e/n mit ausschließlichen Aufgaben in öffentlichen Krankenanstalten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</si>
  <si>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</si>
  <si>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</si>
  <si>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</si>
  <si>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</si>
  <si>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</si>
  <si>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Wintersemester 2019 (Stichtag: 31.12.2019)</t>
  </si>
  <si>
    <t>&lt;-- writeable Slicer Member Format</t>
  </si>
  <si>
    <t>Slice Format 1</t>
  </si>
  <si>
    <t>&lt;-- Gesamtzeile</t>
  </si>
  <si>
    <t>3) Formatierung der Gesamtspalte und -zeile (siehe E25:E26)</t>
  </si>
  <si>
    <t>[PU Verwendung].[Verwendungskategorien WBV]</t>
  </si>
  <si>
    <t>Ohne karenzierte und ausgeschiedene Personen. Personen mit mehreren Beschäftigungsverhältnissen bzw. abweichenden Angaben im Geschlecht sind nur einmal gezählt.</t>
  </si>
  <si>
    <t xml:space="preserve">   Wintersemester 2012 (Stichtag: 31.12.2012)</t>
  </si>
  <si>
    <t>Slicer Button</t>
  </si>
  <si>
    <t>+2009</t>
  </si>
  <si>
    <t>&lt;-- default alternate row cell format</t>
  </si>
  <si>
    <t>&lt;--  written cell format</t>
  </si>
  <si>
    <t>Anmerkung zur Technischen Universität Wien: seit Wintersemester 2019 (Stichtag: 31.12.2019) - vorläufige Zahlen.</t>
  </si>
  <si>
    <t xml:space="preserve">   Wintersemester 2006 (Stichtag: 31.12.2006)</t>
  </si>
  <si>
    <t xml:space="preserve">   Wintersemester 2020 (Stichtag: 31.12.2020)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</si>
  <si>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</si>
  <si>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</si>
  <si>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</si>
  <si>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</si>
  <si>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</si>
  <si>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(Members of Beschäftigungsausmaß in Prozent) - (0, Fehler, Keine Angabe, Unknown, Ausgeschieden)</t>
  </si>
  <si>
    <t>Universität-Ausrichtung</t>
  </si>
  <si>
    <t xml:space="preserve">   Wintersemester 2014 (Stichtag: 31.12.2014)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</si>
  <si>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</si>
  <si>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</si>
  <si>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</si>
  <si>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</si>
  <si>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</si>
  <si>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</si>
  <si>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Verwendung-Code</t>
  </si>
  <si>
    <t xml:space="preserve">   Wintersemester 2022 (Stichtag: 31.12.2022)</t>
  </si>
  <si>
    <t xml:space="preserve">   Wintersemester 2008 (Stichtag: 31.12.2008)</t>
  </si>
  <si>
    <t>Marital Status</t>
  </si>
  <si>
    <t>Default Writeable Member Format --&gt;</t>
  </si>
  <si>
    <t>Slice Format 2</t>
  </si>
  <si>
    <t xml:space="preserve">         Assoziierte Professorinnen und Professoren (KV)</t>
  </si>
  <si>
    <t>Kopfzahl</t>
  </si>
  <si>
    <t xml:space="preserve">   Wintersemester 2016 (Stichtag: 31.12.2016)</t>
  </si>
  <si>
    <t>Writeable Member</t>
  </si>
  <si>
    <t>Geschlecht</t>
  </si>
  <si>
    <t xml:space="preserve">   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</si>
  <si>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</si>
  <si>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</si>
  <si>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</si>
  <si>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</si>
  <si>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</si>
  <si>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 xml:space="preserve">   Wintersemester 2005 (Stichtag: 15.10.2005)</t>
  </si>
</sst>
</file>

<file path=xl/styles.xml><?xml version="1.0" encoding="utf-8"?>
<styleSheet xmlns="http://schemas.openxmlformats.org/spreadsheetml/2006/main">
  <numFmts count="1">
    <numFmt numFmtId="164" formatCode=";;;"/>
  </numFmts>
  <fonts count="3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9"/>
      <color rgb="FF000000"/>
      <name val="Tahoma"/>
      <family val="2"/>
    </font>
    <font>
      <sz val="10"/>
      <color rgb="FF595959"/>
      <name val="Tahoma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b/>
      <sz val="9"/>
      <color rgb="FF000000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0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3" fontId="2" fillId="0" borderId="1" xfId="0" applyNumberFormat="1" applyFont="1" applyFill="1" applyBorder="1" applyAlignment="1" applyProtection="1">
      <alignment horizontal="right"/>
    </xf>
    <xf numFmtId="3" fontId="2" fillId="2" borderId="1" xfId="0" applyNumberFormat="1" applyFont="1" applyFill="1" applyBorder="1" applyAlignment="1" applyProtection="1">
      <alignment horizontal="right" vertical="center"/>
    </xf>
    <xf numFmtId="3" fontId="2" fillId="2" borderId="1" xfId="0" applyNumberFormat="1" applyFont="1" applyFill="1" applyBorder="1" applyAlignment="1" applyProtection="1">
      <alignment horizontal="right"/>
    </xf>
    <xf numFmtId="3" fontId="2" fillId="0" borderId="1" xfId="0" applyNumberFormat="1" applyFont="1" applyFill="1" applyBorder="1" applyAlignment="1" applyProtection="1">
      <alignment horizontal="right" vertical="center" wrapText="1"/>
    </xf>
    <xf numFmtId="0" fontId="3" fillId="0" borderId="0" xfId="0" applyFont="1" applyFill="1" applyBorder="1"/>
    <xf numFmtId="0" fontId="2" fillId="0" borderId="1" xfId="0" applyFont="1" applyFill="1" applyBorder="1" applyAlignment="1" applyProtection="1">
      <alignment vertical="center"/>
    </xf>
    <xf numFmtId="3" fontId="2" fillId="2" borderId="1" xfId="0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vertical="center"/>
    </xf>
    <xf numFmtId="3" fontId="4" fillId="0" borderId="0" xfId="0" applyNumberFormat="1" applyFont="1" applyFill="1" applyBorder="1"/>
    <xf numFmtId="0" fontId="0" fillId="0" borderId="0" xfId="0" applyFill="1" applyBorder="1" applyAlignment="1"/>
    <xf numFmtId="0" fontId="5" fillId="0" borderId="0" xfId="0" applyFont="1"/>
    <xf numFmtId="0" fontId="6" fillId="0" borderId="0" xfId="0" applyFont="1"/>
    <xf numFmtId="0" fontId="7" fillId="3" borderId="0" xfId="1" applyFont="1" applyFill="1" applyBorder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0" fontId="9" fillId="4" borderId="0" xfId="0" quotePrefix="1" applyFont="1" applyFill="1" applyAlignment="1" applyProtection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13" fillId="0" borderId="0" xfId="0" applyNumberFormat="1" applyFont="1" applyAlignment="1"/>
    <xf numFmtId="0" fontId="14" fillId="0" borderId="0" xfId="0" applyFont="1"/>
    <xf numFmtId="0" fontId="15" fillId="5" borderId="0" xfId="0" applyFont="1" applyFill="1" applyAlignment="1"/>
    <xf numFmtId="0" fontId="16" fillId="0" borderId="0" xfId="1" applyFont="1"/>
    <xf numFmtId="0" fontId="2" fillId="0" borderId="1" xfId="0" quotePrefix="1" applyFont="1" applyFill="1" applyBorder="1" applyAlignment="1" applyProtection="1">
      <alignment horizontal="center"/>
    </xf>
    <xf numFmtId="0" fontId="17" fillId="0" borderId="0" xfId="0" applyFont="1"/>
    <xf numFmtId="0" fontId="2" fillId="0" borderId="2" xfId="0" applyFont="1" applyBorder="1" applyAlignment="1" applyProtection="1">
      <alignment horizontal="right"/>
    </xf>
    <xf numFmtId="0" fontId="2" fillId="0" borderId="1" xfId="0" applyFont="1" applyFill="1" applyBorder="1" applyAlignment="1" applyProtection="1">
      <alignment horizontal="right"/>
    </xf>
    <xf numFmtId="0" fontId="6" fillId="0" borderId="0" xfId="0" applyFont="1" applyAlignment="1">
      <alignment horizontal="right"/>
    </xf>
    <xf numFmtId="0" fontId="18" fillId="0" borderId="0" xfId="0" applyFont="1" applyFill="1" applyBorder="1" applyAlignment="1"/>
    <xf numFmtId="0" fontId="16" fillId="5" borderId="0" xfId="1" applyFont="1" applyFill="1"/>
    <xf numFmtId="0" fontId="8" fillId="0" borderId="0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9" fillId="0" borderId="0" xfId="0" applyFont="1"/>
    <xf numFmtId="0" fontId="17" fillId="0" borderId="3" xfId="0" quotePrefix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3" fontId="13" fillId="0" borderId="0" xfId="0" applyNumberFormat="1" applyFont="1" applyAlignment="1"/>
    <xf numFmtId="0" fontId="2" fillId="6" borderId="4" xfId="0" applyFont="1" applyFill="1" applyBorder="1" applyAlignment="1" applyProtection="1">
      <alignment horizontal="right"/>
    </xf>
    <xf numFmtId="0" fontId="13" fillId="0" borderId="0" xfId="0" applyNumberFormat="1" applyFont="1" applyFill="1" applyBorder="1" applyAlignment="1"/>
    <xf numFmtId="0" fontId="0" fillId="0" borderId="0" xfId="0" applyFont="1" applyFill="1" applyBorder="1" applyAlignment="1"/>
    <xf numFmtId="0" fontId="2" fillId="0" borderId="5" xfId="0" applyFont="1" applyBorder="1" applyAlignment="1" applyProtection="1">
      <alignment vertical="center"/>
    </xf>
    <xf numFmtId="2" fontId="13" fillId="0" borderId="0" xfId="0" applyNumberFormat="1" applyFont="1"/>
    <xf numFmtId="0" fontId="2" fillId="0" borderId="1" xfId="0" applyFont="1" applyBorder="1" applyAlignment="1" applyProtection="1">
      <alignment vertical="center" wrapText="1"/>
    </xf>
    <xf numFmtId="0" fontId="2" fillId="6" borderId="4" xfId="0" applyFont="1" applyFill="1" applyBorder="1" applyAlignment="1" applyProtection="1">
      <alignment vertical="center"/>
    </xf>
    <xf numFmtId="0" fontId="2" fillId="6" borderId="2" xfId="0" applyFont="1" applyFill="1" applyBorder="1" applyAlignment="1" applyProtection="1">
      <alignment vertical="center"/>
    </xf>
    <xf numFmtId="3" fontId="13" fillId="7" borderId="0" xfId="0" applyNumberFormat="1" applyFont="1" applyFill="1" applyAlignment="1"/>
    <xf numFmtId="0" fontId="2" fillId="0" borderId="0" xfId="0" quotePrefix="1" applyFont="1" applyAlignment="1" applyProtection="1"/>
    <xf numFmtId="0" fontId="17" fillId="0" borderId="3" xfId="0" applyFont="1" applyFill="1" applyBorder="1" applyAlignment="1">
      <alignment vertical="center"/>
    </xf>
    <xf numFmtId="0" fontId="16" fillId="7" borderId="0" xfId="1" applyFont="1" applyFill="1"/>
    <xf numFmtId="0" fontId="13" fillId="0" borderId="0" xfId="0" quotePrefix="1" applyFont="1" applyFill="1"/>
    <xf numFmtId="0" fontId="13" fillId="7" borderId="0" xfId="0" applyFont="1" applyFill="1"/>
    <xf numFmtId="0" fontId="18" fillId="0" borderId="0" xfId="0" applyFont="1"/>
    <xf numFmtId="3" fontId="13" fillId="8" borderId="0" xfId="0" applyNumberFormat="1" applyFont="1" applyFill="1" applyAlignment="1"/>
    <xf numFmtId="3" fontId="13" fillId="9" borderId="0" xfId="0" applyNumberFormat="1" applyFont="1" applyFill="1" applyAlignment="1"/>
    <xf numFmtId="0" fontId="20" fillId="0" borderId="0" xfId="0" applyFont="1"/>
    <xf numFmtId="0" fontId="7" fillId="3" borderId="6" xfId="1" applyFont="1" applyFill="1" applyBorder="1" applyAlignment="1">
      <alignment horizontal="center"/>
    </xf>
    <xf numFmtId="3" fontId="17" fillId="0" borderId="3" xfId="0" applyNumberFormat="1" applyFont="1" applyFill="1" applyBorder="1" applyAlignment="1"/>
    <xf numFmtId="0" fontId="13" fillId="0" borderId="0" xfId="0" quotePrefix="1" applyFont="1"/>
    <xf numFmtId="0" fontId="2" fillId="0" borderId="1" xfId="0" quotePrefix="1" applyFont="1" applyFill="1" applyBorder="1" applyAlignment="1" applyProtection="1">
      <alignment vertical="center"/>
    </xf>
    <xf numFmtId="0" fontId="5" fillId="0" borderId="0" xfId="0" applyFont="1" applyFill="1" applyBorder="1" applyAlignment="1">
      <alignment vertical="center"/>
    </xf>
    <xf numFmtId="0" fontId="17" fillId="0" borderId="0" xfId="0" quotePrefix="1" applyFont="1" applyFill="1" applyBorder="1" applyAlignment="1"/>
    <xf numFmtId="0" fontId="2" fillId="2" borderId="1" xfId="0" applyFont="1" applyFill="1" applyBorder="1" applyAlignment="1" applyProtection="1">
      <alignment horizontal="right"/>
    </xf>
    <xf numFmtId="0" fontId="0" fillId="0" borderId="0" xfId="0" applyFont="1"/>
    <xf numFmtId="0" fontId="13" fillId="0" borderId="0" xfId="0" applyFont="1" applyFill="1" applyBorder="1" applyAlignment="1">
      <alignment vertical="center"/>
    </xf>
    <xf numFmtId="3" fontId="5" fillId="0" borderId="0" xfId="0" applyNumberFormat="1" applyFont="1" applyFill="1" applyAlignment="1"/>
    <xf numFmtId="0" fontId="2" fillId="0" borderId="2" xfId="0" applyFont="1" applyBorder="1" applyAlignment="1" applyProtection="1">
      <alignment horizontal="center"/>
    </xf>
    <xf numFmtId="0" fontId="13" fillId="7" borderId="0" xfId="0" applyNumberFormat="1" applyFont="1" applyFill="1" applyAlignment="1"/>
    <xf numFmtId="164" fontId="13" fillId="0" borderId="0" xfId="0" applyNumberFormat="1" applyFont="1"/>
    <xf numFmtId="0" fontId="2" fillId="6" borderId="2" xfId="0" applyFont="1" applyFill="1" applyBorder="1" applyAlignment="1" applyProtection="1">
      <alignment horizontal="right"/>
    </xf>
    <xf numFmtId="0" fontId="13" fillId="0" borderId="0" xfId="0" applyNumberFormat="1" applyFont="1"/>
    <xf numFmtId="0" fontId="21" fillId="0" borderId="0" xfId="0" quotePrefix="1" applyFont="1" applyFill="1" applyAlignment="1">
      <alignment vertical="top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10</xdr:row>
      <xdr:rowOff>9493</xdr:rowOff>
    </xdr:from>
    <xdr:to>
      <xdr:col>1</xdr:col>
      <xdr:colOff>3697924</xdr:colOff>
      <xdr:row>11</xdr:row>
      <xdr:rowOff>9493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1911953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9493</xdr:rowOff>
    </xdr:from>
    <xdr:to>
      <xdr:col>1</xdr:col>
      <xdr:colOff>3697924</xdr:colOff>
      <xdr:row>12</xdr:row>
      <xdr:rowOff>9493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2101818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9493</xdr:rowOff>
    </xdr:from>
    <xdr:to>
      <xdr:col>1</xdr:col>
      <xdr:colOff>3697924</xdr:colOff>
      <xdr:row>15</xdr:row>
      <xdr:rowOff>9493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2291683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41"/>
  <sheetViews>
    <sheetView tabSelected="1" workbookViewId="0"/>
  </sheetViews>
  <sheetFormatPr defaultColWidth="11.42578125" defaultRowHeight="14.95"/>
  <cols>
    <col min="1" max="1" width="42.7109375" style="63" customWidth="1"/>
    <col min="2" max="2" width="88.7109375" customWidth="1"/>
    <col min="3" max="5" width="9.7109375" customWidth="1"/>
    <col min="6" max="6" width="7.140625" customWidth="1"/>
    <col min="7" max="7" width="7.85546875" customWidth="1"/>
    <col min="8" max="8" width="6.7109375" customWidth="1"/>
    <col min="9" max="9" width="7.14062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6" t="s">
        <v>38</v>
      </c>
      <c s="16"/>
      <c s="16"/>
      <c s="16"/>
      <c s="16"/>
      <c s="10"/>
      <c s="10"/>
    </row>
    <row s="52" customFormat="1">
      <c s="17" t="s">
        <v>19</v>
      </c>
      <c s="17"/>
      <c s="17"/>
      <c s="17"/>
      <c s="17"/>
      <c s="29"/>
      <c s="29"/>
    </row>
    <row ht="15" customHeight="1" s="52" customFormat="1">
      <c s="14" t="s">
        <v>37</v>
      </c>
      <c s="14"/>
      <c s="14"/>
      <c s="18"/>
      <c s="18"/>
      <c s="10"/>
      <c s="29"/>
    </row>
    <row ht="15" customHeight="1" s="52" customFormat="1">
      <c s="14" t="s">
        <v>46</v>
      </c>
      <c s="14"/>
      <c s="14"/>
      <c s="18"/>
      <c s="18"/>
      <c s="10"/>
      <c s="29"/>
    </row>
    <row ht="15" customHeight="1" s="52" customFormat="1">
      <c s="14" t="s">
        <v>73</v>
      </c>
      <c s="14"/>
      <c s="14"/>
      <c s="14"/>
      <c s="14"/>
      <c s="10"/>
      <c s="29"/>
    </row>
    <row ht="15" customHeight="1" s="52" customFormat="1">
      <c s="14" t="s">
        <v>79</v>
      </c>
      <c s="14"/>
      <c s="14"/>
      <c s="18"/>
      <c s="18"/>
      <c s="10"/>
      <c s="29"/>
    </row>
    <row ht="15" customHeight="1">
      <c s="14" t="s">
        <v>86</v>
      </c>
      <c s="14"/>
      <c s="14"/>
      <c s="31"/>
      <c s="31"/>
      <c s="10"/>
      <c s="10"/>
    </row>
    <row>
      <c s="71" t="s">
        <v>85</v>
      </c>
      <c s="19"/>
      <c s="19"/>
      <c s="19"/>
      <c s="19"/>
      <c s="10"/>
      <c s="10"/>
    </row>
    <row>
      <c s="71" t="s">
        <v>16</v>
      </c>
      <c s="19"/>
      <c s="19"/>
      <c s="19"/>
      <c s="19"/>
      <c s="10"/>
      <c s="10"/>
    </row>
    <row ht="15" customHeight="1">
      <c s="40"/>
      <c s="10"/>
      <c s="10"/>
      <c s="10"/>
      <c s="10"/>
      <c s="10"/>
      <c s="10"/>
    </row>
    <row>
      <c s="15" t="s">
        <v>2</v>
      </c>
      <c s="47" t="s">
        <v>20</v>
      </c>
    </row>
    <row>
      <c s="15" t="s">
        <v>58</v>
      </c>
      <c s="47" t="s">
        <v>20</v>
      </c>
    </row>
    <row>
      <c s="15" t="s">
        <v>88</v>
      </c>
      <c s="47" t="s">
        <v>20</v>
      </c>
    </row>
    <row ht="15" hidden="1">
      <c s="15" t="s">
        <v>18</v>
      </c>
      <c s="47" t="s">
        <v>87</v>
      </c>
    </row>
    <row ht="15" hidden="1">
      <c s="15" t="s">
        <v>96</v>
      </c>
      <c s="47" t="s">
        <v>26</v>
      </c>
    </row>
    <row>
      <c/>
    </row>
    <row>
      <c/>
    </row>
    <row ht="15" hidden="1">
      <c/>
      <c r="C18" s="15" t="s">
        <v>47</v>
      </c>
      <c s="15" t="s">
        <v>106</v>
      </c>
    </row>
    <row>
      <c/>
      <c r="C19" s="24" t="s">
        <v>103</v>
      </c>
      <c s="24"/>
      <c s="24"/>
    </row>
    <row ht="15" customHeight="1">
      <c s="15" t="s">
        <v>0</v>
      </c>
      <c s="15" t="s">
        <v>40</v>
      </c>
      <c s="27" t="s">
        <v>3</v>
      </c>
      <c s="27" t="s">
        <v>43</v>
      </c>
      <c s="62" t="s">
        <v>20</v>
      </c>
    </row>
    <row>
      <c s="59" t="s">
        <v>107</v>
      </c>
      <c s="6" t="s">
        <v>41</v>
      </c>
      <c s="1">
        <v>7871</v>
      </c>
      <c s="1">
        <v>10429</v>
      </c>
      <c s="3">
        <v>18300</v>
      </c>
    </row>
    <row>
      <c s="59"/>
      <c s="6" t="s">
        <v>44</v>
      </c>
      <c s="1">
        <v>1024</v>
      </c>
      <c s="1">
        <v>2233</v>
      </c>
      <c s="3">
        <v>3257</v>
      </c>
    </row>
    <row>
      <c s="59"/>
      <c s="6" t="s">
        <v>25</v>
      </c>
      <c s="1">
        <v>883</v>
      </c>
      <c s="1">
        <v>1737</v>
      </c>
      <c s="3">
        <v>2620</v>
      </c>
    </row>
    <row>
      <c s="59"/>
      <c s="6" t="s">
        <v>59</v>
      </c>
      <c s="1">
        <v>296</v>
      </c>
      <c s="1">
        <v>804</v>
      </c>
      <c s="3">
        <v>1100</v>
      </c>
    </row>
    <row>
      <c s="59"/>
      <c s="6" t="s">
        <v>102</v>
      </c>
      <c s="1">
        <v>353</v>
      </c>
      <c s="1">
        <v>615</v>
      </c>
      <c s="3">
        <v>968</v>
      </c>
    </row>
    <row>
      <c s="59"/>
      <c s="6" t="s">
        <v>22</v>
      </c>
      <c s="1">
        <v>234</v>
      </c>
      <c s="1">
        <v>318</v>
      </c>
      <c s="3">
        <v>552</v>
      </c>
    </row>
    <row>
      <c s="59"/>
      <c s="6" t="s">
        <v>29</v>
      </c>
      <c s="1">
        <v>5971</v>
      </c>
      <c s="1">
        <v>6469</v>
      </c>
      <c s="3">
        <v>12440</v>
      </c>
    </row>
    <row>
      <c s="59"/>
      <c s="6" t="s">
        <v>36</v>
      </c>
      <c s="1">
        <v>11</v>
      </c>
      <c s="1">
        <v>8</v>
      </c>
      <c s="3">
        <v>19</v>
      </c>
    </row>
    <row>
      <c s="59"/>
      <c s="6" t="s">
        <v>50</v>
      </c>
      <c s="1">
        <v>29</v>
      </c>
      <c s="1">
        <v>44</v>
      </c>
      <c s="3">
        <v>73</v>
      </c>
    </row>
    <row>
      <c s="59"/>
      <c s="6" t="s">
        <v>53</v>
      </c>
      <c s="1">
        <v>528</v>
      </c>
      <c s="1">
        <v>525</v>
      </c>
      <c s="3">
        <v>1053</v>
      </c>
    </row>
    <row>
      <c s="59"/>
      <c s="6" t="s">
        <v>1</v>
      </c>
      <c s="1">
        <v>13403</v>
      </c>
      <c s="1">
        <v>7412</v>
      </c>
      <c s="3">
        <v>20815</v>
      </c>
    </row>
    <row>
      <c s="59"/>
      <c s="6" t="s">
        <v>39</v>
      </c>
      <c s="1">
        <v>1546</v>
      </c>
      <c s="1">
        <v>689</v>
      </c>
      <c s="3">
        <v>2235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664</v>
      </c>
      <c s="1">
        <v>151</v>
      </c>
      <c s="3">
        <v>815</v>
      </c>
    </row>
    <row>
      <c s="59"/>
      <c s="8" t="s">
        <v>20</v>
      </c>
      <c s="2">
        <v>21235</v>
      </c>
      <c s="2">
        <v>17780</v>
      </c>
      <c s="2">
        <v>39015</v>
      </c>
    </row>
    <row>
      <c s="59" t="s">
        <v>49</v>
      </c>
      <c s="6" t="s">
        <v>41</v>
      </c>
      <c s="1">
        <v>7709</v>
      </c>
      <c s="1">
        <v>10396</v>
      </c>
      <c s="3">
        <v>18105</v>
      </c>
    </row>
    <row>
      <c s="59"/>
      <c s="6" t="s">
        <v>44</v>
      </c>
      <c s="1">
        <v>957</v>
      </c>
      <c s="1">
        <v>2183</v>
      </c>
      <c s="3">
        <v>3140</v>
      </c>
    </row>
    <row>
      <c s="59"/>
      <c s="6" t="s">
        <v>25</v>
      </c>
      <c s="1">
        <v>923</v>
      </c>
      <c s="1">
        <v>1873</v>
      </c>
      <c s="3">
        <v>2796</v>
      </c>
    </row>
    <row>
      <c s="59"/>
      <c s="6" t="s">
        <v>59</v>
      </c>
      <c s="1">
        <v>322</v>
      </c>
      <c s="1">
        <v>900</v>
      </c>
      <c s="3">
        <v>1222</v>
      </c>
    </row>
    <row>
      <c s="59"/>
      <c s="6" t="s">
        <v>102</v>
      </c>
      <c s="1">
        <v>359</v>
      </c>
      <c s="1">
        <v>645</v>
      </c>
      <c s="3">
        <v>1004</v>
      </c>
    </row>
    <row>
      <c s="59"/>
      <c s="6" t="s">
        <v>22</v>
      </c>
      <c s="1">
        <v>242</v>
      </c>
      <c s="1">
        <v>328</v>
      </c>
      <c s="3">
        <v>570</v>
      </c>
    </row>
    <row>
      <c s="59"/>
      <c s="6" t="s">
        <v>29</v>
      </c>
      <c s="1">
        <v>5837</v>
      </c>
      <c s="1">
        <v>6350</v>
      </c>
      <c s="3">
        <v>12187</v>
      </c>
    </row>
    <row>
      <c s="59"/>
      <c s="6" t="s">
        <v>36</v>
      </c>
      <c s="1">
        <v>16</v>
      </c>
      <c s="1">
        <v>4</v>
      </c>
      <c s="3">
        <v>20</v>
      </c>
    </row>
    <row>
      <c s="59"/>
      <c s="6" t="s">
        <v>50</v>
      </c>
      <c s="1">
        <v>26</v>
      </c>
      <c s="1">
        <v>42</v>
      </c>
      <c s="3">
        <v>68</v>
      </c>
    </row>
    <row>
      <c s="59"/>
      <c s="6" t="s">
        <v>53</v>
      </c>
      <c s="1">
        <v>503</v>
      </c>
      <c s="1">
        <v>524</v>
      </c>
      <c s="3">
        <v>1027</v>
      </c>
    </row>
    <row>
      <c s="59"/>
      <c s="6" t="s">
        <v>1</v>
      </c>
      <c s="1">
        <v>12996</v>
      </c>
      <c s="1">
        <v>7262</v>
      </c>
      <c s="3">
        <v>20258</v>
      </c>
    </row>
    <row>
      <c s="59"/>
      <c s="6" t="s">
        <v>39</v>
      </c>
      <c s="1">
        <v>1512</v>
      </c>
      <c s="1">
        <v>683</v>
      </c>
      <c s="3">
        <v>2195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605</v>
      </c>
      <c s="1">
        <v>142</v>
      </c>
      <c s="3">
        <v>747</v>
      </c>
    </row>
    <row>
      <c s="59"/>
      <c s="8" t="s">
        <v>20</v>
      </c>
      <c s="2">
        <v>20656</v>
      </c>
      <c s="2">
        <v>17588</v>
      </c>
      <c s="2">
        <v>38244</v>
      </c>
    </row>
    <row>
      <c s="59" t="s">
        <v>97</v>
      </c>
      <c s="6" t="s">
        <v>41</v>
      </c>
      <c s="1">
        <v>7444</v>
      </c>
      <c s="1">
        <v>10322</v>
      </c>
      <c s="3">
        <v>17766</v>
      </c>
    </row>
    <row>
      <c s="59"/>
      <c s="6" t="s">
        <v>44</v>
      </c>
      <c s="1">
        <v>888</v>
      </c>
      <c s="1">
        <v>2132</v>
      </c>
      <c s="3">
        <v>3020</v>
      </c>
    </row>
    <row>
      <c s="59"/>
      <c s="6" t="s">
        <v>25</v>
      </c>
      <c s="1">
        <v>731</v>
      </c>
      <c s="1">
        <v>1680</v>
      </c>
      <c s="3">
        <v>2411</v>
      </c>
    </row>
    <row>
      <c s="59"/>
      <c s="6" t="s">
        <v>59</v>
      </c>
      <c s="1">
        <v>356</v>
      </c>
      <c s="1">
        <v>1007</v>
      </c>
      <c s="3">
        <v>1363</v>
      </c>
    </row>
    <row>
      <c s="59"/>
      <c s="6" t="s">
        <v>102</v>
      </c>
      <c s="1">
        <v>375</v>
      </c>
      <c s="1">
        <v>673</v>
      </c>
      <c s="3">
        <v>1048</v>
      </c>
    </row>
    <row>
      <c s="59"/>
      <c s="6" t="s">
        <v>29</v>
      </c>
      <c s="1">
        <v>5831</v>
      </c>
      <c s="1">
        <v>6519</v>
      </c>
      <c s="3">
        <v>12350</v>
      </c>
    </row>
    <row>
      <c s="59"/>
      <c s="6" t="s">
        <v>36</v>
      </c>
      <c s="1">
        <v>231</v>
      </c>
      <c s="1">
        <v>312</v>
      </c>
      <c s="3">
        <v>543</v>
      </c>
    </row>
    <row>
      <c s="59"/>
      <c s="6" t="s">
        <v>50</v>
      </c>
      <c s="1">
        <v>35</v>
      </c>
      <c s="1">
        <v>36</v>
      </c>
      <c s="3">
        <v>71</v>
      </c>
    </row>
    <row>
      <c s="59"/>
      <c s="6" t="s">
        <v>53</v>
      </c>
      <c s="1">
        <v>477</v>
      </c>
      <c s="1">
        <v>539</v>
      </c>
      <c s="3">
        <v>1016</v>
      </c>
    </row>
    <row>
      <c s="59"/>
      <c s="6" t="s">
        <v>1</v>
      </c>
      <c s="1">
        <v>12728</v>
      </c>
      <c s="1">
        <v>7098</v>
      </c>
      <c s="3">
        <v>19826</v>
      </c>
    </row>
    <row>
      <c s="59"/>
      <c s="6" t="s">
        <v>39</v>
      </c>
      <c s="1">
        <v>1499</v>
      </c>
      <c s="1">
        <v>705</v>
      </c>
      <c s="3">
        <v>2204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608</v>
      </c>
      <c s="1">
        <v>137</v>
      </c>
      <c s="3">
        <v>745</v>
      </c>
    </row>
    <row>
      <c s="59"/>
      <c s="8" t="s">
        <v>20</v>
      </c>
      <c s="2">
        <v>20124</v>
      </c>
      <c s="2">
        <v>17365</v>
      </c>
      <c s="2">
        <v>37489</v>
      </c>
    </row>
    <row>
      <c s="59" t="s">
        <v>28</v>
      </c>
      <c s="6" t="s">
        <v>41</v>
      </c>
      <c s="1">
        <v>7452</v>
      </c>
      <c s="1">
        <v>10555</v>
      </c>
      <c s="3">
        <v>18007</v>
      </c>
    </row>
    <row>
      <c s="59"/>
      <c s="6" t="s">
        <v>44</v>
      </c>
      <c s="1">
        <v>843</v>
      </c>
      <c s="1">
        <v>2122</v>
      </c>
      <c s="3">
        <v>2965</v>
      </c>
    </row>
    <row>
      <c s="59"/>
      <c s="6" t="s">
        <v>25</v>
      </c>
      <c s="1">
        <v>754</v>
      </c>
      <c s="1">
        <v>1797</v>
      </c>
      <c s="3">
        <v>2551</v>
      </c>
    </row>
    <row>
      <c s="59"/>
      <c s="6" t="s">
        <v>59</v>
      </c>
      <c s="1">
        <v>387</v>
      </c>
      <c s="1">
        <v>1104</v>
      </c>
      <c s="3">
        <v>1491</v>
      </c>
    </row>
    <row>
      <c s="59"/>
      <c s="6" t="s">
        <v>102</v>
      </c>
      <c s="1">
        <v>367</v>
      </c>
      <c s="1">
        <v>693</v>
      </c>
      <c s="3">
        <v>1060</v>
      </c>
    </row>
    <row>
      <c s="59"/>
      <c s="6" t="s">
        <v>29</v>
      </c>
      <c s="1">
        <v>5864</v>
      </c>
      <c s="1">
        <v>6647</v>
      </c>
      <c s="3">
        <v>12511</v>
      </c>
    </row>
    <row>
      <c s="59"/>
      <c s="6" t="s">
        <v>36</v>
      </c>
      <c s="1">
        <v>200</v>
      </c>
      <c s="1">
        <v>297</v>
      </c>
      <c s="3">
        <v>497</v>
      </c>
    </row>
    <row>
      <c s="59"/>
      <c s="6" t="s">
        <v>50</v>
      </c>
      <c s="1">
        <v>44</v>
      </c>
      <c s="1">
        <v>47</v>
      </c>
      <c s="3">
        <v>91</v>
      </c>
    </row>
    <row>
      <c s="59"/>
      <c s="6" t="s">
        <v>53</v>
      </c>
      <c s="1">
        <v>478</v>
      </c>
      <c s="1">
        <v>542</v>
      </c>
      <c s="3">
        <v>1020</v>
      </c>
    </row>
    <row>
      <c s="59"/>
      <c s="6" t="s">
        <v>1</v>
      </c>
      <c s="1">
        <v>12513</v>
      </c>
      <c s="1">
        <v>6983</v>
      </c>
      <c s="3">
        <v>19496</v>
      </c>
    </row>
    <row>
      <c s="59"/>
      <c s="6" t="s">
        <v>39</v>
      </c>
      <c s="1">
        <v>1593</v>
      </c>
      <c s="1">
        <v>796</v>
      </c>
      <c s="3">
        <v>2389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626</v>
      </c>
      <c s="1">
        <v>139</v>
      </c>
      <c s="3">
        <v>765</v>
      </c>
    </row>
    <row>
      <c s="59"/>
      <c s="8" t="s">
        <v>20</v>
      </c>
      <c s="2">
        <v>19922</v>
      </c>
      <c s="2">
        <v>17492</v>
      </c>
      <c s="2">
        <v>37414</v>
      </c>
    </row>
    <row>
      <c s="59" t="s">
        <v>81</v>
      </c>
      <c s="6" t="s">
        <v>41</v>
      </c>
      <c s="1">
        <v>7178</v>
      </c>
      <c s="1">
        <v>10484</v>
      </c>
      <c s="3">
        <v>17662</v>
      </c>
    </row>
    <row>
      <c s="59"/>
      <c s="6" t="s">
        <v>44</v>
      </c>
      <c s="1">
        <v>802</v>
      </c>
      <c s="1">
        <v>2069</v>
      </c>
      <c s="3">
        <v>2871</v>
      </c>
    </row>
    <row>
      <c s="59"/>
      <c s="6" t="s">
        <v>25</v>
      </c>
      <c s="1">
        <v>767</v>
      </c>
      <c s="1">
        <v>1934</v>
      </c>
      <c s="3">
        <v>2701</v>
      </c>
    </row>
    <row>
      <c s="59"/>
      <c s="6" t="s">
        <v>59</v>
      </c>
      <c s="1">
        <v>410</v>
      </c>
      <c s="1">
        <v>1221</v>
      </c>
      <c s="3">
        <v>1631</v>
      </c>
    </row>
    <row>
      <c s="59"/>
      <c s="6" t="s">
        <v>102</v>
      </c>
      <c s="1">
        <v>357</v>
      </c>
      <c s="1">
        <v>713</v>
      </c>
      <c s="3">
        <v>1070</v>
      </c>
    </row>
    <row>
      <c s="59"/>
      <c s="6" t="s">
        <v>29</v>
      </c>
      <c s="1">
        <v>5615</v>
      </c>
      <c s="1">
        <v>6489</v>
      </c>
      <c s="3">
        <v>12104</v>
      </c>
    </row>
    <row>
      <c s="59"/>
      <c s="6" t="s">
        <v>36</v>
      </c>
      <c s="1">
        <v>198</v>
      </c>
      <c s="1">
        <v>270</v>
      </c>
      <c s="3">
        <v>468</v>
      </c>
    </row>
    <row>
      <c s="59"/>
      <c s="6" t="s">
        <v>50</v>
      </c>
      <c s="1">
        <v>36</v>
      </c>
      <c s="1">
        <v>71</v>
      </c>
      <c s="3">
        <v>107</v>
      </c>
    </row>
    <row>
      <c s="59"/>
      <c s="6" t="s">
        <v>53</v>
      </c>
      <c s="1">
        <v>458</v>
      </c>
      <c s="1">
        <v>522</v>
      </c>
      <c s="3">
        <v>980</v>
      </c>
    </row>
    <row>
      <c s="59"/>
      <c s="6" t="s">
        <v>1</v>
      </c>
      <c s="1">
        <v>12334</v>
      </c>
      <c s="1">
        <v>6908</v>
      </c>
      <c s="3">
        <v>19242</v>
      </c>
    </row>
    <row>
      <c s="59"/>
      <c s="6" t="s">
        <v>39</v>
      </c>
      <c s="1">
        <v>1552</v>
      </c>
      <c s="1">
        <v>892</v>
      </c>
      <c s="3">
        <v>2444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623</v>
      </c>
      <c s="1">
        <v>140</v>
      </c>
      <c s="3">
        <v>763</v>
      </c>
    </row>
    <row>
      <c s="59"/>
      <c s="8" t="s">
        <v>20</v>
      </c>
      <c s="2">
        <v>19476</v>
      </c>
      <c s="2">
        <v>17342</v>
      </c>
      <c s="2">
        <v>36818</v>
      </c>
    </row>
    <row>
      <c s="59" t="s">
        <v>67</v>
      </c>
      <c s="6" t="s">
        <v>41</v>
      </c>
      <c s="1">
        <v>6684</v>
      </c>
      <c s="1">
        <v>9991</v>
      </c>
      <c s="3">
        <v>16675</v>
      </c>
    </row>
    <row>
      <c s="59"/>
      <c s="6" t="s">
        <v>44</v>
      </c>
      <c s="1">
        <v>699</v>
      </c>
      <c s="1">
        <v>1991</v>
      </c>
      <c s="3">
        <v>2690</v>
      </c>
    </row>
    <row>
      <c s="59"/>
      <c s="6" t="s">
        <v>25</v>
      </c>
      <c s="1">
        <v>785</v>
      </c>
      <c s="1">
        <v>2011</v>
      </c>
      <c s="3">
        <v>2796</v>
      </c>
    </row>
    <row>
      <c s="59"/>
      <c s="6" t="s">
        <v>59</v>
      </c>
      <c s="1">
        <v>435</v>
      </c>
      <c s="1">
        <v>1311</v>
      </c>
      <c s="3">
        <v>1746</v>
      </c>
    </row>
    <row>
      <c s="59"/>
      <c s="6" t="s">
        <v>102</v>
      </c>
      <c s="1">
        <v>350</v>
      </c>
      <c s="1">
        <v>700</v>
      </c>
      <c s="3">
        <v>1050</v>
      </c>
    </row>
    <row>
      <c s="59"/>
      <c s="6" t="s">
        <v>29</v>
      </c>
      <c s="1">
        <v>5206</v>
      </c>
      <c s="1">
        <v>5999</v>
      </c>
      <c s="3">
        <v>11205</v>
      </c>
    </row>
    <row>
      <c s="59"/>
      <c s="6" t="s">
        <v>36</v>
      </c>
      <c s="1">
        <v>169</v>
      </c>
      <c s="1">
        <v>211</v>
      </c>
      <c s="3">
        <v>380</v>
      </c>
    </row>
    <row>
      <c s="59"/>
      <c s="6" t="s">
        <v>50</v>
      </c>
      <c s="1">
        <v>29</v>
      </c>
      <c s="1">
        <v>49</v>
      </c>
      <c s="3">
        <v>78</v>
      </c>
    </row>
    <row>
      <c s="59"/>
      <c s="6" t="s">
        <v>53</v>
      </c>
      <c s="1">
        <v>456</v>
      </c>
      <c s="1">
        <v>538</v>
      </c>
      <c s="3">
        <v>994</v>
      </c>
    </row>
    <row>
      <c s="59"/>
      <c s="6" t="s">
        <v>1</v>
      </c>
      <c s="1">
        <v>12163</v>
      </c>
      <c s="1">
        <v>7171</v>
      </c>
      <c s="3">
        <v>19334</v>
      </c>
    </row>
    <row>
      <c s="59"/>
      <c s="6" t="s">
        <v>39</v>
      </c>
      <c s="1">
        <v>1518</v>
      </c>
      <c s="1">
        <v>950</v>
      </c>
      <c s="3">
        <v>2468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632</v>
      </c>
      <c s="1">
        <v>147</v>
      </c>
      <c s="3">
        <v>779</v>
      </c>
    </row>
    <row>
      <c s="59"/>
      <c s="8" t="s">
        <v>20</v>
      </c>
      <c s="2">
        <v>18801</v>
      </c>
      <c s="2">
        <v>17108</v>
      </c>
      <c s="2">
        <v>35909</v>
      </c>
    </row>
    <row>
      <c s="59" t="s">
        <v>4</v>
      </c>
      <c s="6" t="s">
        <v>41</v>
      </c>
      <c s="1">
        <v>6404</v>
      </c>
      <c s="1">
        <v>9693</v>
      </c>
      <c s="3">
        <v>16097</v>
      </c>
    </row>
    <row>
      <c s="59"/>
      <c s="6" t="s">
        <v>44</v>
      </c>
      <c s="1">
        <v>651</v>
      </c>
      <c s="1">
        <v>1959</v>
      </c>
      <c s="3">
        <v>2610</v>
      </c>
    </row>
    <row>
      <c s="59"/>
      <c s="6" t="s">
        <v>25</v>
      </c>
      <c s="1">
        <v>787</v>
      </c>
      <c s="1">
        <v>2087</v>
      </c>
      <c s="3">
        <v>2874</v>
      </c>
    </row>
    <row>
      <c s="59"/>
      <c s="6" t="s">
        <v>59</v>
      </c>
      <c s="1">
        <v>467</v>
      </c>
      <c s="1">
        <v>1429</v>
      </c>
      <c s="3">
        <v>1896</v>
      </c>
    </row>
    <row>
      <c s="59"/>
      <c s="6" t="s">
        <v>102</v>
      </c>
      <c s="1">
        <v>320</v>
      </c>
      <c s="1">
        <v>658</v>
      </c>
      <c s="3">
        <v>978</v>
      </c>
    </row>
    <row>
      <c s="59"/>
      <c s="6" t="s">
        <v>29</v>
      </c>
      <c s="1">
        <v>4970</v>
      </c>
      <c s="1">
        <v>5658</v>
      </c>
      <c s="3">
        <v>10628</v>
      </c>
    </row>
    <row>
      <c s="59"/>
      <c s="6" t="s">
        <v>36</v>
      </c>
      <c s="1">
        <v>182</v>
      </c>
      <c s="1">
        <v>234</v>
      </c>
      <c s="3">
        <v>416</v>
      </c>
    </row>
    <row>
      <c s="59"/>
      <c s="6" t="s">
        <v>50</v>
      </c>
      <c s="1">
        <v>25</v>
      </c>
      <c s="1">
        <v>33</v>
      </c>
      <c s="3">
        <v>58</v>
      </c>
    </row>
    <row>
      <c s="59"/>
      <c s="6" t="s">
        <v>53</v>
      </c>
      <c s="1">
        <v>463</v>
      </c>
      <c s="1">
        <v>544</v>
      </c>
      <c s="3">
        <v>1007</v>
      </c>
    </row>
    <row>
      <c s="59"/>
      <c s="6" t="s">
        <v>1</v>
      </c>
      <c s="1">
        <v>11837</v>
      </c>
      <c s="1">
        <v>6991</v>
      </c>
      <c s="3">
        <v>18828</v>
      </c>
    </row>
    <row>
      <c s="59"/>
      <c s="6" t="s">
        <v>39</v>
      </c>
      <c s="1">
        <v>1512</v>
      </c>
      <c s="1">
        <v>915</v>
      </c>
      <c s="3">
        <v>2427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615</v>
      </c>
      <c s="1">
        <v>150</v>
      </c>
      <c s="3">
        <v>765</v>
      </c>
    </row>
    <row>
      <c s="59"/>
      <c s="8" t="s">
        <v>20</v>
      </c>
      <c s="2">
        <v>18202</v>
      </c>
      <c s="2">
        <v>16625</v>
      </c>
      <c s="2">
        <v>34827</v>
      </c>
    </row>
    <row>
      <c s="59" t="s">
        <v>54</v>
      </c>
      <c s="6" t="s">
        <v>41</v>
      </c>
      <c s="1">
        <v>6118</v>
      </c>
      <c s="1">
        <v>9573</v>
      </c>
      <c s="3">
        <v>15691</v>
      </c>
    </row>
    <row>
      <c s="59"/>
      <c s="6" t="s">
        <v>44</v>
      </c>
      <c s="1">
        <v>623</v>
      </c>
      <c s="1">
        <v>1924</v>
      </c>
      <c s="3">
        <v>2547</v>
      </c>
    </row>
    <row>
      <c s="59"/>
      <c s="6" t="s">
        <v>25</v>
      </c>
      <c s="1">
        <v>754</v>
      </c>
      <c s="1">
        <v>2109</v>
      </c>
      <c s="3">
        <v>2863</v>
      </c>
    </row>
    <row>
      <c s="59"/>
      <c s="6" t="s">
        <v>59</v>
      </c>
      <c s="1">
        <v>479</v>
      </c>
      <c s="1">
        <v>1532</v>
      </c>
      <c s="3">
        <v>2011</v>
      </c>
    </row>
    <row>
      <c s="59"/>
      <c s="6" t="s">
        <v>102</v>
      </c>
      <c s="1">
        <v>275</v>
      </c>
      <c s="1">
        <v>577</v>
      </c>
      <c s="3">
        <v>852</v>
      </c>
    </row>
    <row>
      <c s="59"/>
      <c s="6" t="s">
        <v>29</v>
      </c>
      <c s="1">
        <v>4744</v>
      </c>
      <c s="1">
        <v>5547</v>
      </c>
      <c s="3">
        <v>10291</v>
      </c>
    </row>
    <row>
      <c s="59"/>
      <c s="6" t="s">
        <v>36</v>
      </c>
      <c s="1">
        <v>212</v>
      </c>
      <c s="1">
        <v>326</v>
      </c>
      <c s="3">
        <v>538</v>
      </c>
    </row>
    <row>
      <c s="59"/>
      <c s="6" t="s">
        <v>50</v>
      </c>
      <c s="1">
        <v>14</v>
      </c>
      <c s="1">
        <v>25</v>
      </c>
      <c s="3">
        <v>39</v>
      </c>
    </row>
    <row>
      <c s="59"/>
      <c s="6" t="s">
        <v>53</v>
      </c>
      <c s="1">
        <v>459</v>
      </c>
      <c s="1">
        <v>520</v>
      </c>
      <c s="3">
        <v>979</v>
      </c>
    </row>
    <row>
      <c s="59"/>
      <c s="6" t="s">
        <v>1</v>
      </c>
      <c s="1">
        <v>11468</v>
      </c>
      <c s="1">
        <v>6780</v>
      </c>
      <c s="3">
        <v>18248</v>
      </c>
    </row>
    <row>
      <c s="59"/>
      <c s="6" t="s">
        <v>39</v>
      </c>
      <c s="1">
        <v>1496</v>
      </c>
      <c s="1">
        <v>824</v>
      </c>
      <c s="3">
        <v>2320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586</v>
      </c>
      <c s="1">
        <v>134</v>
      </c>
      <c s="3">
        <v>720</v>
      </c>
    </row>
    <row>
      <c s="59"/>
      <c s="8" t="s">
        <v>20</v>
      </c>
      <c s="2">
        <v>17552</v>
      </c>
      <c s="2">
        <v>16291</v>
      </c>
      <c s="2">
        <v>33843</v>
      </c>
    </row>
    <row>
      <c s="59" t="s">
        <v>104</v>
      </c>
      <c s="6" t="s">
        <v>41</v>
      </c>
      <c s="1">
        <v>5986</v>
      </c>
      <c s="1">
        <v>9396</v>
      </c>
      <c s="3">
        <v>15382</v>
      </c>
    </row>
    <row>
      <c s="59"/>
      <c s="6" t="s">
        <v>44</v>
      </c>
      <c s="1">
        <v>591</v>
      </c>
      <c s="1">
        <v>1903</v>
      </c>
      <c s="3">
        <v>2494</v>
      </c>
    </row>
    <row>
      <c s="59"/>
      <c s="6" t="s">
        <v>25</v>
      </c>
      <c s="1">
        <v>735</v>
      </c>
      <c s="1">
        <v>2127</v>
      </c>
      <c s="3">
        <v>2862</v>
      </c>
    </row>
    <row>
      <c s="59"/>
      <c s="6" t="s">
        <v>59</v>
      </c>
      <c s="1">
        <v>501</v>
      </c>
      <c s="1">
        <v>1609</v>
      </c>
      <c s="3">
        <v>2110</v>
      </c>
    </row>
    <row>
      <c s="59"/>
      <c s="6" t="s">
        <v>102</v>
      </c>
      <c s="1">
        <v>234</v>
      </c>
      <c s="1">
        <v>518</v>
      </c>
      <c s="3">
        <v>752</v>
      </c>
    </row>
    <row>
      <c s="59"/>
      <c s="6" t="s">
        <v>29</v>
      </c>
      <c s="1">
        <v>4664</v>
      </c>
      <c s="1">
        <v>5371</v>
      </c>
      <c s="3">
        <v>10035</v>
      </c>
    </row>
    <row>
      <c s="59"/>
      <c s="6" t="s">
        <v>36</v>
      </c>
      <c s="1">
        <v>253</v>
      </c>
      <c s="1">
        <v>373</v>
      </c>
      <c s="3">
        <v>626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492</v>
      </c>
      <c s="1">
        <v>501</v>
      </c>
      <c s="3">
        <v>993</v>
      </c>
    </row>
    <row>
      <c s="59"/>
      <c s="6" t="s">
        <v>1</v>
      </c>
      <c s="1">
        <v>11315</v>
      </c>
      <c s="1">
        <v>6649</v>
      </c>
      <c s="3">
        <v>17964</v>
      </c>
    </row>
    <row>
      <c s="59"/>
      <c s="6" t="s">
        <v>39</v>
      </c>
      <c s="1">
        <v>1635</v>
      </c>
      <c s="1">
        <v>867</v>
      </c>
      <c s="3">
        <v>2502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448</v>
      </c>
      <c s="1">
        <v>97</v>
      </c>
      <c s="3">
        <v>545</v>
      </c>
    </row>
    <row>
      <c s="59"/>
      <c s="8" t="s">
        <v>20</v>
      </c>
      <c s="2">
        <v>17273</v>
      </c>
      <c s="2">
        <v>15995</v>
      </c>
      <c s="2">
        <v>33268</v>
      </c>
    </row>
    <row>
      <c s="59" t="s">
        <v>42</v>
      </c>
      <c s="6" t="s">
        <v>41</v>
      </c>
      <c s="1">
        <v>5892</v>
      </c>
      <c s="1">
        <v>9397</v>
      </c>
      <c s="3">
        <v>15289</v>
      </c>
    </row>
    <row>
      <c s="59"/>
      <c s="6" t="s">
        <v>44</v>
      </c>
      <c s="1">
        <v>558</v>
      </c>
      <c s="1">
        <v>1909</v>
      </c>
      <c s="3">
        <v>2467</v>
      </c>
    </row>
    <row>
      <c s="59"/>
      <c s="6" t="s">
        <v>25</v>
      </c>
      <c s="1">
        <v>695</v>
      </c>
      <c s="1">
        <v>2110</v>
      </c>
      <c s="3">
        <v>2805</v>
      </c>
    </row>
    <row>
      <c s="59"/>
      <c s="6" t="s">
        <v>59</v>
      </c>
      <c s="1">
        <v>516</v>
      </c>
      <c s="1">
        <v>1675</v>
      </c>
      <c s="3">
        <v>2191</v>
      </c>
    </row>
    <row>
      <c s="59"/>
      <c s="6" t="s">
        <v>102</v>
      </c>
      <c s="1">
        <v>179</v>
      </c>
      <c s="1">
        <v>435</v>
      </c>
      <c s="3">
        <v>614</v>
      </c>
    </row>
    <row>
      <c s="59"/>
      <c s="6" t="s">
        <v>29</v>
      </c>
      <c s="1">
        <v>4641</v>
      </c>
      <c s="1">
        <v>5381</v>
      </c>
      <c s="3">
        <v>10022</v>
      </c>
    </row>
    <row>
      <c s="59"/>
      <c s="6" t="s">
        <v>36</v>
      </c>
      <c s="1">
        <v>241</v>
      </c>
      <c s="1">
        <v>387</v>
      </c>
      <c s="3">
        <v>628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524</v>
      </c>
      <c s="1">
        <v>496</v>
      </c>
      <c s="3">
        <v>1020</v>
      </c>
    </row>
    <row>
      <c s="59"/>
      <c s="6" t="s">
        <v>1</v>
      </c>
      <c s="1">
        <v>11156</v>
      </c>
      <c s="1">
        <v>6628</v>
      </c>
      <c s="3">
        <v>17784</v>
      </c>
    </row>
    <row>
      <c s="59"/>
      <c s="6" t="s">
        <v>39</v>
      </c>
      <c s="1">
        <v>1635</v>
      </c>
      <c s="1">
        <v>882</v>
      </c>
      <c s="3">
        <v>2517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451</v>
      </c>
      <c s="1">
        <v>102</v>
      </c>
      <c s="3">
        <v>553</v>
      </c>
    </row>
    <row>
      <c s="59"/>
      <c s="8" t="s">
        <v>20</v>
      </c>
      <c s="2">
        <v>17019</v>
      </c>
      <c s="2">
        <v>15962</v>
      </c>
      <c s="2">
        <v>32981</v>
      </c>
    </row>
    <row>
      <c s="59" t="s">
        <v>89</v>
      </c>
      <c s="6" t="s">
        <v>41</v>
      </c>
      <c s="1">
        <v>5700</v>
      </c>
      <c s="1">
        <v>9284</v>
      </c>
      <c s="3">
        <v>14984</v>
      </c>
    </row>
    <row>
      <c s="59"/>
      <c s="6" t="s">
        <v>44</v>
      </c>
      <c s="1">
        <v>544</v>
      </c>
      <c s="1">
        <v>1876</v>
      </c>
      <c s="3">
        <v>2420</v>
      </c>
    </row>
    <row>
      <c s="59"/>
      <c s="6" t="s">
        <v>25</v>
      </c>
      <c s="1">
        <v>649</v>
      </c>
      <c s="1">
        <v>2118</v>
      </c>
      <c s="3">
        <v>2767</v>
      </c>
    </row>
    <row>
      <c s="59"/>
      <c s="6" t="s">
        <v>59</v>
      </c>
      <c s="1">
        <v>526</v>
      </c>
      <c s="1">
        <v>1765</v>
      </c>
      <c s="3">
        <v>2291</v>
      </c>
    </row>
    <row>
      <c s="59"/>
      <c s="6" t="s">
        <v>102</v>
      </c>
      <c s="1">
        <v>123</v>
      </c>
      <c s="1">
        <v>353</v>
      </c>
      <c s="3">
        <v>476</v>
      </c>
    </row>
    <row>
      <c s="59"/>
      <c s="6" t="s">
        <v>29</v>
      </c>
      <c s="1">
        <v>4510</v>
      </c>
      <c s="1">
        <v>5295</v>
      </c>
      <c s="3">
        <v>9805</v>
      </c>
    </row>
    <row>
      <c s="59"/>
      <c s="6" t="s">
        <v>36</v>
      </c>
      <c s="1">
        <v>219</v>
      </c>
      <c s="1">
        <v>343</v>
      </c>
      <c s="3">
        <v>562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529</v>
      </c>
      <c s="1">
        <v>500</v>
      </c>
      <c s="3">
        <v>1029</v>
      </c>
    </row>
    <row>
      <c s="59"/>
      <c s="6" t="s">
        <v>1</v>
      </c>
      <c s="1">
        <v>11064</v>
      </c>
      <c s="1">
        <v>6758</v>
      </c>
      <c s="3">
        <v>17822</v>
      </c>
    </row>
    <row>
      <c s="59"/>
      <c s="6" t="s">
        <v>39</v>
      </c>
      <c s="1">
        <v>1665</v>
      </c>
      <c s="1">
        <v>1007</v>
      </c>
      <c s="3">
        <v>2672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443</v>
      </c>
      <c s="1">
        <v>99</v>
      </c>
      <c s="3">
        <v>542</v>
      </c>
    </row>
    <row>
      <c s="59"/>
      <c s="8" t="s">
        <v>20</v>
      </c>
      <c s="2">
        <v>16737</v>
      </c>
      <c s="2">
        <v>15989</v>
      </c>
      <c s="2">
        <v>32726</v>
      </c>
    </row>
    <row>
      <c s="59" t="s">
        <v>21</v>
      </c>
      <c s="6" t="s">
        <v>41</v>
      </c>
      <c s="1">
        <v>5466</v>
      </c>
      <c s="1">
        <v>9178</v>
      </c>
      <c s="3">
        <v>14644</v>
      </c>
    </row>
    <row>
      <c s="59"/>
      <c s="6" t="s">
        <v>44</v>
      </c>
      <c s="1">
        <v>522</v>
      </c>
      <c s="1">
        <v>1834</v>
      </c>
      <c s="3">
        <v>2356</v>
      </c>
    </row>
    <row>
      <c s="59"/>
      <c s="6" t="s">
        <v>25</v>
      </c>
      <c s="1">
        <v>654</v>
      </c>
      <c s="1">
        <v>2174</v>
      </c>
      <c s="3">
        <v>2828</v>
      </c>
    </row>
    <row>
      <c s="59"/>
      <c s="6" t="s">
        <v>59</v>
      </c>
      <c s="1">
        <v>561</v>
      </c>
      <c s="1">
        <v>1904</v>
      </c>
      <c s="3">
        <v>2465</v>
      </c>
    </row>
    <row>
      <c s="59"/>
      <c s="6" t="s">
        <v>102</v>
      </c>
      <c s="1">
        <v>93</v>
      </c>
      <c s="1">
        <v>270</v>
      </c>
      <c s="3">
        <v>363</v>
      </c>
    </row>
    <row>
      <c s="59"/>
      <c s="6" t="s">
        <v>29</v>
      </c>
      <c s="1">
        <v>4295</v>
      </c>
      <c s="1">
        <v>5177</v>
      </c>
      <c s="3">
        <v>9472</v>
      </c>
    </row>
    <row>
      <c s="59"/>
      <c s="6" t="s">
        <v>36</v>
      </c>
      <c s="1">
        <v>222</v>
      </c>
      <c s="1">
        <v>359</v>
      </c>
      <c s="3">
        <v>581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485</v>
      </c>
      <c s="1">
        <v>480</v>
      </c>
      <c s="3">
        <v>965</v>
      </c>
    </row>
    <row>
      <c s="59"/>
      <c s="6" t="s">
        <v>1</v>
      </c>
      <c s="1">
        <v>10721</v>
      </c>
      <c s="1">
        <v>6582</v>
      </c>
      <c s="3">
        <v>17302</v>
      </c>
    </row>
    <row>
      <c s="59"/>
      <c s="6" t="s">
        <v>39</v>
      </c>
      <c s="1">
        <v>1519</v>
      </c>
      <c s="1">
        <v>950</v>
      </c>
      <c s="3">
        <v>2469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383</v>
      </c>
      <c s="1">
        <v>48</v>
      </c>
      <c s="3">
        <v>431</v>
      </c>
    </row>
    <row>
      <c s="59"/>
      <c s="8" t="s">
        <v>20</v>
      </c>
      <c s="2">
        <v>16155</v>
      </c>
      <c s="2">
        <v>15698</v>
      </c>
      <c s="2">
        <v>31851</v>
      </c>
    </row>
    <row>
      <c s="59" t="s">
        <v>74</v>
      </c>
      <c s="6" t="s">
        <v>41</v>
      </c>
      <c s="1">
        <v>5524</v>
      </c>
      <c s="1">
        <v>9183</v>
      </c>
      <c s="3">
        <v>14707</v>
      </c>
    </row>
    <row>
      <c s="59"/>
      <c s="6" t="s">
        <v>44</v>
      </c>
      <c s="1">
        <v>504</v>
      </c>
      <c s="1">
        <v>1829</v>
      </c>
      <c s="3">
        <v>2333</v>
      </c>
    </row>
    <row>
      <c s="59"/>
      <c s="6" t="s">
        <v>25</v>
      </c>
      <c s="1">
        <v>616</v>
      </c>
      <c s="1">
        <v>2162</v>
      </c>
      <c s="3">
        <v>2778</v>
      </c>
    </row>
    <row>
      <c s="59"/>
      <c s="6" t="s">
        <v>59</v>
      </c>
      <c s="1">
        <v>552</v>
      </c>
      <c s="1">
        <v>1961</v>
      </c>
      <c s="3">
        <v>2513</v>
      </c>
    </row>
    <row>
      <c s="59"/>
      <c s="6" t="s">
        <v>102</v>
      </c>
      <c s="1">
        <v>64</v>
      </c>
      <c s="1">
        <v>201</v>
      </c>
      <c s="3">
        <v>265</v>
      </c>
    </row>
    <row>
      <c s="59"/>
      <c s="6" t="s">
        <v>29</v>
      </c>
      <c s="1">
        <v>4406</v>
      </c>
      <c s="1">
        <v>5197</v>
      </c>
      <c s="3">
        <v>9603</v>
      </c>
    </row>
    <row>
      <c s="59"/>
      <c s="6" t="s">
        <v>36</v>
      </c>
      <c s="1">
        <v>205</v>
      </c>
      <c s="1">
        <v>320</v>
      </c>
      <c s="3">
        <v>525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507</v>
      </c>
      <c s="1">
        <v>454</v>
      </c>
      <c s="3">
        <v>961</v>
      </c>
    </row>
    <row>
      <c s="59"/>
      <c s="6" t="s">
        <v>1</v>
      </c>
      <c s="1">
        <v>10557</v>
      </c>
      <c s="1">
        <v>6510</v>
      </c>
      <c s="3">
        <v>17067</v>
      </c>
    </row>
    <row>
      <c s="59"/>
      <c s="6" t="s">
        <v>39</v>
      </c>
      <c s="1">
        <v>1303</v>
      </c>
      <c s="1">
        <v>910</v>
      </c>
      <c s="3">
        <v>2213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460</v>
      </c>
      <c s="1">
        <v>77</v>
      </c>
      <c s="3">
        <v>537</v>
      </c>
    </row>
    <row>
      <c s="59"/>
      <c s="8" t="s">
        <v>20</v>
      </c>
      <c s="2">
        <v>16044</v>
      </c>
      <c s="2">
        <v>15637</v>
      </c>
      <c s="2">
        <v>31680</v>
      </c>
    </row>
    <row>
      <c s="59" t="s">
        <v>10</v>
      </c>
      <c s="6" t="s">
        <v>41</v>
      </c>
      <c s="1">
        <v>5299</v>
      </c>
      <c s="1">
        <v>9086</v>
      </c>
      <c s="3">
        <v>14385</v>
      </c>
    </row>
    <row>
      <c s="59"/>
      <c s="6" t="s">
        <v>44</v>
      </c>
      <c s="1">
        <v>476</v>
      </c>
      <c s="1">
        <v>1833</v>
      </c>
      <c s="3">
        <v>2309</v>
      </c>
    </row>
    <row>
      <c s="59"/>
      <c s="6" t="s">
        <v>25</v>
      </c>
      <c s="1">
        <v>598</v>
      </c>
      <c s="1">
        <v>2219</v>
      </c>
      <c s="3">
        <v>2817</v>
      </c>
    </row>
    <row>
      <c s="59"/>
      <c s="6" t="s">
        <v>59</v>
      </c>
      <c s="1">
        <v>567</v>
      </c>
      <c s="1">
        <v>2094</v>
      </c>
      <c s="3">
        <v>2661</v>
      </c>
    </row>
    <row>
      <c s="59"/>
      <c s="6" t="s">
        <v>102</v>
      </c>
      <c s="1">
        <v>31</v>
      </c>
      <c s="1">
        <v>125</v>
      </c>
      <c s="3">
        <v>156</v>
      </c>
    </row>
    <row>
      <c s="59"/>
      <c s="6" t="s">
        <v>29</v>
      </c>
      <c s="1">
        <v>4228</v>
      </c>
      <c s="1">
        <v>5040</v>
      </c>
      <c s="3">
        <v>9268</v>
      </c>
    </row>
    <row>
      <c s="59"/>
      <c s="6" t="s">
        <v>36</v>
      </c>
      <c s="1">
        <v>156</v>
      </c>
      <c s="1">
        <v>321</v>
      </c>
      <c s="3">
        <v>477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506</v>
      </c>
      <c s="1">
        <v>484</v>
      </c>
      <c s="3">
        <v>990</v>
      </c>
    </row>
    <row>
      <c s="59"/>
      <c s="6" t="s">
        <v>1</v>
      </c>
      <c s="1">
        <v>10334</v>
      </c>
      <c s="1">
        <v>6297</v>
      </c>
      <c s="3">
        <v>16631</v>
      </c>
    </row>
    <row>
      <c s="59"/>
      <c s="6" t="s">
        <v>39</v>
      </c>
      <c s="1">
        <v>1238</v>
      </c>
      <c s="1">
        <v>750</v>
      </c>
      <c s="3">
        <v>1988</v>
      </c>
    </row>
    <row>
      <c s="59"/>
      <c s="6" t="s">
        <v>61</v>
      </c>
      <c s="4">
        <v>40</v>
      </c>
      <c s="4">
        <v>27</v>
      </c>
      <c s="7">
        <v>67</v>
      </c>
    </row>
    <row>
      <c s="59"/>
      <c s="6" t="s">
        <v>11</v>
      </c>
      <c s="1">
        <v>474</v>
      </c>
      <c s="1">
        <v>79</v>
      </c>
      <c s="3">
        <v>553</v>
      </c>
    </row>
    <row>
      <c s="59"/>
      <c s="8" t="s">
        <v>20</v>
      </c>
      <c s="2">
        <v>15604</v>
      </c>
      <c s="2">
        <v>15331</v>
      </c>
      <c s="2">
        <v>30934</v>
      </c>
    </row>
    <row>
      <c s="59" t="s">
        <v>60</v>
      </c>
      <c s="6" t="s">
        <v>41</v>
      </c>
      <c s="1">
        <v>5057</v>
      </c>
      <c s="1">
        <v>8995</v>
      </c>
      <c s="3">
        <v>14052</v>
      </c>
    </row>
    <row>
      <c s="59"/>
      <c s="6" t="s">
        <v>44</v>
      </c>
      <c s="1">
        <v>438</v>
      </c>
      <c s="1">
        <v>1794</v>
      </c>
      <c s="3">
        <v>2232</v>
      </c>
    </row>
    <row>
      <c s="59"/>
      <c s="6" t="s">
        <v>25</v>
      </c>
      <c s="1">
        <v>607</v>
      </c>
      <c s="1">
        <v>2295</v>
      </c>
      <c s="3">
        <v>2902</v>
      </c>
    </row>
    <row>
      <c s="59"/>
      <c s="6" t="s">
        <v>59</v>
      </c>
      <c s="1">
        <v>590</v>
      </c>
      <c s="1">
        <v>2227</v>
      </c>
      <c s="3">
        <v>2817</v>
      </c>
    </row>
    <row>
      <c s="59"/>
      <c s="6" t="s">
        <v>102</v>
      </c>
      <c s="1">
        <v>17</v>
      </c>
      <c s="1">
        <v>68</v>
      </c>
      <c s="3">
        <v>85</v>
      </c>
    </row>
    <row>
      <c s="59"/>
      <c s="6" t="s">
        <v>29</v>
      </c>
      <c s="1">
        <v>4013</v>
      </c>
      <c s="1">
        <v>4913</v>
      </c>
      <c s="3">
        <v>8926</v>
      </c>
    </row>
    <row>
      <c s="59"/>
      <c s="6" t="s">
        <v>36</v>
      </c>
      <c s="1">
        <v>91</v>
      </c>
      <c s="1">
        <v>193</v>
      </c>
      <c s="3">
        <v>284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501</v>
      </c>
      <c s="1">
        <v>517</v>
      </c>
      <c s="3">
        <v>1018</v>
      </c>
    </row>
    <row>
      <c s="59"/>
      <c s="6" t="s">
        <v>1</v>
      </c>
      <c s="1">
        <v>10175</v>
      </c>
      <c s="1">
        <v>6243</v>
      </c>
      <c s="3">
        <v>16418</v>
      </c>
    </row>
    <row>
      <c s="59"/>
      <c s="6" t="s">
        <v>39</v>
      </c>
      <c s="1">
        <v>1423</v>
      </c>
      <c s="1">
        <v>756</v>
      </c>
      <c s="3">
        <v>2179</v>
      </c>
    </row>
    <row>
      <c s="59"/>
      <c s="6" t="s">
        <v>61</v>
      </c>
      <c s="4">
        <v>34</v>
      </c>
      <c s="4">
        <v>20</v>
      </c>
      <c s="7">
        <v>54</v>
      </c>
    </row>
    <row>
      <c s="59"/>
      <c s="6" t="s">
        <v>11</v>
      </c>
      <c s="1">
        <v>379</v>
      </c>
      <c s="1">
        <v>56</v>
      </c>
      <c s="3">
        <v>435</v>
      </c>
    </row>
    <row>
      <c s="59"/>
      <c s="8" t="s">
        <v>20</v>
      </c>
      <c s="2">
        <v>15202</v>
      </c>
      <c s="2">
        <v>15190</v>
      </c>
      <c s="2">
        <v>30391</v>
      </c>
    </row>
    <row>
      <c s="59" t="s">
        <v>48</v>
      </c>
      <c s="6" t="s">
        <v>41</v>
      </c>
      <c s="1">
        <v>5681</v>
      </c>
      <c s="1">
        <v>10036</v>
      </c>
      <c s="3">
        <v>15717</v>
      </c>
    </row>
    <row>
      <c s="59"/>
      <c s="6" t="s">
        <v>44</v>
      </c>
      <c s="1">
        <v>412</v>
      </c>
      <c s="1">
        <v>1791</v>
      </c>
      <c s="3">
        <v>2203</v>
      </c>
    </row>
    <row>
      <c s="59"/>
      <c s="6" t="s">
        <v>25</v>
      </c>
      <c s="1">
        <v>646</v>
      </c>
      <c s="1">
        <v>2479</v>
      </c>
      <c s="3">
        <v>3125</v>
      </c>
    </row>
    <row>
      <c s="59"/>
      <c s="6" t="s">
        <v>59</v>
      </c>
      <c s="1">
        <v>646</v>
      </c>
      <c s="1">
        <v>2479</v>
      </c>
      <c s="3">
        <v>3125</v>
      </c>
    </row>
    <row>
      <c s="59"/>
      <c s="6" t="s">
        <v>102</v>
      </c>
      <c s="1">
        <v>0</v>
      </c>
      <c s="1">
        <v>0</v>
      </c>
      <c s="3">
        <v>0</v>
      </c>
    </row>
    <row>
      <c s="59"/>
      <c s="6" t="s">
        <v>29</v>
      </c>
      <c s="1">
        <v>4626</v>
      </c>
      <c s="1">
        <v>5775</v>
      </c>
      <c s="3">
        <v>10401</v>
      </c>
    </row>
    <row>
      <c s="59"/>
      <c s="6" t="s">
        <v>36</v>
      </c>
      <c s="1">
        <v>0</v>
      </c>
      <c s="1">
        <v>0</v>
      </c>
      <c s="3">
        <v>0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482</v>
      </c>
      <c s="1">
        <v>493</v>
      </c>
      <c s="3">
        <v>975</v>
      </c>
    </row>
    <row>
      <c s="59"/>
      <c s="6" t="s">
        <v>1</v>
      </c>
      <c s="1">
        <v>8603</v>
      </c>
      <c s="1">
        <v>5125</v>
      </c>
      <c s="3">
        <v>13728</v>
      </c>
    </row>
    <row>
      <c s="59"/>
      <c s="6" t="s">
        <v>39</v>
      </c>
      <c s="1">
        <v>0</v>
      </c>
      <c s="1">
        <v>0</v>
      </c>
      <c s="3">
        <v>0</v>
      </c>
    </row>
    <row>
      <c s="59"/>
      <c s="6" t="s">
        <v>61</v>
      </c>
      <c s="4">
        <v>37</v>
      </c>
      <c s="4">
        <v>20</v>
      </c>
      <c s="7">
        <v>57</v>
      </c>
    </row>
    <row>
      <c s="59"/>
      <c s="6" t="s">
        <v>11</v>
      </c>
      <c s="1">
        <v>465</v>
      </c>
      <c s="1">
        <v>70</v>
      </c>
      <c s="3">
        <v>535</v>
      </c>
    </row>
    <row>
      <c s="59"/>
      <c s="8" t="s">
        <v>20</v>
      </c>
      <c s="2">
        <v>14249</v>
      </c>
      <c s="2">
        <v>15091</v>
      </c>
      <c s="2">
        <v>29339</v>
      </c>
    </row>
    <row>
      <c s="59" t="s">
        <v>98</v>
      </c>
      <c s="6" t="s">
        <v>41</v>
      </c>
      <c s="1">
        <v>5433</v>
      </c>
      <c s="1">
        <v>10003</v>
      </c>
      <c s="3">
        <v>15436</v>
      </c>
    </row>
    <row>
      <c s="59"/>
      <c s="6" t="s">
        <v>44</v>
      </c>
      <c s="1">
        <v>369</v>
      </c>
      <c s="1">
        <v>1823</v>
      </c>
      <c s="3">
        <v>2192</v>
      </c>
    </row>
    <row>
      <c s="59"/>
      <c s="6" t="s">
        <v>25</v>
      </c>
      <c s="1">
        <v>650</v>
      </c>
      <c s="1">
        <v>2574</v>
      </c>
      <c s="3">
        <v>3224</v>
      </c>
    </row>
    <row>
      <c s="59"/>
      <c s="6" t="s">
        <v>59</v>
      </c>
      <c s="1">
        <v>650</v>
      </c>
      <c s="1">
        <v>2574</v>
      </c>
      <c s="3">
        <v>3224</v>
      </c>
    </row>
    <row>
      <c s="59"/>
      <c s="6" t="s">
        <v>102</v>
      </c>
      <c s="1">
        <v>0</v>
      </c>
      <c s="1">
        <v>0</v>
      </c>
      <c s="3">
        <v>0</v>
      </c>
    </row>
    <row>
      <c s="59"/>
      <c s="6" t="s">
        <v>29</v>
      </c>
      <c s="1">
        <v>4418</v>
      </c>
      <c s="1">
        <v>5615</v>
      </c>
      <c s="3">
        <v>10033</v>
      </c>
    </row>
    <row>
      <c s="59"/>
      <c s="6" t="s">
        <v>36</v>
      </c>
      <c s="1">
        <v>0</v>
      </c>
      <c s="1">
        <v>0</v>
      </c>
      <c s="3">
        <v>0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456</v>
      </c>
      <c s="1">
        <v>486</v>
      </c>
      <c s="3">
        <v>942</v>
      </c>
    </row>
    <row>
      <c s="59"/>
      <c s="6" t="s">
        <v>1</v>
      </c>
      <c s="1">
        <v>8483</v>
      </c>
      <c s="1">
        <v>5134</v>
      </c>
      <c s="3">
        <v>13616</v>
      </c>
    </row>
    <row>
      <c s="59"/>
      <c s="6" t="s">
        <v>39</v>
      </c>
      <c s="1">
        <v>0</v>
      </c>
      <c s="1">
        <v>0</v>
      </c>
      <c s="3">
        <v>0</v>
      </c>
    </row>
    <row>
      <c s="59"/>
      <c s="6" t="s">
        <v>61</v>
      </c>
      <c s="4">
        <v>0</v>
      </c>
      <c s="4">
        <v>1</v>
      </c>
      <c s="7">
        <v>1</v>
      </c>
    </row>
    <row>
      <c s="59"/>
      <c s="6" t="s">
        <v>11</v>
      </c>
      <c s="1">
        <v>377</v>
      </c>
      <c s="1">
        <v>51</v>
      </c>
      <c s="3">
        <v>428</v>
      </c>
    </row>
    <row>
      <c s="59"/>
      <c s="8" t="s">
        <v>20</v>
      </c>
      <c s="2">
        <v>13864</v>
      </c>
      <c s="2">
        <v>14974</v>
      </c>
      <c s="2">
        <v>28836</v>
      </c>
    </row>
    <row>
      <c s="59" t="s">
        <v>27</v>
      </c>
      <c s="6" t="s">
        <v>41</v>
      </c>
      <c s="1">
        <v>4857</v>
      </c>
      <c s="1">
        <v>9732</v>
      </c>
      <c s="3">
        <v>14589</v>
      </c>
    </row>
    <row>
      <c s="59"/>
      <c s="6" t="s">
        <v>44</v>
      </c>
      <c s="1">
        <v>349</v>
      </c>
      <c s="1">
        <v>1861</v>
      </c>
      <c s="3">
        <v>2210</v>
      </c>
    </row>
    <row>
      <c s="59"/>
      <c s="6" t="s">
        <v>25</v>
      </c>
      <c s="1">
        <v>612</v>
      </c>
      <c s="1">
        <v>2569</v>
      </c>
      <c s="3">
        <v>3181</v>
      </c>
    </row>
    <row>
      <c s="59"/>
      <c s="6" t="s">
        <v>59</v>
      </c>
      <c s="1">
        <v>612</v>
      </c>
      <c s="1">
        <v>2569</v>
      </c>
      <c s="3">
        <v>3181</v>
      </c>
    </row>
    <row>
      <c s="59"/>
      <c s="6" t="s">
        <v>102</v>
      </c>
      <c s="1">
        <v>0</v>
      </c>
      <c s="1">
        <v>0</v>
      </c>
      <c s="3">
        <v>0</v>
      </c>
    </row>
    <row>
      <c s="59"/>
      <c s="6" t="s">
        <v>29</v>
      </c>
      <c s="1">
        <v>3897</v>
      </c>
      <c s="1">
        <v>5306</v>
      </c>
      <c s="3">
        <v>9203</v>
      </c>
    </row>
    <row>
      <c s="59"/>
      <c s="6" t="s">
        <v>36</v>
      </c>
      <c s="1">
        <v>0</v>
      </c>
      <c s="1">
        <v>0</v>
      </c>
      <c s="3">
        <v>0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401</v>
      </c>
      <c s="1">
        <v>446</v>
      </c>
      <c s="3">
        <v>847</v>
      </c>
    </row>
    <row>
      <c s="59"/>
      <c s="6" t="s">
        <v>1</v>
      </c>
      <c s="1">
        <v>8281</v>
      </c>
      <c s="1">
        <v>5208</v>
      </c>
      <c s="3">
        <v>13489</v>
      </c>
    </row>
    <row>
      <c s="59"/>
      <c s="6" t="s">
        <v>39</v>
      </c>
      <c s="1">
        <v>0</v>
      </c>
      <c s="1">
        <v>0</v>
      </c>
      <c s="3">
        <v>0</v>
      </c>
    </row>
    <row>
      <c s="59"/>
      <c s="6" t="s">
        <v>61</v>
      </c>
      <c s="4">
        <v>0</v>
      </c>
      <c s="4">
        <v>1</v>
      </c>
      <c s="7">
        <v>1</v>
      </c>
    </row>
    <row>
      <c s="59"/>
      <c s="6" t="s">
        <v>11</v>
      </c>
      <c s="1">
        <v>369</v>
      </c>
      <c s="1">
        <v>50</v>
      </c>
      <c s="3">
        <v>419</v>
      </c>
    </row>
    <row>
      <c s="59"/>
      <c s="8" t="s">
        <v>20</v>
      </c>
      <c s="2">
        <v>13069</v>
      </c>
      <c s="2">
        <v>14589</v>
      </c>
      <c s="2">
        <v>27657</v>
      </c>
    </row>
    <row>
      <c s="59" t="s">
        <v>80</v>
      </c>
      <c s="6" t="s">
        <v>41</v>
      </c>
      <c s="1">
        <v>4567</v>
      </c>
      <c s="1">
        <v>9590</v>
      </c>
      <c s="3">
        <v>14157</v>
      </c>
    </row>
    <row>
      <c s="59"/>
      <c s="6" t="s">
        <v>44</v>
      </c>
      <c s="1">
        <v>345</v>
      </c>
      <c s="1">
        <v>1854</v>
      </c>
      <c s="3">
        <v>2199</v>
      </c>
    </row>
    <row>
      <c s="59"/>
      <c s="6" t="s">
        <v>25</v>
      </c>
      <c s="1">
        <v>584</v>
      </c>
      <c s="1">
        <v>2555</v>
      </c>
      <c s="3">
        <v>3139</v>
      </c>
    </row>
    <row>
      <c s="59"/>
      <c s="6" t="s">
        <v>59</v>
      </c>
      <c s="1">
        <v>584</v>
      </c>
      <c s="1">
        <v>2555</v>
      </c>
      <c s="3">
        <v>3139</v>
      </c>
    </row>
    <row>
      <c s="59"/>
      <c s="6" t="s">
        <v>102</v>
      </c>
      <c s="1">
        <v>0</v>
      </c>
      <c s="1">
        <v>0</v>
      </c>
      <c s="3">
        <v>0</v>
      </c>
    </row>
    <row>
      <c s="59"/>
      <c s="6" t="s">
        <v>29</v>
      </c>
      <c s="1">
        <v>3641</v>
      </c>
      <c s="1">
        <v>5185</v>
      </c>
      <c s="3">
        <v>8826</v>
      </c>
    </row>
    <row>
      <c s="59"/>
      <c s="6" t="s">
        <v>36</v>
      </c>
      <c s="1">
        <v>0</v>
      </c>
      <c s="1">
        <v>0</v>
      </c>
      <c s="3">
        <v>0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315</v>
      </c>
      <c s="1">
        <v>381</v>
      </c>
      <c s="3">
        <v>696</v>
      </c>
    </row>
    <row>
      <c s="59"/>
      <c s="6" t="s">
        <v>1</v>
      </c>
      <c s="1">
        <v>7950</v>
      </c>
      <c s="1">
        <v>5119</v>
      </c>
      <c s="3">
        <v>13069</v>
      </c>
    </row>
    <row>
      <c s="59"/>
      <c s="6" t="s">
        <v>39</v>
      </c>
      <c s="1">
        <v>0</v>
      </c>
      <c s="1">
        <v>0</v>
      </c>
      <c s="3">
        <v>0</v>
      </c>
    </row>
    <row>
      <c s="59"/>
      <c s="6" t="s">
        <v>61</v>
      </c>
      <c s="4">
        <v>0</v>
      </c>
      <c s="4">
        <v>0</v>
      </c>
      <c s="7">
        <v>0</v>
      </c>
    </row>
    <row>
      <c s="59"/>
      <c s="6" t="s">
        <v>11</v>
      </c>
      <c s="1">
        <v>365</v>
      </c>
      <c s="1">
        <v>51</v>
      </c>
      <c s="3">
        <v>416</v>
      </c>
    </row>
    <row>
      <c s="59"/>
      <c s="8" t="s">
        <v>20</v>
      </c>
      <c s="2">
        <v>12423</v>
      </c>
      <c s="2">
        <v>14270</v>
      </c>
      <c s="2">
        <v>26692</v>
      </c>
    </row>
    <row>
      <c s="59" t="s">
        <v>113</v>
      </c>
      <c s="6" t="s">
        <v>41</v>
      </c>
      <c s="1">
        <v>4193</v>
      </c>
      <c s="1">
        <v>9363</v>
      </c>
      <c s="3">
        <v>13556</v>
      </c>
    </row>
    <row>
      <c s="59"/>
      <c s="6" t="s">
        <v>44</v>
      </c>
      <c s="1">
        <v>329</v>
      </c>
      <c s="1">
        <v>1870</v>
      </c>
      <c s="3">
        <v>2199</v>
      </c>
    </row>
    <row>
      <c s="59"/>
      <c s="6" t="s">
        <v>25</v>
      </c>
      <c s="1">
        <v>560</v>
      </c>
      <c s="1">
        <v>2602</v>
      </c>
      <c s="3">
        <v>3162</v>
      </c>
    </row>
    <row>
      <c s="59"/>
      <c s="6" t="s">
        <v>59</v>
      </c>
      <c s="1">
        <v>560</v>
      </c>
      <c s="1">
        <v>2602</v>
      </c>
      <c s="3">
        <v>3162</v>
      </c>
    </row>
    <row>
      <c s="59"/>
      <c s="6" t="s">
        <v>102</v>
      </c>
      <c s="1">
        <v>0</v>
      </c>
      <c s="1">
        <v>0</v>
      </c>
      <c s="3">
        <v>0</v>
      </c>
    </row>
    <row>
      <c s="59"/>
      <c s="6" t="s">
        <v>29</v>
      </c>
      <c s="1">
        <v>3307</v>
      </c>
      <c s="1">
        <v>4899</v>
      </c>
      <c s="3">
        <v>8206</v>
      </c>
    </row>
    <row>
      <c s="59"/>
      <c s="6" t="s">
        <v>36</v>
      </c>
      <c s="1">
        <v>0</v>
      </c>
      <c s="1">
        <v>0</v>
      </c>
      <c s="3">
        <v>0</v>
      </c>
    </row>
    <row>
      <c s="59"/>
      <c s="6" t="s">
        <v>50</v>
      </c>
      <c s="1">
        <v>0</v>
      </c>
      <c s="1">
        <v>0</v>
      </c>
      <c s="3">
        <v>0</v>
      </c>
    </row>
    <row>
      <c s="59"/>
      <c s="6" t="s">
        <v>53</v>
      </c>
      <c s="1">
        <v>263</v>
      </c>
      <c s="1">
        <v>318</v>
      </c>
      <c s="3">
        <v>581</v>
      </c>
    </row>
    <row>
      <c s="59"/>
      <c s="6" t="s">
        <v>1</v>
      </c>
      <c s="1">
        <v>7622</v>
      </c>
      <c s="1">
        <v>4755</v>
      </c>
      <c s="3">
        <v>12377</v>
      </c>
    </row>
    <row>
      <c s="59"/>
      <c s="6" t="s">
        <v>39</v>
      </c>
      <c s="1">
        <v>0</v>
      </c>
      <c s="1">
        <v>0</v>
      </c>
      <c s="3">
        <v>0</v>
      </c>
    </row>
    <row>
      <c s="59"/>
      <c s="6" t="s">
        <v>61</v>
      </c>
      <c s="4">
        <v>6</v>
      </c>
      <c s="4">
        <v>2</v>
      </c>
      <c s="7">
        <v>8</v>
      </c>
    </row>
    <row>
      <c s="59"/>
      <c s="6" t="s">
        <v>11</v>
      </c>
      <c s="1">
        <v>353</v>
      </c>
      <c s="1">
        <v>51</v>
      </c>
      <c s="3">
        <v>404</v>
      </c>
    </row>
    <row>
      <c s="59"/>
      <c s="8" t="s">
        <v>20</v>
      </c>
      <c s="2">
        <v>11754</v>
      </c>
      <c s="2">
        <v>13757</v>
      </c>
      <c s="2">
        <v>25511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60"/>
      <c s="9"/>
      <c s="9"/>
      <c s="9"/>
      <c s="9"/>
      <c s="9"/>
      <c s="9"/>
      <c s="9"/>
      <c s="9"/>
      <c s="9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25">
    <mergeCell ref="A3:C3"/>
    <mergeCell ref="A5:E5"/>
    <mergeCell ref="A6:C6"/>
    <mergeCell ref="A7:C7"/>
    <mergeCell ref="C19:E19"/>
    <mergeCell ref="A21:A35"/>
    <mergeCell ref="A36:A50"/>
    <mergeCell ref="A51:A64"/>
    <mergeCell ref="A65:A78"/>
    <mergeCell ref="A79:A92"/>
    <mergeCell ref="A93:A106"/>
    <mergeCell ref="A107:A120"/>
    <mergeCell ref="A121:A134"/>
    <mergeCell ref="A135:A148"/>
    <mergeCell ref="A149:A162"/>
    <mergeCell ref="A163:A176"/>
    <mergeCell ref="A177:A190"/>
    <mergeCell ref="A191:A204"/>
    <mergeCell ref="A205:A218"/>
    <mergeCell ref="A219:A232"/>
    <mergeCell ref="A233:A246"/>
    <mergeCell ref="A247:A260"/>
    <mergeCell ref="A261:A274"/>
    <mergeCell ref="A275:A288"/>
    <mergeCell ref="A289:A302"/>
  </mergeCells>
  <pageMargins left="0.70866141732283472" right="0.70866141732283472" top="0.78740157480314965" bottom="0.78740157480314965" header="0.31496062992125984" footer="0.31496062992125984"/>
  <pageSetup paperSize="9" scale="81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1"/>
  <sheetViews>
    <sheetView workbookViewId="0">
      <selection activeCell="D6" sqref="D6"/>
    </sheetView>
  </sheetViews>
  <sheetFormatPr defaultColWidth="9.140625" defaultRowHeight="13.6"/>
  <cols>
    <col min="1" max="1" width="13.5703125" style="33" customWidth="1"/>
    <col min="2" max="2" width="40.85546875" style="33" customWidth="1"/>
    <col min="3" max="3" width="28.140625" style="33" customWidth="1"/>
    <col min="4" max="4" width="16.28515625" style="33" customWidth="1"/>
    <col min="5" max="5" width="19.42578125" style="33" customWidth="1"/>
    <col min="6" max="6" width="11.140625" style="33" customWidth="1"/>
    <col min="7" max="7" width="9.140625" style="33" customWidth="1"/>
    <col min="8" max="8" width="17.28515625" style="33" customWidth="1"/>
    <col min="9" max="9" width="19.5703125" style="33" customWidth="1"/>
    <col min="10" max="12" width="12.42578125" style="33" customWidth="1"/>
    <col min="13" max="13" width="16" style="33" customWidth="1"/>
    <col min="14" max="14" width="14.28515625" style="33" customWidth="1"/>
    <col min="15" max="15" width="18.28515625" style="33" customWidth="1"/>
    <col min="16" max="25" width="9.140625" style="33" customWidth="1"/>
    <col min="26" max="26" width="9.140625" style="33" hidden="1" customWidth="1"/>
    <col min="27" max="27" width="9.140625" style="33" customWidth="1"/>
    <col min="28" max="16384" width="9.140625" style="33"/>
  </cols>
  <sheetData>
    <row>
      <c s="70"/>
      <c r="H1" s="68">
        <v>129806172700000000</v>
      </c>
      <c r="Z1" s="42" t="b">
        <f>0=1</f>
        <v>0</v>
      </c>
    </row>
    <row>
      <c r="Z2" s="42" t="b">
        <f>1=1</f>
        <v>1</v>
      </c>
    </row>
    <row>
      <c r="Z3" s="42"/>
    </row>
    <row>
      <c r="I4" s="33" t="s">
        <v>45</v>
      </c>
      <c s="56" t="s">
        <v>82</v>
      </c>
      <c s="13"/>
      <c s="13"/>
      <c s="13"/>
      <c s="13"/>
      <c s="13"/>
    </row>
    <row>
      <c r="J5" s="30" t="s">
        <v>30</v>
      </c>
      <c s="23" t="s">
        <v>62</v>
      </c>
      <c s="23" t="s">
        <v>75</v>
      </c>
      <c s="30" t="s">
        <v>108</v>
      </c>
      <c s="49" t="s">
        <v>90</v>
      </c>
      <c s="23" t="s">
        <v>5</v>
      </c>
    </row>
    <row>
      <c r="B6" s="28" t="s">
        <v>91</v>
      </c>
      <c s="22" t="s">
        <v>99</v>
      </c>
      <c s="61" t="s">
        <v>12</v>
      </c>
      <c s="12" t="s">
        <v>63</v>
      </c>
    </row>
    <row>
      <c r="C7" s="21"/>
      <c s="25" t="s">
        <v>13</v>
      </c>
      <c s="12" t="s">
        <v>68</v>
      </c>
    </row>
    <row>
      <c r="C8" s="25" t="s">
        <v>6</v>
      </c>
      <c s="21"/>
    </row>
    <row>
      <c r="C9" s="21"/>
      <c s="22" t="s">
        <v>31</v>
      </c>
      <c s="34"/>
    </row>
    <row>
      <c r="C10" s="22" t="s">
        <v>55</v>
      </c>
      <c s="35" t="s">
        <v>76</v>
      </c>
      <c s="12" t="s">
        <v>17</v>
      </c>
    </row>
    <row>
      <c r="B11" s="28" t="s">
        <v>64</v>
      </c>
      <c s="48" t="s">
        <v>56</v>
      </c>
      <c s="57">
        <v>60398</v>
      </c>
      <c s="12" t="s">
        <v>32</v>
      </c>
    </row>
    <row>
      <c r="B12" s="28"/>
      <c s="64"/>
      <c s="39"/>
      <c s="36" t="s">
        <v>83</v>
      </c>
    </row>
    <row>
      <c r="B13" s="28" t="s">
        <v>57</v>
      </c>
      <c s="51" t="s">
        <v>23</v>
      </c>
      <c s="46">
        <v>1212</v>
      </c>
      <c s="33" t="b">
        <v>0</v>
      </c>
      <c s="12" t="s">
        <v>77</v>
      </c>
    </row>
    <row ht="12.75" hidden="1">
      <c r="B14" s="28"/>
      <c s="51"/>
      <c s="67"/>
      <c s="33" t="b">
        <v>0</v>
      </c>
    </row>
    <row>
      <c r="B15" s="28" t="s">
        <v>100</v>
      </c>
      <c s="33" t="s">
        <v>105</v>
      </c>
      <c s="37">
        <v>1212</v>
      </c>
      <c s="33" t="b">
        <v>0</v>
      </c>
      <c s="12" t="s">
        <v>24</v>
      </c>
    </row>
    <row ht="12.75" hidden="1">
      <c r="B16" s="28"/>
      <c r="D16" s="20"/>
      <c s="33" t="b">
        <v>0</v>
      </c>
      <c s="12"/>
    </row>
    <row>
      <c r="B17" s="28"/>
      <c s="33" t="s">
        <v>33</v>
      </c>
      <c s="54">
        <v>3434</v>
      </c>
      <c s="33" t="b">
        <v>0</v>
      </c>
      <c s="12" t="s">
        <v>78</v>
      </c>
    </row>
    <row>
      <c r="B18" s="28"/>
      <c r="D18" s="20"/>
      <c s="33" t="b">
        <v>0</v>
      </c>
      <c s="12"/>
    </row>
    <row>
      <c r="B19" s="28"/>
      <c s="33" t="s">
        <v>7</v>
      </c>
      <c s="53">
        <v>3434</v>
      </c>
      <c s="33" t="b">
        <v>0</v>
      </c>
      <c s="12" t="s">
        <v>92</v>
      </c>
    </row>
    <row>
      <c r="B20" s="28"/>
      <c r="D20" s="20"/>
      <c s="33" t="b">
        <v>0</v>
      </c>
      <c s="12"/>
    </row>
    <row>
      <c r="B21" s="28"/>
      <c s="33" t="s">
        <v>93</v>
      </c>
      <c s="65">
        <v>5656</v>
      </c>
      <c s="33" t="b">
        <v>0</v>
      </c>
      <c s="12" t="s">
        <v>109</v>
      </c>
    </row>
    <row>
      <c r="B22" s="28"/>
      <c r="E22" s="12"/>
      <c r="I22" s="55"/>
    </row>
    <row>
      <c r="B23" s="32" t="s">
        <v>8</v>
      </c>
      <c s="32"/>
    </row>
    <row>
      <c r="B24" s="11" t="s">
        <v>65</v>
      </c>
      <c s="11" t="s">
        <v>34</v>
      </c>
      <c s="11" t="s">
        <v>14</v>
      </c>
      <c s="11" t="s">
        <v>94</v>
      </c>
      <c s="11"/>
      <c s="11"/>
      <c s="11" t="s">
        <v>110</v>
      </c>
    </row>
    <row>
      <c s="33" t="s">
        <v>69</v>
      </c>
      <c r="C25" s="50" t="s">
        <v>66</v>
      </c>
      <c s="26" t="s">
        <v>103</v>
      </c>
      <c s="26">
        <v>1234.5599999999999</v>
      </c>
      <c s="12" t="s">
        <v>84</v>
      </c>
      <c r="H25" s="33" t="s">
        <v>95</v>
      </c>
    </row>
    <row>
      <c s="33" t="s">
        <v>101</v>
      </c>
      <c r="C26" s="50" t="s">
        <v>66</v>
      </c>
      <c s="26" t="s">
        <v>103</v>
      </c>
      <c s="26">
        <v>1234.5599999999999</v>
      </c>
      <c s="12" t="s">
        <v>70</v>
      </c>
      <c r="H26" s="33" t="s">
        <v>111</v>
      </c>
    </row>
    <row>
      <c r="C27" s="50" t="s">
        <v>66</v>
      </c>
      <c s="66" t="s">
        <v>103</v>
      </c>
      <c s="26">
        <v>1234.5599999999999</v>
      </c>
      <c r="H27" s="33" t="s">
        <v>71</v>
      </c>
    </row>
    <row>
      <c r="C28" s="58" t="s">
        <v>9</v>
      </c>
      <c s="66" t="s">
        <v>15</v>
      </c>
      <c s="26">
        <v>1234.5599999999999</v>
      </c>
      <c r="H28" s="33" t="s">
        <v>35</v>
      </c>
    </row>
    <row>
      <c r="C29" s="58" t="s">
        <v>51</v>
      </c>
      <c s="69" t="s">
        <v>20</v>
      </c>
      <c s="38">
        <v>1234.5599999999999</v>
      </c>
      <c r="H29" s="33" t="s">
        <v>112</v>
      </c>
    </row>
    <row>
      <c r="C30" s="58" t="s">
        <v>72</v>
      </c>
      <c s="45" t="s">
        <v>20</v>
      </c>
      <c s="44">
        <v>1234.5599999999999</v>
      </c>
    </row>
    <row>
      <c r="C31" s="58" t="s">
        <v>72</v>
      </c>
      <c s="41" t="s">
        <v>52</v>
      </c>
      <c s="43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
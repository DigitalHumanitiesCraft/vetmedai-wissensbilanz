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570" windowHeight="7860"/>
  </bookViews>
  <sheets>
    <sheet name="Tab" sheetId="1" r:id="rId1"/>
    <sheet name="Tabelle2" sheetId="2" state="hidden" r:id="rId2"/>
    <sheet name="XLCubedFormats" sheetId="3" state="hidden" r:id="rId3"/>
  </sheets>
  <definedNames>
    <definedName name="_xlnm.Print_Area" localSheetId="0">Tab!$A$1:$O$40</definedName>
    <definedName name="XL3DisableCameraObjects" hidden="1">XLCubedFormats!A1</definedName>
    <definedName name="XL3ObjLocation72640f91_43da_4ff7_ba94_d5f5a4dd0511">Tab!$A$9</definedName>
  </definedNames>
  <calcPr calcId="40001"/>
</workbook>
</file>

<file path=xl/sharedStrings.xml><?xml version="1.0" encoding="utf-8"?>
<sst xmlns="http://schemas.openxmlformats.org/spreadsheetml/2006/main" uniqueCount="577">
  <si>
    <t>Slicer Button Background</t>
  </si>
  <si>
    <t>Grid Title</t>
  </si>
  <si>
    <t>Oth Written Member</t>
  </si>
  <si>
    <t>Fill in Grid Name, Dimension or Both</t>
  </si>
  <si>
    <t xml:space="preserve">      UV</t>
  </si>
  <si>
    <t xml:space="preserve">      UR</t>
  </si>
  <si>
    <t>Frauen</t>
  </si>
  <si>
    <t/>
  </si>
  <si>
    <t>UC</t>
  </si>
  <si>
    <t>UG</t>
  </si>
  <si>
    <t>UA Studienjahr 2008/09</t>
  </si>
  <si>
    <t>UB Studienjahr 2014/15</t>
  </si>
  <si>
    <t>UC Studienjahr 2007/08</t>
  </si>
  <si>
    <t>UD Studienjahr 2013/14</t>
  </si>
  <si>
    <t>UE Studienjahr 2006/07</t>
  </si>
  <si>
    <t>UF Studienjahr 2017/18</t>
  </si>
  <si>
    <t>UH Studienjahr 2016/17</t>
  </si>
  <si>
    <t>UJ Studienjahr 2015/16</t>
  </si>
  <si>
    <t>UL Studienjahr 2014/15</t>
  </si>
  <si>
    <t>UM Studienjahr 2007/08</t>
  </si>
  <si>
    <t>UN Studienjahr 2013/14</t>
  </si>
  <si>
    <t>UO Studienjahr 2006/07</t>
  </si>
  <si>
    <t>UR Studienjahr 2016/17</t>
  </si>
  <si>
    <t>UT Studienjahr 2015/16</t>
  </si>
  <si>
    <t>UU Studienjahr 2019/20</t>
  </si>
  <si>
    <t>UV Studienjahr 2014/15</t>
  </si>
  <si>
    <t>UW Studienjahr 2007/08</t>
  </si>
  <si>
    <t>UW Studienjahr 2020/21</t>
  </si>
  <si>
    <t>UK Studienjahr 2021/22</t>
  </si>
  <si>
    <t>UU Studienjahr 2021/22</t>
  </si>
  <si>
    <t>UI Studienjahr 2022/23</t>
  </si>
  <si>
    <t>US Studienjahr 2022/23</t>
  </si>
  <si>
    <t>Studienjahr 2022/23</t>
  </si>
  <si>
    <t>UG Studienjahr 2023/24</t>
  </si>
  <si>
    <t>UQ Studienjahr 2023/24</t>
  </si>
  <si>
    <t>UE Studienjahr 2024/25</t>
  </si>
  <si>
    <t>UO Studienjahr 2024/25</t>
  </si>
  <si>
    <t>Universität</t>
  </si>
  <si>
    <t>All Marital Status</t>
  </si>
  <si>
    <t>Male</t>
  </si>
  <si>
    <t>Member1 Name</t>
  </si>
  <si>
    <t xml:space="preserve">      Techn.Universität Wien</t>
  </si>
  <si>
    <t xml:space="preserve">      Medizinische Universität Graz</t>
  </si>
  <si>
    <t>Staatengruppe (Ö, EU, andere)</t>
  </si>
  <si>
    <t>Studienjahr 2016/17</t>
  </si>
  <si>
    <t>UO</t>
  </si>
  <si>
    <t>UK</t>
  </si>
  <si>
    <t>US</t>
  </si>
  <si>
    <t>UA Studienjahr 2019/20</t>
  </si>
  <si>
    <t>UB Studienjahr 2008/09</t>
  </si>
  <si>
    <t>UE Studienjahr 2018/19</t>
  </si>
  <si>
    <t>UF Studienjahr 2012/13</t>
  </si>
  <si>
    <t>UG Studienjahr 2017/18</t>
  </si>
  <si>
    <t>UH Studienjahr 2009/10</t>
  </si>
  <si>
    <t>UH Studienjahr 2011/12</t>
  </si>
  <si>
    <t>UI Studienjahr 2016/17</t>
  </si>
  <si>
    <t>UJ Studienjahr 2010/11</t>
  </si>
  <si>
    <t>UK Studienjahr 2019/20</t>
  </si>
  <si>
    <t>UL Studienjahr 2008/09</t>
  </si>
  <si>
    <t>UN Studienjahr 2007/08</t>
  </si>
  <si>
    <t>UO Studienjahr 2018/19</t>
  </si>
  <si>
    <t>UQ Studienjahr 2017/18</t>
  </si>
  <si>
    <t>UR Studienjahr 2009/10</t>
  </si>
  <si>
    <t>UR Studienjahr 2011/12</t>
  </si>
  <si>
    <t>US Studienjahr 2016/17</t>
  </si>
  <si>
    <t>UT Studienjahr 2010/11</t>
  </si>
  <si>
    <t>UU Studienjahr 2015/16</t>
  </si>
  <si>
    <t>UV Studienjahr 2008/09</t>
  </si>
  <si>
    <t>UW Studienjahr 2014/15</t>
  </si>
  <si>
    <t>UC Studienjahr 2020/21</t>
  </si>
  <si>
    <t>UM Studienjahr 2020/21</t>
  </si>
  <si>
    <t>UA Studienjahr 2021/22</t>
  </si>
  <si>
    <t>2021/22</t>
  </si>
  <si>
    <t>UR Studienjahr 2023/24</t>
  </si>
  <si>
    <t>&lt;-- default Column Member Format</t>
  </si>
  <si>
    <t>Studienjahr 2009/10</t>
  </si>
  <si>
    <t xml:space="preserve">      Montanuniversität Leoben</t>
  </si>
  <si>
    <t xml:space="preserve">      Univ.f.angew.Kunst Wien</t>
  </si>
  <si>
    <t xml:space="preserve">      Technische Universität Graz</t>
  </si>
  <si>
    <t xml:space="preserve">      Universität Salzburg</t>
  </si>
  <si>
    <t>Studienjahr 2011/12</t>
  </si>
  <si>
    <t xml:space="preserve">      UG</t>
  </si>
  <si>
    <t xml:space="preserve">      UC</t>
  </si>
  <si>
    <t>UW</t>
  </si>
  <si>
    <t>UA Studienjahr 2015/16</t>
  </si>
  <si>
    <t>UB Studienjahr 2019/20</t>
  </si>
  <si>
    <t>UC Studienjahr 2014/15</t>
  </si>
  <si>
    <t>UD Studienjahr 2007/08</t>
  </si>
  <si>
    <t>UE Studienjahr 2013/14</t>
  </si>
  <si>
    <t>UF Studienjahr 2006/07</t>
  </si>
  <si>
    <t>UG Studienjahr 2012/13</t>
  </si>
  <si>
    <t>UI Studienjahr 2009/10</t>
  </si>
  <si>
    <t>UI Studienjahr 2011/12</t>
  </si>
  <si>
    <t>UK Studienjahr 2015/16</t>
  </si>
  <si>
    <t>UL Studienjahr 2019/20</t>
  </si>
  <si>
    <t>UM Studienjahr 2014/15</t>
  </si>
  <si>
    <t>UO Studienjahr 2013/14</t>
  </si>
  <si>
    <t>UQ Studienjahr 2012/13</t>
  </si>
  <si>
    <t>US Studienjahr 2009/10</t>
  </si>
  <si>
    <t>US Studienjahr 2011/12</t>
  </si>
  <si>
    <t>UU Studienjahr 2010/11</t>
  </si>
  <si>
    <t>UV Studienjahr 2019/20</t>
  </si>
  <si>
    <t>UD Studienjahr 2020/21</t>
  </si>
  <si>
    <t>UN Studienjahr 2020/21</t>
  </si>
  <si>
    <t>UB Studienjahr 2021/22</t>
  </si>
  <si>
    <t>UL Studienjahr 2021/22</t>
  </si>
  <si>
    <t>UV Studienjahr 2021/22</t>
  </si>
  <si>
    <t>UJ Studienjahr 2022/23</t>
  </si>
  <si>
    <t>UT Studienjahr 2022/23</t>
  </si>
  <si>
    <t>UH Studienjahr 2023/24</t>
  </si>
  <si>
    <t>UF Studienjahr 2024/25</t>
  </si>
  <si>
    <t>Alternate Rows</t>
  </si>
  <si>
    <t>&lt;--  writeable cell format</t>
  </si>
  <si>
    <t>Nähere Informationen zu den Kennzahlen bzw. deren Definition finden sich in der aktuellen Ausgabe des Arbeitsbehelfs zur Wissensbilanz-Verordung.</t>
  </si>
  <si>
    <t xml:space="preserve">      Universität Wien</t>
  </si>
  <si>
    <t xml:space="preserve">      UK</t>
  </si>
  <si>
    <t xml:space="preserve">      UO</t>
  </si>
  <si>
    <t>Gesamt</t>
  </si>
  <si>
    <t xml:space="preserve">      Universität für Musik und darstellende Kunst Graz</t>
  </si>
  <si>
    <t xml:space="preserve">      Universität für angewandte Kunst Wien</t>
  </si>
  <si>
    <t>UA Studienjahr 2010/11</t>
  </si>
  <si>
    <t>UB Studienjahr 2015/16</t>
  </si>
  <si>
    <t>UC Studienjahr 2008/09</t>
  </si>
  <si>
    <t>UD Studienjahr 2014/15</t>
  </si>
  <si>
    <t>UE Studienjahr 2007/08</t>
  </si>
  <si>
    <t>UF Studienjahr 2018/19</t>
  </si>
  <si>
    <t>UG Studienjahr 2006/07</t>
  </si>
  <si>
    <t>UH Studienjahr 2017/18</t>
  </si>
  <si>
    <t>UJ Studienjahr 2016/17</t>
  </si>
  <si>
    <t>UK Studienjahr 2010/11</t>
  </si>
  <si>
    <t>UL Studienjahr 2015/16</t>
  </si>
  <si>
    <t>UM Studienjahr 2008/09</t>
  </si>
  <si>
    <t>UN Studienjahr 2014/15</t>
  </si>
  <si>
    <t>UO Studienjahr 2007/08</t>
  </si>
  <si>
    <t>UQ Studienjahr 2006/07</t>
  </si>
  <si>
    <t>UR Studienjahr 2017/18</t>
  </si>
  <si>
    <t>UT Studienjahr 2016/17</t>
  </si>
  <si>
    <t>UV Studienjahr 2015/16</t>
  </si>
  <si>
    <t>UW Studienjahr 2008/09</t>
  </si>
  <si>
    <t>UW Studienjahr 2019/20</t>
  </si>
  <si>
    <t>UW Studienjahr 2021/22</t>
  </si>
  <si>
    <t>UK Studienjahr 2022/23</t>
  </si>
  <si>
    <t>UU Studienjahr 2022/23</t>
  </si>
  <si>
    <t>UI Studienjahr 2023/24</t>
  </si>
  <si>
    <t>US Studienjahr 2023/24</t>
  </si>
  <si>
    <t>Studienjahr 2023/24</t>
  </si>
  <si>
    <t>UG Studienjahr 2024/25</t>
  </si>
  <si>
    <t>UQ Studienjahr 2024/25</t>
  </si>
  <si>
    <t>Slicer Title</t>
  </si>
  <si>
    <t>Calendar Period</t>
  </si>
  <si>
    <t>&lt;-- default cell format</t>
  </si>
  <si>
    <t>Written Member</t>
  </si>
  <si>
    <t>Dimension/Column</t>
  </si>
  <si>
    <t xml:space="preserve">      UW</t>
  </si>
  <si>
    <t xml:space="preserve">      US</t>
  </si>
  <si>
    <t>Studienjahr 2017/18</t>
  </si>
  <si>
    <t xml:space="preserve">      Akad.d.bild.Künste Wien</t>
  </si>
  <si>
    <t xml:space="preserve">      Medizinische Univ.Graz</t>
  </si>
  <si>
    <t>UH</t>
  </si>
  <si>
    <t>UB Studienjahr 2010/11</t>
  </si>
  <si>
    <t>UC Studienjahr 2019/20</t>
  </si>
  <si>
    <t>UF Studienjahr 2013/14</t>
  </si>
  <si>
    <t>UG Studienjahr 2018/19</t>
  </si>
  <si>
    <t>UH Studienjahr 2012/13</t>
  </si>
  <si>
    <t>UI Studienjahr 2017/18</t>
  </si>
  <si>
    <t>UJ Studienjahr 2009/10</t>
  </si>
  <si>
    <t>UJ Studienjahr 2011/12</t>
  </si>
  <si>
    <t>UK Studienjahr 2016/17</t>
  </si>
  <si>
    <t>UL Studienjahr 2010/11</t>
  </si>
  <si>
    <t>UM Studienjahr 2019/20</t>
  </si>
  <si>
    <t>UN Studienjahr 2008/09</t>
  </si>
  <si>
    <t>UQ Studienjahr 2018/19</t>
  </si>
  <si>
    <t>UR Studienjahr 2012/13</t>
  </si>
  <si>
    <t>US Studienjahr 2017/18</t>
  </si>
  <si>
    <t>UT Studienjahr 2009/10</t>
  </si>
  <si>
    <t>UT Studienjahr 2011/12</t>
  </si>
  <si>
    <t>UU Studienjahr 2016/17</t>
  </si>
  <si>
    <t>UV Studienjahr 2010/11</t>
  </si>
  <si>
    <t>UW Studienjahr 2015/16</t>
  </si>
  <si>
    <t>UE Studienjahr 2020/21</t>
  </si>
  <si>
    <t>UO Studienjahr 2020/21</t>
  </si>
  <si>
    <t>UC Studienjahr 2021/22</t>
  </si>
  <si>
    <t>UM Studienjahr 2021/22</t>
  </si>
  <si>
    <t>UA Studienjahr 2022/23</t>
  </si>
  <si>
    <t>2022/23</t>
  </si>
  <si>
    <t>UR Studienjahr 2024/25</t>
  </si>
  <si>
    <t>Slice Name (Optional)</t>
  </si>
  <si>
    <t>Prüfungsaktive</t>
  </si>
  <si>
    <t xml:space="preserve">      Universität Mozarteum Salzburg</t>
  </si>
  <si>
    <t>Männer</t>
  </si>
  <si>
    <t>STICHTAG</t>
  </si>
  <si>
    <t>Studienjahr 2012/13</t>
  </si>
  <si>
    <t xml:space="preserve">      Veterinärmed.Univ.Wien</t>
  </si>
  <si>
    <t>UL</t>
  </si>
  <si>
    <t>UA Studienjahr 2016/17</t>
  </si>
  <si>
    <t>UC Studienjahr 2015/16</t>
  </si>
  <si>
    <t>UD Studienjahr 2008/09</t>
  </si>
  <si>
    <t>UD Studienjahr 2019/20</t>
  </si>
  <si>
    <t>UE Studienjahr 2014/15</t>
  </si>
  <si>
    <t>UF Studienjahr 2007/08</t>
  </si>
  <si>
    <t>UG Studienjahr 2013/14</t>
  </si>
  <si>
    <t>UH Studienjahr 2006/07</t>
  </si>
  <si>
    <t>UI Studienjahr 2012/13</t>
  </si>
  <si>
    <t>UM Studienjahr 2015/16</t>
  </si>
  <si>
    <t>UN Studienjahr 2019/20</t>
  </si>
  <si>
    <t>UO Studienjahr 2014/15</t>
  </si>
  <si>
    <t>UQ Studienjahr 2013/14</t>
  </si>
  <si>
    <t>UR Studienjahr 2006/07</t>
  </si>
  <si>
    <t>US Studienjahr 2012/13</t>
  </si>
  <si>
    <t>UU Studienjahr 2009/10</t>
  </si>
  <si>
    <t>UU Studienjahr 2011/12</t>
  </si>
  <si>
    <t>UD Studienjahr 2021/22</t>
  </si>
  <si>
    <t>UN Studienjahr 2021/22</t>
  </si>
  <si>
    <t>UB Studienjahr 2022/23</t>
  </si>
  <si>
    <t>UL Studienjahr 2022/23</t>
  </si>
  <si>
    <t>UV Studienjahr 2022/23</t>
  </si>
  <si>
    <t>UJ Studienjahr 2023/24</t>
  </si>
  <si>
    <t>UT Studienjahr 2023/24</t>
  </si>
  <si>
    <t>UH Studienjahr 2024/25</t>
  </si>
  <si>
    <t>Measures</t>
  </si>
  <si>
    <t>Anmerkung: Aufgrund von Änderungen in den Erhebungsmethoden sind die Indikatorwerte im zeitlichen Verlauf nicht immer direkt vergleichbar</t>
  </si>
  <si>
    <t xml:space="preserve">      Akademie der bildenden Künste Wien</t>
  </si>
  <si>
    <t xml:space="preserve">      Univ.f.Mus.u.darst.K.Graz</t>
  </si>
  <si>
    <t xml:space="preserve">      Universität Innsbruck</t>
  </si>
  <si>
    <t xml:space="preserve">      UD</t>
  </si>
  <si>
    <t>UT</t>
  </si>
  <si>
    <t>UA Studienjahr 2009/10</t>
  </si>
  <si>
    <t>UA Studienjahr 2011/12</t>
  </si>
  <si>
    <t>UB Studienjahr 2016/17</t>
  </si>
  <si>
    <t>UC Studienjahr 2010/11</t>
  </si>
  <si>
    <t>UD Studienjahr 2015/16</t>
  </si>
  <si>
    <t>UE Studienjahr 2008/09</t>
  </si>
  <si>
    <t>UG Studienjahr 2007/08</t>
  </si>
  <si>
    <t>UH Studienjahr 2018/19</t>
  </si>
  <si>
    <t>UI Studienjahr 2006/07</t>
  </si>
  <si>
    <t>UJ Studienjahr 2017/18</t>
  </si>
  <si>
    <t>UK Studienjahr 2011/12</t>
  </si>
  <si>
    <t>UL Studienjahr 2016/17</t>
  </si>
  <si>
    <t>UN Studienjahr 2015/16</t>
  </si>
  <si>
    <t>UO Studienjahr 2008/09</t>
  </si>
  <si>
    <t>UQ Studienjahr 2007/08</t>
  </si>
  <si>
    <t>UR Studienjahr 2018/19</t>
  </si>
  <si>
    <t>US Studienjahr 2006/07</t>
  </si>
  <si>
    <t>UT Studienjahr 2017/18</t>
  </si>
  <si>
    <t>UV Studienjahr 2016/17</t>
  </si>
  <si>
    <t>UW Studienjahr 2010/11</t>
  </si>
  <si>
    <t>UF Studienjahr 2020/21</t>
  </si>
  <si>
    <t>UW Studienjahr 2022/23</t>
  </si>
  <si>
    <t>UK Studienjahr 2023/24</t>
  </si>
  <si>
    <t>UU Studienjahr 2023/24</t>
  </si>
  <si>
    <t>Studienjahr 2024/25</t>
  </si>
  <si>
    <t>UI Studienjahr 2024/25</t>
  </si>
  <si>
    <t>US Studienjahr 2024/25</t>
  </si>
  <si>
    <t>Customer</t>
  </si>
  <si>
    <t>-All Customer</t>
  </si>
  <si>
    <t>Default Alternate Row Member Format --&gt;</t>
  </si>
  <si>
    <t xml:space="preserve">      UL</t>
  </si>
  <si>
    <t xml:space="preserve">      UH</t>
  </si>
  <si>
    <t xml:space="preserve">      Veterinärmedizinische Universität Wien</t>
  </si>
  <si>
    <t>ALLG Semester.Studienjahr (Langbezeichnung)</t>
  </si>
  <si>
    <t xml:space="preserve">      Technische Universität Wien</t>
  </si>
  <si>
    <t xml:space="preserve">      Medizinische Universität Wien</t>
  </si>
  <si>
    <t>Studienjahr 2018/19</t>
  </si>
  <si>
    <t>UA</t>
  </si>
  <si>
    <t>UB Studienjahr 2009/10</t>
  </si>
  <si>
    <t>UB Studienjahr 2011/12</t>
  </si>
  <si>
    <t>UE Studienjahr 2019/20</t>
  </si>
  <si>
    <t>UF Studienjahr 2014/15</t>
  </si>
  <si>
    <t>UH Studienjahr 2013/14</t>
  </si>
  <si>
    <t>UI Studienjahr 2018/19</t>
  </si>
  <si>
    <t>UJ Studienjahr 2012/13</t>
  </si>
  <si>
    <t>UK Studienjahr 2017/18</t>
  </si>
  <si>
    <t>UL Studienjahr 2009/10</t>
  </si>
  <si>
    <t>UL Studienjahr 2011/12</t>
  </si>
  <si>
    <t>UN Studienjahr 2010/11</t>
  </si>
  <si>
    <t>UO Studienjahr 2019/20</t>
  </si>
  <si>
    <t>UR Studienjahr 2013/14</t>
  </si>
  <si>
    <t>US Studienjahr 2018/19</t>
  </si>
  <si>
    <t>UT Studienjahr 2012/13</t>
  </si>
  <si>
    <t>UU Studienjahr 2017/18</t>
  </si>
  <si>
    <t>UV Studienjahr 2009/10</t>
  </si>
  <si>
    <t>UV Studienjahr 2011/12</t>
  </si>
  <si>
    <t>UW Studienjahr 2016/17</t>
  </si>
  <si>
    <t>UG Studienjahr 2020/21</t>
  </si>
  <si>
    <t>UQ Studienjahr 2020/21</t>
  </si>
  <si>
    <t>UE Studienjahr 2021/22</t>
  </si>
  <si>
    <t>UO Studienjahr 2021/22</t>
  </si>
  <si>
    <t>UC Studienjahr 2022/23</t>
  </si>
  <si>
    <t>UM Studienjahr 2022/23</t>
  </si>
  <si>
    <t>UA Studienjahr 2023/24</t>
  </si>
  <si>
    <t>2023/24</t>
  </si>
  <si>
    <t>Slicer Item</t>
  </si>
  <si>
    <t>&lt;-- default Slicer Member Format</t>
  </si>
  <si>
    <t>Default Row Member Format --&gt;</t>
  </si>
  <si>
    <t>Grid/Table Name</t>
  </si>
  <si>
    <t>[ALLG Semester].[Studienjahr #Langbezeichnung#]</t>
  </si>
  <si>
    <t>[Measures]</t>
  </si>
  <si>
    <t xml:space="preserve">      Univ.künst.u.i.Gest.Linz</t>
  </si>
  <si>
    <t xml:space="preserve">Prüfungsaktive </t>
  </si>
  <si>
    <t xml:space="preserve">      Universität für Musik und darstellende Kunst Wien</t>
  </si>
  <si>
    <t>Studienjahr 2013/14</t>
  </si>
  <si>
    <t xml:space="preserve">      UT</t>
  </si>
  <si>
    <t>UE</t>
  </si>
  <si>
    <t>UI</t>
  </si>
  <si>
    <t>UA Studienjahr 2017/18</t>
  </si>
  <si>
    <t>UC Studienjahr 2016/17</t>
  </si>
  <si>
    <t>UD Studienjahr 2010/11</t>
  </si>
  <si>
    <t>UE Studienjahr 2015/16</t>
  </si>
  <si>
    <t>UF Studienjahr 2008/09</t>
  </si>
  <si>
    <t>UG Studienjahr 2014/15</t>
  </si>
  <si>
    <t>UH Studienjahr 2007/08</t>
  </si>
  <si>
    <t>UI Studienjahr 2013/14</t>
  </si>
  <si>
    <t>UJ Studienjahr 2006/07</t>
  </si>
  <si>
    <t>UM Studienjahr 2016/17</t>
  </si>
  <si>
    <t>UO Studienjahr 2015/16</t>
  </si>
  <si>
    <t>UQ Studienjahr 2014/15</t>
  </si>
  <si>
    <t>UR Studienjahr 2007/08</t>
  </si>
  <si>
    <t>US Studienjahr 2013/14</t>
  </si>
  <si>
    <t>UT Studienjahr 2006/07</t>
  </si>
  <si>
    <t>UU Studienjahr 2012/13</t>
  </si>
  <si>
    <t>UD Studienjahr 2022/23</t>
  </si>
  <si>
    <t>UN Studienjahr 2022/23</t>
  </si>
  <si>
    <t>UB Studienjahr 2023/24</t>
  </si>
  <si>
    <t>UL Studienjahr 2023/24</t>
  </si>
  <si>
    <t>UV Studienjahr 2023/24</t>
  </si>
  <si>
    <t>UJ Studienjahr 2024/25</t>
  </si>
  <si>
    <t>UT Studienjahr 2024/25</t>
  </si>
  <si>
    <t>&lt;-- writeable Slicer Member Format</t>
  </si>
  <si>
    <t xml:space="preserve">      Medizinische Univ.Wien</t>
  </si>
  <si>
    <t xml:space="preserve">      Universität für Bodenkultur Wien</t>
  </si>
  <si>
    <t>LIEFIDF_III_1_6</t>
  </si>
  <si>
    <t>UQ</t>
  </si>
  <si>
    <t>UM</t>
  </si>
  <si>
    <t>UA Studienjahr 2012/13</t>
  </si>
  <si>
    <t>UB Studienjahr 2017/18</t>
  </si>
  <si>
    <t>UC Studienjahr 2011/12</t>
  </si>
  <si>
    <t>UD Studienjahr 2016/17</t>
  </si>
  <si>
    <t>UE Studienjahr 2010/11</t>
  </si>
  <si>
    <t>UF Studienjahr 2019/20</t>
  </si>
  <si>
    <t>UG Studienjahr 2008/09</t>
  </si>
  <si>
    <t>UI Studienjahr 2007/08</t>
  </si>
  <si>
    <t>UJ Studienjahr 2018/19</t>
  </si>
  <si>
    <t>UK Studienjahr 2012/13</t>
  </si>
  <si>
    <t>UL Studienjahr 2017/18</t>
  </si>
  <si>
    <t>UM Studienjahr 2009/10</t>
  </si>
  <si>
    <t>UM Studienjahr 2011/12</t>
  </si>
  <si>
    <t>UN Studienjahr 2016/17</t>
  </si>
  <si>
    <t>UO Studienjahr 2010/11</t>
  </si>
  <si>
    <t>UQ Studienjahr 2008/09</t>
  </si>
  <si>
    <t>US Studienjahr 2007/08</t>
  </si>
  <si>
    <t>UT Studienjahr 2018/19</t>
  </si>
  <si>
    <t>UU Studienjahr 2006/07</t>
  </si>
  <si>
    <t>UV Studienjahr 2017/18</t>
  </si>
  <si>
    <t>UW Studienjahr 2009/10</t>
  </si>
  <si>
    <t>UW Studienjahr 2011/12</t>
  </si>
  <si>
    <t>UH Studienjahr 2020/21</t>
  </si>
  <si>
    <t>UR Studienjahr 2020/21</t>
  </si>
  <si>
    <t>UF Studienjahr 2021/22</t>
  </si>
  <si>
    <t>UW Studienjahr 2023/24</t>
  </si>
  <si>
    <t>UK Studienjahr 2024/25</t>
  </si>
  <si>
    <t>UU Studienjahr 2024/25</t>
  </si>
  <si>
    <t>Slicer Button</t>
  </si>
  <si>
    <t>+2009</t>
  </si>
  <si>
    <t>&lt;-- default alternate row cell format</t>
  </si>
  <si>
    <t>&lt;--  written cell format</t>
  </si>
  <si>
    <t xml:space="preserve">      UE</t>
  </si>
  <si>
    <t xml:space="preserve">      UA</t>
  </si>
  <si>
    <t xml:space="preserve">      Wirtschaftsuniversität Wien</t>
  </si>
  <si>
    <t>UU</t>
  </si>
  <si>
    <t>UA Studienjahr 2006/07</t>
  </si>
  <si>
    <t>UB Studienjahr 2012/13</t>
  </si>
  <si>
    <t>UF Studienjahr 2015/16</t>
  </si>
  <si>
    <t>UG Studienjahr 2019/20</t>
  </si>
  <si>
    <t>UH Studienjahr 2014/15</t>
  </si>
  <si>
    <t>UJ Studienjahr 2013/14</t>
  </si>
  <si>
    <t>UK Studienjahr 2018/19</t>
  </si>
  <si>
    <t>UL Studienjahr 2012/13</t>
  </si>
  <si>
    <t>UN Studienjahr 2009/10</t>
  </si>
  <si>
    <t>UN Studienjahr 2011/12</t>
  </si>
  <si>
    <t>UQ Studienjahr 2019/20</t>
  </si>
  <si>
    <t>UR Studienjahr 2014/15</t>
  </si>
  <si>
    <t>UT Studienjahr 2013/14</t>
  </si>
  <si>
    <t>UU Studienjahr 2018/19</t>
  </si>
  <si>
    <t>UV Studienjahr 2012/13</t>
  </si>
  <si>
    <t>UW Studienjahr 2017/18</t>
  </si>
  <si>
    <t>UI Studienjahr 2020/21</t>
  </si>
  <si>
    <t>US Studienjahr 2020/21</t>
  </si>
  <si>
    <t>Studienjahr 2020/21</t>
  </si>
  <si>
    <t>UG Studienjahr 2021/22</t>
  </si>
  <si>
    <t>UQ Studienjahr 2021/22</t>
  </si>
  <si>
    <t>UE Studienjahr 2022/23</t>
  </si>
  <si>
    <t>UO Studienjahr 2022/23</t>
  </si>
  <si>
    <t>UC Studienjahr 2023/24</t>
  </si>
  <si>
    <t>UM Studienjahr 2023/24</t>
  </si>
  <si>
    <t>UA Studienjahr 2024/25</t>
  </si>
  <si>
    <t>Display Formats For:</t>
  </si>
  <si>
    <t>Enabled?</t>
  </si>
  <si>
    <t xml:space="preserve">      Univ.f.Mus.u.darst.K.Wien</t>
  </si>
  <si>
    <t xml:space="preserve">      Universität für künstlerische und industrielle Gestaltung Linz</t>
  </si>
  <si>
    <t>Studienart</t>
  </si>
  <si>
    <t>Studienjahr 2014/15</t>
  </si>
  <si>
    <t xml:space="preserve">      UI</t>
  </si>
  <si>
    <t>UA Studienjahr 2018/19</t>
  </si>
  <si>
    <t>UB Studienjahr 2006/07</t>
  </si>
  <si>
    <t>UC Studienjahr 2017/18</t>
  </si>
  <si>
    <t>UD Studienjahr 2009/10</t>
  </si>
  <si>
    <t>UD Studienjahr 2011/12</t>
  </si>
  <si>
    <t>UE Studienjahr 2016/17</t>
  </si>
  <si>
    <t>UF Studienjahr 2010/11</t>
  </si>
  <si>
    <t>UG Studienjahr 2015/16</t>
  </si>
  <si>
    <t>UH Studienjahr 2008/09</t>
  </si>
  <si>
    <t>UI Studienjahr 2014/15</t>
  </si>
  <si>
    <t>UJ Studienjahr 2007/08</t>
  </si>
  <si>
    <t>UL Studienjahr 2006/07</t>
  </si>
  <si>
    <t>UM Studienjahr 2017/18</t>
  </si>
  <si>
    <t>UO Studienjahr 2016/17</t>
  </si>
  <si>
    <t>UQ Studienjahr 2015/16</t>
  </si>
  <si>
    <t>UR Studienjahr 2008/09</t>
  </si>
  <si>
    <t>US Studienjahr 2014/15</t>
  </si>
  <si>
    <t>UT Studienjahr 2007/08</t>
  </si>
  <si>
    <t>UU Studienjahr 2013/14</t>
  </si>
  <si>
    <t>UV Studienjahr 2006/07</t>
  </si>
  <si>
    <t>UD Studienjahr 2023/24</t>
  </si>
  <si>
    <t>UN Studienjahr 2023/24</t>
  </si>
  <si>
    <t>Datenprüfung und -aufbereitung: bmfwf, Abt. I/10</t>
  </si>
  <si>
    <t>UB Studienjahr 2024/25</t>
  </si>
  <si>
    <t>UL Studienjahr 2024/25</t>
  </si>
  <si>
    <t>UV Studienjahr 2024/25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</si>
  <si>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</si>
  <si>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</si>
  <si>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</si>
  <si>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</si>
  <si>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</si>
  <si>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Studienjahr 2008/09</t>
  </si>
  <si>
    <t xml:space="preserve">      UQ</t>
  </si>
  <si>
    <t>ISCED2013 2.Ebene (Code, Langtext)</t>
  </si>
  <si>
    <t xml:space="preserve">      Techn.Universität Graz</t>
  </si>
  <si>
    <t xml:space="preserve">      UU</t>
  </si>
  <si>
    <t>UB</t>
  </si>
  <si>
    <t>UF</t>
  </si>
  <si>
    <t>UJ</t>
  </si>
  <si>
    <t>UA Studienjahr 2013/14</t>
  </si>
  <si>
    <t>UB Studienjahr 2018/19</t>
  </si>
  <si>
    <t>UC Studienjahr 2012/13</t>
  </si>
  <si>
    <t>UD Studienjahr 2017/18</t>
  </si>
  <si>
    <t>UE Studienjahr 2009/10</t>
  </si>
  <si>
    <t>UE Studienjahr 2011/12</t>
  </si>
  <si>
    <t>UG Studienjahr 2010/11</t>
  </si>
  <si>
    <t>UH Studienjahr 2019/20</t>
  </si>
  <si>
    <t>UI Studienjahr 2008/09</t>
  </si>
  <si>
    <t>UK Studienjahr 2013/14</t>
  </si>
  <si>
    <t>UL Studienjahr 2018/19</t>
  </si>
  <si>
    <t>UM Studienjahr 2012/13</t>
  </si>
  <si>
    <t>UN Studienjahr 2017/18</t>
  </si>
  <si>
    <t>UO Studienjahr 2009/10</t>
  </si>
  <si>
    <t>UO Studienjahr 2011/12</t>
  </si>
  <si>
    <t>UQ Studienjahr 2010/11</t>
  </si>
  <si>
    <t>UR Studienjahr 2019/20</t>
  </si>
  <si>
    <t>US Studienjahr 2008/09</t>
  </si>
  <si>
    <t>UU Studienjahr 2007/08</t>
  </si>
  <si>
    <t>UV Studienjahr 2018/19</t>
  </si>
  <si>
    <t>UW Studienjahr 2012/13</t>
  </si>
  <si>
    <t>Quelle: Datenmeldungen der Universitäten auf Basis UHSBV</t>
  </si>
  <si>
    <t>UJ Studienjahr 2020/21</t>
  </si>
  <si>
    <t>UT Studienjahr 2020/21</t>
  </si>
  <si>
    <t>UH Studienjahr 2021/22</t>
  </si>
  <si>
    <t>UR Studienjahr 2021/22</t>
  </si>
  <si>
    <t>Universität (Langtext)</t>
  </si>
  <si>
    <t>UF Studienjahr 2022/23</t>
  </si>
  <si>
    <t>UW Studienjahr 2024/25</t>
  </si>
  <si>
    <t>Marital Status</t>
  </si>
  <si>
    <t>Default Writeable Member Format --&gt;</t>
  </si>
  <si>
    <t>Universität (Codex)</t>
  </si>
  <si>
    <t>UN</t>
  </si>
  <si>
    <t>UR</t>
  </si>
  <si>
    <t>UA Studienjahr 2007/08</t>
  </si>
  <si>
    <t>UB Studienjahr 2013/14</t>
  </si>
  <si>
    <t>UC Studienjahr 2006/07</t>
  </si>
  <si>
    <t>UD Studienjahr 2012/13</t>
  </si>
  <si>
    <t>UF Studienjahr 2016/17</t>
  </si>
  <si>
    <t>UH Studienjahr 2015/16</t>
  </si>
  <si>
    <t>UI Studienjahr 2019/20</t>
  </si>
  <si>
    <t>UJ Studienjahr 2014/15</t>
  </si>
  <si>
    <t>UL Studienjahr 2013/14</t>
  </si>
  <si>
    <t>UM Studienjahr 2006/07</t>
  </si>
  <si>
    <t>UN Studienjahr 2012/13</t>
  </si>
  <si>
    <t>UR Studienjahr 2015/16</t>
  </si>
  <si>
    <t>US Studienjahr 2019/20</t>
  </si>
  <si>
    <t>UT Studienjahr 2014/15</t>
  </si>
  <si>
    <t>UV Studienjahr 2013/14</t>
  </si>
  <si>
    <t>UW Studienjahr 2006/07</t>
  </si>
  <si>
    <t>UW Studienjahr 2018/19</t>
  </si>
  <si>
    <t>UK Studienjahr 2020/21</t>
  </si>
  <si>
    <t>UU Studienjahr 2020/21</t>
  </si>
  <si>
    <t>Studienjahr 2019/20</t>
  </si>
  <si>
    <t>UI Studienjahr 2021/22</t>
  </si>
  <si>
    <t>US Studienjahr 2021/22</t>
  </si>
  <si>
    <t>Studienjahr 2021/22</t>
  </si>
  <si>
    <t>UG Studienjahr 2022/23</t>
  </si>
  <si>
    <t>UQ Studienjahr 2022/23</t>
  </si>
  <si>
    <t>UE Studienjahr 2023/24</t>
  </si>
  <si>
    <t>UO Studienjahr 2023/24</t>
  </si>
  <si>
    <t>UC Studienjahr 2024/25</t>
  </si>
  <si>
    <t>UM Studienjahr 2024/25</t>
  </si>
  <si>
    <t>Writeable Member</t>
  </si>
  <si>
    <t>Wissensbilanz</t>
  </si>
  <si>
    <t xml:space="preserve">      UB</t>
  </si>
  <si>
    <t xml:space="preserve">      Universität Linz</t>
  </si>
  <si>
    <t xml:space="preserve">      Universität Graz</t>
  </si>
  <si>
    <t xml:space="preserve">      Universität Klagenfurt</t>
  </si>
  <si>
    <t>Prüfungsaktive Bachelor-, Diplom- und Masterstudien</t>
  </si>
  <si>
    <t>Studienjahr 2015/16</t>
  </si>
  <si>
    <t xml:space="preserve">      Univ.f.Bodenkultur Wien</t>
  </si>
  <si>
    <t xml:space="preserve">      UF</t>
  </si>
  <si>
    <t>UV</t>
  </si>
  <si>
    <t>UB Studienjahr 2007/08</t>
  </si>
  <si>
    <t>UC Studienjahr 2018/19</t>
  </si>
  <si>
    <t>UE Studienjahr 2017/18</t>
  </si>
  <si>
    <t>UF Studienjahr 2009/10</t>
  </si>
  <si>
    <t>UF Studienjahr 2011/12</t>
  </si>
  <si>
    <t>UG Studienjahr 2016/17</t>
  </si>
  <si>
    <t>UH Studienjahr 2010/11</t>
  </si>
  <si>
    <t>UI Studienjahr 2015/16</t>
  </si>
  <si>
    <t>UJ Studienjahr 2008/09</t>
  </si>
  <si>
    <t>UL Studienjahr 2007/08</t>
  </si>
  <si>
    <t>UM Studienjahr 2018/19</t>
  </si>
  <si>
    <t>UN Studienjahr 2006/07</t>
  </si>
  <si>
    <t>UO Studienjahr 2017/18</t>
  </si>
  <si>
    <t>UQ Studienjahr 2016/17</t>
  </si>
  <si>
    <t>UR Studienjahr 2010/11</t>
  </si>
  <si>
    <t>US Studienjahr 2015/16</t>
  </si>
  <si>
    <t>UT Studienjahr 2008/09</t>
  </si>
  <si>
    <t>UU Studienjahr 2014/15</t>
  </si>
  <si>
    <t>UV Studienjahr 2007/08</t>
  </si>
  <si>
    <t>UW Studienjahr 2013/14</t>
  </si>
  <si>
    <t>UA Studienjahr 2020/21</t>
  </si>
  <si>
    <t>UR Studienjahr 2022/23</t>
  </si>
  <si>
    <t>UD Studienjahr 2024/25</t>
  </si>
  <si>
    <t>UN Studienjahr 2024/25</t>
  </si>
  <si>
    <t>Slicer Button Selected</t>
  </si>
  <si>
    <t>&lt;--  summary written cell</t>
  </si>
  <si>
    <t>Formatierungsrichtlinien</t>
  </si>
  <si>
    <t>Studienjahr 2010/11</t>
  </si>
  <si>
    <t>Kennzahl 2.A.6 - Gesamtübersicht</t>
  </si>
  <si>
    <t xml:space="preserve">      Univ.Mozarteum Salzburg</t>
  </si>
  <si>
    <t xml:space="preserve">      UJ</t>
  </si>
  <si>
    <t xml:space="preserve">      UN</t>
  </si>
  <si>
    <t xml:space="preserve">      Medizinische Universität Innsbruck</t>
  </si>
  <si>
    <t>Interpretation</t>
  </si>
  <si>
    <t>KZIDF_III_1_6</t>
  </si>
  <si>
    <t xml:space="preserve">      Wirtschaftsuniv.Wien</t>
  </si>
  <si>
    <t xml:space="preserve">      Medizin.Univ.Innsbruck</t>
  </si>
  <si>
    <t>UA Studienjahr 2014/15</t>
  </si>
  <si>
    <t>UC Studienjahr 2013/14</t>
  </si>
  <si>
    <t>UD Studienjahr 2018/19</t>
  </si>
  <si>
    <t>UE Studienjahr 2012/13</t>
  </si>
  <si>
    <t>UG Studienjahr 2009/10</t>
  </si>
  <si>
    <t>UG Studienjahr 2011/12</t>
  </si>
  <si>
    <t>UI Studienjahr 2010/11</t>
  </si>
  <si>
    <t>UJ Studienjahr 2019/20</t>
  </si>
  <si>
    <t>UK Studienjahr 2014/15</t>
  </si>
  <si>
    <t>UM Studienjahr 2013/14</t>
  </si>
  <si>
    <t>UN Studienjahr 2018/19</t>
  </si>
  <si>
    <t>UO Studienjahr 2012/13</t>
  </si>
  <si>
    <t>UQ Studienjahr 2009/10</t>
  </si>
  <si>
    <t>UQ Studienjahr 2011/12</t>
  </si>
  <si>
    <t>US Studienjahr 2010/11</t>
  </si>
  <si>
    <t>UT Studienjahr 2019/20</t>
  </si>
  <si>
    <t>UU Studienjahr 2008/09</t>
  </si>
  <si>
    <t>UB Studienjahr 2020/21</t>
  </si>
  <si>
    <t>UL Studienjahr 2020/21</t>
  </si>
  <si>
    <t>UV Studienjahr 2020/21</t>
  </si>
  <si>
    <t>UJ Studienjahr 2021/22</t>
  </si>
  <si>
    <t>UT Studienjahr 2021/22</t>
  </si>
  <si>
    <t>ISCED2013 1.Ebene (Code, Langtext)</t>
  </si>
  <si>
    <t>UH Studienjahr 2022/23</t>
  </si>
  <si>
    <t>UF Studienjahr 2023/24</t>
  </si>
</sst>
</file>

<file path=xl/styles.xml><?xml version="1.0" encoding="utf-8"?>
<styleSheet xmlns="http://schemas.openxmlformats.org/spreadsheetml/2006/main">
  <numFmts count="1">
    <numFmt numFmtId="164" formatCode=";;;"/>
  </numFmts>
  <fonts count="3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sz val="10"/>
      <color rgb="FF262626"/>
      <name val="Tahoma"/>
      <family val="2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10"/>
      <color rgb="FF595959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color theme="1" tint="0.0499893185216834"/>
      <name val="Tahoma"/>
      <family val="2"/>
    </font>
    <font>
      <sz val="10"/>
      <color theme="1" tint="0.14999847407452621"/>
      <name val="Tahoma"/>
      <family val="2"/>
    </font>
    <font>
      <b/>
      <sz val="11"/>
      <color theme="1"/>
      <name val="Calibri"/>
      <family val="2"/>
      <scheme val="minor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</fills>
  <borders count="10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 style="hair">
        <color rgb="FFC0C0C0"/>
      </right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/>
      <bottom style="hair">
        <color rgb="FFC0C0C0"/>
      </bottom>
      <diagonal/>
    </border>
    <border>
      <left style="thin">
        <color indexed="23"/>
      </left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73">
    <xf numFmtId="0" fontId="0" fillId="0" borderId="0" xfId="0"/>
    <xf numFmtId="0" fontId="3" fillId="0" borderId="0" xfId="0" applyFont="1" applyFill="1" applyBorder="1"/>
    <xf numFmtId="0" fontId="4" fillId="0" borderId="0" xfId="0" applyFont="1" applyFill="1" applyBorder="1" applyAlignment="1">
      <alignment vertical="center"/>
    </xf>
    <xf numFmtId="3" fontId="5" fillId="0" borderId="0" xfId="0" applyNumberFormat="1" applyFont="1" applyFill="1" applyBorder="1"/>
    <xf numFmtId="0" fontId="6" fillId="0" borderId="1" xfId="0" applyFont="1" applyFill="1" applyBorder="1" applyAlignment="1" applyProtection="1">
      <alignment horizontal="right"/>
    </xf>
    <xf numFmtId="0" fontId="6" fillId="0" borderId="1" xfId="0" quotePrefix="1" applyFont="1" applyFill="1" applyBorder="1" applyAlignment="1" applyProtection="1">
      <alignment horizontal="center"/>
    </xf>
    <xf numFmtId="0" fontId="7" fillId="0" borderId="0" xfId="0" applyFont="1"/>
    <xf numFmtId="0" fontId="8" fillId="0" borderId="0" xfId="0" applyFont="1"/>
    <xf numFmtId="0" fontId="1" fillId="0" borderId="0" xfId="1"/>
    <xf numFmtId="3" fontId="6" fillId="0" borderId="1" xfId="0" applyNumberFormat="1" applyFont="1" applyFill="1" applyBorder="1" applyAlignment="1" applyProtection="1">
      <alignment horizontal="right"/>
    </xf>
    <xf numFmtId="0" fontId="9" fillId="2" borderId="2" xfId="0" quotePrefix="1" applyFont="1" applyFill="1" applyBorder="1" applyAlignment="1" applyProtection="1"/>
    <xf numFmtId="0" fontId="10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11" fillId="0" borderId="0" xfId="0" applyFont="1" applyFill="1" applyBorder="1" applyAlignment="1">
      <alignment vertical="top"/>
    </xf>
    <xf numFmtId="0" fontId="12" fillId="3" borderId="0" xfId="2" applyFont="1" applyFill="1" applyBorder="1" applyAlignment="1">
      <alignment horizontal="center"/>
    </xf>
    <xf numFmtId="0" fontId="10" fillId="0" borderId="0" xfId="0" applyFont="1" applyFill="1" applyBorder="1" applyAlignment="1">
      <alignment horizontal="left" vertic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vertical="top"/>
    </xf>
    <xf numFmtId="0" fontId="6" fillId="0" borderId="3" xfId="0" applyFont="1" applyBorder="1" applyAlignment="1" applyProtection="1">
      <alignment horizontal="right"/>
    </xf>
    <xf numFmtId="0" fontId="13" fillId="0" borderId="0" xfId="0" applyNumberFormat="1" applyFont="1" applyAlignment="1"/>
    <xf numFmtId="0" fontId="6" fillId="0" borderId="1" xfId="0" quotePrefix="1" applyFont="1" applyFill="1" applyBorder="1" applyAlignment="1" applyProtection="1">
      <alignment horizontal="right"/>
    </xf>
    <xf numFmtId="0" fontId="6" fillId="0" borderId="3" xfId="0" applyFont="1" applyBorder="1" applyAlignment="1" applyProtection="1">
      <alignment horizontal="center"/>
    </xf>
    <xf numFmtId="0" fontId="6" fillId="4" borderId="1" xfId="0" applyFont="1" applyFill="1" applyBorder="1" applyAlignment="1" applyProtection="1">
      <alignment horizontal="right"/>
    </xf>
    <xf numFmtId="0" fontId="14" fillId="0" borderId="0" xfId="2" applyFont="1"/>
    <xf numFmtId="3" fontId="6" fillId="0" borderId="1" xfId="0" quotePrefix="1" applyNumberFormat="1" applyFont="1" applyFill="1" applyBorder="1" applyAlignment="1" applyProtection="1">
      <alignment horizontal="right"/>
    </xf>
    <xf numFmtId="0" fontId="15" fillId="5" borderId="0" xfId="0" applyFont="1" applyFill="1" applyAlignment="1"/>
    <xf numFmtId="0" fontId="6" fillId="0" borderId="1" xfId="0" applyFont="1" applyFill="1" applyBorder="1" applyAlignment="1" applyProtection="1">
      <alignment vertical="center"/>
    </xf>
    <xf numFmtId="3" fontId="6" fillId="4" borderId="1" xfId="0" applyNumberFormat="1" applyFont="1" applyFill="1" applyBorder="1" applyAlignment="1" applyProtection="1">
      <alignment horizontal="right"/>
    </xf>
    <xf numFmtId="0" fontId="16" fillId="0" borderId="0" xfId="0" applyFont="1"/>
    <xf numFmtId="0" fontId="6" fillId="0" borderId="4" xfId="0" applyFont="1" applyBorder="1" applyAlignment="1" applyProtection="1">
      <alignment horizontal="right"/>
    </xf>
    <xf numFmtId="0" fontId="9" fillId="6" borderId="5" xfId="0" quotePrefix="1" applyFont="1" applyFill="1" applyBorder="1" applyAlignment="1" applyProtection="1"/>
    <xf numFmtId="0" fontId="8" fillId="0" borderId="0" xfId="0" applyFont="1" applyAlignment="1">
      <alignment horizontal="right"/>
    </xf>
    <xf numFmtId="3" fontId="6" fillId="0" borderId="1" xfId="0" applyNumberFormat="1" applyFont="1" applyBorder="1" applyAlignment="1" applyProtection="1"/>
    <xf numFmtId="0" fontId="17" fillId="0" borderId="0" xfId="0" applyFont="1"/>
    <xf numFmtId="0" fontId="14" fillId="5" borderId="0" xfId="2" applyFont="1" applyFill="1"/>
    <xf numFmtId="0" fontId="18" fillId="0" borderId="0" xfId="0" applyFont="1" applyFill="1" applyBorder="1" applyAlignment="1"/>
    <xf numFmtId="0" fontId="13" fillId="0" borderId="0" xfId="0" applyFont="1" applyAlignment="1">
      <alignment horizontal="center"/>
    </xf>
    <xf numFmtId="0" fontId="13" fillId="0" borderId="0" xfId="0" applyFont="1"/>
    <xf numFmtId="0" fontId="17" fillId="0" borderId="6" xfId="0" applyFont="1" applyFill="1" applyBorder="1" applyAlignment="1">
      <alignment vertical="center"/>
    </xf>
    <xf numFmtId="3" fontId="13" fillId="0" borderId="0" xfId="0" applyNumberFormat="1" applyFont="1" applyAlignment="1"/>
    <xf numFmtId="0" fontId="13" fillId="7" borderId="0" xfId="0" applyNumberFormat="1" applyFont="1" applyFill="1" applyAlignment="1"/>
    <xf numFmtId="0" fontId="6" fillId="0" borderId="1" xfId="0" quotePrefix="1" applyFont="1" applyBorder="1" applyAlignment="1" applyProtection="1"/>
    <xf numFmtId="3" fontId="17" fillId="0" borderId="6" xfId="0" applyNumberFormat="1" applyFont="1" applyFill="1" applyBorder="1" applyAlignment="1"/>
    <xf numFmtId="0" fontId="0" fillId="0" borderId="0" xfId="0" applyFont="1"/>
    <xf numFmtId="0" fontId="6" fillId="0" borderId="7" xfId="0" applyFont="1" applyBorder="1" applyAlignment="1" applyProtection="1">
      <alignment horizontal="right"/>
    </xf>
    <xf numFmtId="0" fontId="13" fillId="0" borderId="0" xfId="0" applyFont="1" applyFill="1" applyBorder="1" applyAlignment="1">
      <alignment vertical="center"/>
    </xf>
    <xf numFmtId="0" fontId="17" fillId="0" borderId="6" xfId="0" quotePrefix="1" applyFont="1" applyFill="1" applyBorder="1" applyAlignment="1"/>
    <xf numFmtId="0" fontId="6" fillId="8" borderId="1" xfId="0" applyFont="1" applyFill="1" applyBorder="1" applyAlignment="1" applyProtection="1">
      <alignment horizontal="right"/>
    </xf>
    <xf numFmtId="2" fontId="13" fillId="0" borderId="0" xfId="0" applyNumberFormat="1" applyFont="1"/>
    <xf numFmtId="0" fontId="13" fillId="0" borderId="0" xfId="0" quotePrefix="1" applyFont="1" applyFill="1"/>
    <xf numFmtId="0" fontId="6" fillId="0" borderId="8" xfId="0" quotePrefix="1" applyFont="1" applyBorder="1" applyAlignment="1" applyProtection="1">
      <alignment vertical="center"/>
    </xf>
    <xf numFmtId="0" fontId="7" fillId="0" borderId="0" xfId="0" applyFont="1" applyFill="1" applyBorder="1" applyAlignment="1">
      <alignment vertical="center"/>
    </xf>
    <xf numFmtId="3" fontId="13" fillId="9" borderId="0" xfId="0" applyNumberFormat="1" applyFont="1" applyFill="1" applyAlignment="1"/>
    <xf numFmtId="0" fontId="13" fillId="0" borderId="0" xfId="0" applyNumberFormat="1" applyFont="1" applyFill="1" applyBorder="1" applyAlignment="1"/>
    <xf numFmtId="3" fontId="13" fillId="10" borderId="0" xfId="0" applyNumberFormat="1" applyFont="1" applyFill="1" applyAlignment="1"/>
    <xf numFmtId="0" fontId="18" fillId="0" borderId="0" xfId="0" applyFont="1"/>
    <xf numFmtId="0" fontId="19" fillId="0" borderId="0" xfId="0" applyFont="1"/>
    <xf numFmtId="3" fontId="7" fillId="0" borderId="0" xfId="0" applyNumberFormat="1" applyFont="1" applyFill="1" applyAlignment="1"/>
    <xf numFmtId="0" fontId="12" fillId="3" borderId="9" xfId="2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3" fontId="6" fillId="0" borderId="1" xfId="0" quotePrefix="1" applyNumberFormat="1" applyFont="1" applyBorder="1" applyAlignment="1" applyProtection="1"/>
    <xf numFmtId="0" fontId="6" fillId="0" borderId="7" xfId="0" applyFont="1" applyBorder="1" applyAlignment="1" applyProtection="1">
      <alignment horizontal="center"/>
    </xf>
    <xf numFmtId="0" fontId="13" fillId="0" borderId="0" xfId="0" applyNumberFormat="1" applyFont="1"/>
    <xf numFmtId="0" fontId="6" fillId="0" borderId="1" xfId="0" quotePrefix="1" applyFont="1" applyBorder="1" applyAlignment="1" applyProtection="1">
      <alignment vertical="center"/>
    </xf>
    <xf numFmtId="0" fontId="17" fillId="0" borderId="6" xfId="0" quotePrefix="1" applyFont="1" applyFill="1" applyBorder="1" applyAlignment="1">
      <alignment horizontal="right"/>
    </xf>
    <xf numFmtId="0" fontId="20" fillId="0" borderId="0" xfId="0" applyFont="1"/>
    <xf numFmtId="164" fontId="13" fillId="0" borderId="0" xfId="0" applyNumberFormat="1" applyFont="1"/>
    <xf numFmtId="0" fontId="13" fillId="7" borderId="0" xfId="0" applyFont="1" applyFill="1"/>
    <xf numFmtId="0" fontId="6" fillId="8" borderId="7" xfId="0" applyFont="1" applyFill="1" applyBorder="1" applyAlignment="1" applyProtection="1">
      <alignment horizontal="right"/>
    </xf>
    <xf numFmtId="0" fontId="9" fillId="6" borderId="2" xfId="0" quotePrefix="1" applyFont="1" applyFill="1" applyBorder="1" applyAlignment="1" applyProtection="1"/>
    <xf numFmtId="0" fontId="14" fillId="7" borderId="0" xfId="2" applyFont="1" applyFill="1"/>
    <xf numFmtId="0" fontId="13" fillId="0" borderId="0" xfId="0" quotePrefix="1" applyFont="1"/>
    <xf numFmtId="3" fontId="13" fillId="7" borderId="0" xfId="0" applyNumberFormat="1" applyFont="1" applyFill="1" applyAlignment="1"/>
  </cellXfs>
  <cellStyles count="3">
    <cellStyle name="Hyperlink" xfId="1" builtinId="8"/>
    <cellStyle name="Normal" xfId="0" builtinId="0"/>
    <cellStyle name="Normal_Sheet1" xfId="2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3</xdr:col>
      <xdr:colOff>0</xdr:colOff>
      <xdr:row>7</xdr:row>
      <xdr:rowOff>209550</xdr:rowOff>
    </xdr:from>
    <xdr:to>
      <xdr:col>5</xdr:col>
      <xdr:colOff>0</xdr:colOff>
      <xdr:row>8</xdr:row>
      <xdr:rowOff>189865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1644015"/>
          <a:ext cx="1447852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8</xdr:row>
      <xdr:rowOff>189865</xdr:rowOff>
    </xdr:from>
    <xdr:to>
      <xdr:col>5</xdr:col>
      <xdr:colOff>0</xdr:colOff>
      <xdr:row>10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1833880"/>
          <a:ext cx="1447852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5</xdr:col>
      <xdr:colOff>0</xdr:colOff>
      <xdr:row>12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2213610"/>
          <a:ext cx="1447852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5</xdr:col>
      <xdr:colOff>0</xdr:colOff>
      <xdr:row>10</xdr:row>
      <xdr:rowOff>189865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2023745"/>
          <a:ext cx="1447852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885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8442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8024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7607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84278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8445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21780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405687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39"/>
  <sheetViews>
    <sheetView tabSelected="1" workbookViewId="0"/>
  </sheetViews>
  <sheetFormatPr defaultColWidth="11.42578125" defaultRowHeight="14.95" outlineLevelRow="1" outlineLevelCol="1"/>
  <cols>
    <col min="1" max="1" width="52.85546875" style="43" bestFit="1" customWidth="1"/>
    <col min="2" max="3" width="19.7109375" hidden="1" customWidth="1" outlineLevel="1"/>
    <col min="4" max="4" width="11" customWidth="1" collapsed="1"/>
    <col min="5" max="5" width="8.85546875" customWidth="1"/>
    <col min="6" max="6" width="11.7109375" customWidth="1"/>
    <col min="7" max="7" width="12.42578125" bestFit="1" customWidth="1"/>
    <col min="8" max="8" width="8.7109375" customWidth="1"/>
    <col min="9" max="9" width="9.28515625" customWidth="1"/>
    <col min="10" max="10" width="11.7109375" customWidth="1"/>
    <col min="11" max="11" width="12.140625" bestFit="1" customWidth="1"/>
    <col min="12" max="12" width="8.7109375" customWidth="1"/>
    <col min="13" max="13" width="8.42578125" customWidth="1"/>
    <col min="14" max="14" width="11.7109375" customWidth="1"/>
    <col min="15" max="15" width="12.140625" bestFit="1" customWidth="1"/>
    <col min="16" max="16" width="7.7109375" bestFit="1" customWidth="1"/>
    <col min="17" max="17" width="11.7109375" bestFit="1" customWidth="1"/>
    <col min="18" max="18" width="8.7109375" bestFit="1" customWidth="1"/>
    <col min="19" max="19" width="11.28515625" bestFit="1" customWidth="1"/>
    <col min="20" max="20" width="9.85546875" bestFit="1" customWidth="1"/>
    <col min="21" max="21" width="7.28515625" bestFit="1" customWidth="1"/>
    <col min="22" max="22" width="11.28515625" bestFit="1" customWidth="1"/>
    <col min="23" max="23" width="9.85546875" bestFit="1" customWidth="1"/>
    <col min="24" max="24" width="7.28515625" bestFit="1" customWidth="1"/>
    <col min="25" max="25" width="11.28515625" bestFit="1" customWidth="1"/>
    <col min="26" max="26" width="17.140625" bestFit="1" customWidth="1"/>
    <col min="27" max="27" width="6.7109375" bestFit="1" customWidth="1"/>
    <col min="28" max="28" width="7.140625" bestFit="1" customWidth="1"/>
    <col min="29" max="29" width="17.140625" bestFit="1" customWidth="1"/>
    <col min="30" max="30" width="6.7109375" bestFit="1" customWidth="1"/>
    <col min="31" max="31" width="7.140625" bestFit="1" customWidth="1"/>
    <col min="32" max="32" width="17.140625" bestFit="1" customWidth="1"/>
    <col min="33" max="33" width="6.7109375" bestFit="1" customWidth="1"/>
    <col min="34" max="34" width="7.140625" bestFit="1" customWidth="1"/>
  </cols>
  <sheetData>
    <row>
      <c s="11" t="s">
        <v>505</v>
      </c>
      <c s="11"/>
      <c s="11"/>
      <c s="11"/>
      <c s="11"/>
      <c s="16"/>
      <c s="16"/>
    </row>
    <row>
      <c s="15" t="s">
        <v>543</v>
      </c>
      <c s="15"/>
      <c s="15"/>
      <c s="15"/>
      <c s="15"/>
      <c s="16"/>
      <c s="16"/>
    </row>
    <row ht="23.25" customHeight="1" s="55" customFormat="1">
      <c s="13" t="s">
        <v>510</v>
      </c>
      <c s="13"/>
      <c s="13"/>
      <c s="13"/>
      <c s="13"/>
      <c s="35"/>
      <c s="35"/>
    </row>
    <row>
      <c s="2" t="s">
        <v>462</v>
      </c>
      <c s="12"/>
      <c s="12"/>
      <c s="12"/>
      <c s="12"/>
      <c s="12"/>
      <c s="16"/>
    </row>
    <row>
      <c s="2" t="s">
        <v>424</v>
      </c>
      <c s="17"/>
      <c s="17"/>
      <c s="17"/>
      <c s="17"/>
      <c s="16"/>
      <c s="16"/>
    </row>
    <row>
      <c s="2" t="s">
        <v>220</v>
      </c>
      <c s="2"/>
      <c s="2"/>
      <c s="2"/>
      <c s="2"/>
      <c s="2"/>
      <c s="2"/>
      <c s="2"/>
      <c s="2"/>
    </row>
    <row>
      <c s="2" t="s">
        <v>113</v>
      </c>
      <c s="2"/>
      <c s="2"/>
      <c s="2"/>
      <c s="2"/>
      <c s="2"/>
      <c s="2"/>
      <c s="2"/>
      <c s="2"/>
    </row>
    <row ht="16.5" customHeight="1">
      <c r="E8" s="8"/>
      <c r="G8" s="8"/>
      <c r="I8" s="8"/>
    </row>
    <row>
      <c s="10" t="s">
        <v>399</v>
      </c>
      <c s="41" t="s">
        <v>117</v>
      </c>
    </row>
    <row>
      <c s="10" t="s">
        <v>574</v>
      </c>
      <c s="41" t="s">
        <v>117</v>
      </c>
      <c r="E10" s="8"/>
    </row>
    <row>
      <c s="10" t="s">
        <v>435</v>
      </c>
      <c s="41" t="s">
        <v>117</v>
      </c>
      <c r="L11" s="8"/>
    </row>
    <row>
      <c s="10" t="s">
        <v>43</v>
      </c>
      <c s="41" t="s">
        <v>117</v>
      </c>
    </row>
    <row>
      <c/>
    </row>
    <row>
      <c/>
    </row>
    <row ht="15" hidden="1" outlineLevel="1">
      <c/>
      <c r="D15" s="10" t="s">
        <v>259</v>
      </c>
      <c s="10" t="s">
        <v>219</v>
      </c>
      <c r="L15" s="8"/>
    </row>
    <row collapsed="1">
      <c/>
      <c r="D16" s="5" t="s">
        <v>145</v>
      </c>
      <c s="5"/>
      <c s="5"/>
      <c s="20"/>
      <c s="5" t="s">
        <v>32</v>
      </c>
      <c s="5"/>
      <c s="5"/>
      <c s="20"/>
      <c s="5" t="s">
        <v>497</v>
      </c>
      <c s="5"/>
      <c s="5"/>
      <c s="20"/>
    </row>
    <row>
      <c s="10" t="s">
        <v>37</v>
      </c>
      <c s="10" t="s">
        <v>472</v>
      </c>
      <c s="10" t="s">
        <v>467</v>
      </c>
      <c s="4" t="s">
        <v>6</v>
      </c>
      <c s="4" t="s">
        <v>189</v>
      </c>
      <c s="22" t="s">
        <v>117</v>
      </c>
      <c s="4" t="s">
        <v>548</v>
      </c>
      <c s="4" t="s">
        <v>6</v>
      </c>
      <c s="4" t="s">
        <v>189</v>
      </c>
      <c s="22" t="s">
        <v>117</v>
      </c>
      <c s="4" t="s">
        <v>548</v>
      </c>
      <c s="4" t="s">
        <v>6</v>
      </c>
      <c s="4" t="s">
        <v>189</v>
      </c>
      <c s="22" t="s">
        <v>117</v>
      </c>
      <c s="4" t="s">
        <v>548</v>
      </c>
    </row>
    <row>
      <c s="26" t="s">
        <v>114</v>
      </c>
      <c s="26" t="s">
        <v>366</v>
      </c>
      <c s="26" t="s">
        <v>114</v>
      </c>
      <c s="9">
        <v>30456.275917170333</v>
      </c>
      <c s="9">
        <v>16321.45775506194</v>
      </c>
      <c s="27">
        <v>46777.733672232258</v>
      </c>
      <c s="24" t="s">
        <v>548</v>
      </c>
      <c s="9">
        <v>30580.776215118734</v>
      </c>
      <c s="9">
        <v>16380.922604231142</v>
      </c>
      <c s="27">
        <v>46961.698819349876</v>
      </c>
      <c s="24" t="s">
        <v>548</v>
      </c>
      <c s="9">
        <v>31619.126522726605</v>
      </c>
      <c s="9">
        <v>16577.029548175888</v>
      </c>
      <c s="27">
        <v>48196.156070902522</v>
      </c>
      <c s="24" t="s">
        <v>548</v>
      </c>
    </row>
    <row>
      <c s="26" t="s">
        <v>508</v>
      </c>
      <c s="26" t="s">
        <v>506</v>
      </c>
      <c s="26" t="s">
        <v>508</v>
      </c>
      <c s="9">
        <v>10409.904982106102</v>
      </c>
      <c s="9">
        <v>5301.5405571855272</v>
      </c>
      <c s="27">
        <v>15711.44553929163</v>
      </c>
      <c s="24" t="s">
        <v>548</v>
      </c>
      <c s="9">
        <v>10728.209490461621</v>
      </c>
      <c s="9">
        <v>5441.1196634893813</v>
      </c>
      <c s="27">
        <v>16169.329153951001</v>
      </c>
      <c s="24" t="s">
        <v>548</v>
      </c>
      <c s="9">
        <v>10923.964112725371</v>
      </c>
      <c s="9">
        <v>5386.2596667802864</v>
      </c>
      <c s="27">
        <v>16310.223779505657</v>
      </c>
      <c s="24" t="s">
        <v>548</v>
      </c>
    </row>
    <row>
      <c s="26" t="s">
        <v>223</v>
      </c>
      <c s="26" t="s">
        <v>82</v>
      </c>
      <c s="26" t="s">
        <v>223</v>
      </c>
      <c s="9">
        <v>10113.328573223089</v>
      </c>
      <c s="9">
        <v>7989.6369556973614</v>
      </c>
      <c s="27">
        <v>18102.965528920438</v>
      </c>
      <c s="24" t="s">
        <v>548</v>
      </c>
      <c s="9">
        <v>9944.6867238041486</v>
      </c>
      <c s="9">
        <v>7834.5228306649597</v>
      </c>
      <c s="27">
        <v>17779.209554469104</v>
      </c>
      <c s="24" t="s">
        <v>548</v>
      </c>
      <c s="9">
        <v>10299.281726357885</v>
      </c>
      <c s="9">
        <v>8075.6870707806429</v>
      </c>
      <c s="27">
        <v>18374.968797138536</v>
      </c>
      <c s="24" t="s">
        <v>548</v>
      </c>
    </row>
    <row>
      <c s="26" t="s">
        <v>261</v>
      </c>
      <c s="26" t="s">
        <v>546</v>
      </c>
      <c s="26" t="s">
        <v>328</v>
      </c>
      <c s="9">
        <v>2955.7333333333336</v>
      </c>
      <c s="9">
        <v>2204</v>
      </c>
      <c s="27">
        <v>5159.7333333333336</v>
      </c>
      <c s="24" t="s">
        <v>548</v>
      </c>
      <c s="9">
        <v>2863</v>
      </c>
      <c s="9">
        <v>2186</v>
      </c>
      <c s="27">
        <v>5049</v>
      </c>
      <c s="24" t="s">
        <v>548</v>
      </c>
      <c s="9">
        <v>2774</v>
      </c>
      <c s="9">
        <v>2194</v>
      </c>
      <c s="27">
        <v>4968</v>
      </c>
      <c s="24" t="s">
        <v>548</v>
      </c>
    </row>
    <row>
      <c s="26" t="s">
        <v>42</v>
      </c>
      <c s="26" t="s">
        <v>116</v>
      </c>
      <c s="26" t="s">
        <v>157</v>
      </c>
      <c s="9">
        <v>1739.9256200014529</v>
      </c>
      <c s="9">
        <v>1263.631244556698</v>
      </c>
      <c s="27">
        <v>3003.5568645581516</v>
      </c>
      <c s="24" t="s">
        <v>548</v>
      </c>
      <c s="9">
        <v>1681.2541489757343</v>
      </c>
      <c s="9">
        <v>1275.7184197533422</v>
      </c>
      <c s="27">
        <v>2956.9725687290766</v>
      </c>
      <c s="24" t="s">
        <v>548</v>
      </c>
      <c s="9">
        <v>1618.8902989096362</v>
      </c>
      <c s="9">
        <v>1252.4759876001135</v>
      </c>
      <c s="27">
        <v>2871.3662865097499</v>
      </c>
      <c s="24" t="s">
        <v>548</v>
      </c>
    </row>
    <row>
      <c s="26" t="s">
        <v>547</v>
      </c>
      <c s="26" t="s">
        <v>434</v>
      </c>
      <c s="26" t="s">
        <v>551</v>
      </c>
      <c s="9">
        <v>1684.4743146936696</v>
      </c>
      <c s="9">
        <v>1225.0212632817129</v>
      </c>
      <c s="27">
        <v>2909.4955779753827</v>
      </c>
      <c s="24" t="s">
        <v>548</v>
      </c>
      <c s="9">
        <v>1623.8590893984713</v>
      </c>
      <c s="9">
        <v>1193.0111961334437</v>
      </c>
      <c s="27">
        <v>2816.8702855319148</v>
      </c>
      <c s="24" t="s">
        <v>548</v>
      </c>
      <c s="9">
        <v>1564</v>
      </c>
      <c s="9">
        <v>1215</v>
      </c>
      <c s="27">
        <v>2779</v>
      </c>
      <c s="24" t="s">
        <v>548</v>
      </c>
    </row>
    <row>
      <c s="26" t="s">
        <v>79</v>
      </c>
      <c s="26" t="s">
        <v>224</v>
      </c>
      <c s="26" t="s">
        <v>79</v>
      </c>
      <c s="9">
        <v>6077.065597660282</v>
      </c>
      <c s="9">
        <v>2914.562587064835</v>
      </c>
      <c s="27">
        <v>8991.6281847251194</v>
      </c>
      <c s="24" t="s">
        <v>548</v>
      </c>
      <c s="9">
        <v>6283.2755813538179</v>
      </c>
      <c s="9">
        <v>2907.9498871307596</v>
      </c>
      <c s="27">
        <v>9191.2254684845793</v>
      </c>
      <c s="24" t="s">
        <v>548</v>
      </c>
      <c s="9">
        <v>6288.6067617673898</v>
      </c>
      <c s="9">
        <v>2994.2655114948179</v>
      </c>
      <c s="27">
        <v>9282.8722732622082</v>
      </c>
      <c s="24" t="s">
        <v>548</v>
      </c>
    </row>
    <row>
      <c s="26" t="s">
        <v>260</v>
      </c>
      <c s="26" t="s">
        <v>365</v>
      </c>
      <c s="26" t="s">
        <v>41</v>
      </c>
      <c s="9">
        <v>5216.181688356648</v>
      </c>
      <c s="9">
        <v>10297.046850840785</v>
      </c>
      <c s="27">
        <v>15513.228539197433</v>
      </c>
      <c s="24" t="s">
        <v>548</v>
      </c>
      <c s="9">
        <v>5088.1356991358152</v>
      </c>
      <c s="9">
        <v>10053.954078465729</v>
      </c>
      <c s="27">
        <v>15142.089777601544</v>
      </c>
      <c s="24" t="s">
        <v>548</v>
      </c>
      <c s="9">
        <v>4945.5167319677957</v>
      </c>
      <c s="9">
        <v>10002.512323243282</v>
      </c>
      <c s="27">
        <v>14948.029055211076</v>
      </c>
      <c s="24" t="s">
        <v>548</v>
      </c>
    </row>
    <row>
      <c s="26" t="s">
        <v>78</v>
      </c>
      <c s="26" t="s">
        <v>513</v>
      </c>
      <c s="26" t="s">
        <v>436</v>
      </c>
      <c s="9">
        <v>2485.6851289538008</v>
      </c>
      <c s="9">
        <v>5796.3962665298795</v>
      </c>
      <c s="27">
        <v>8282.0813954836867</v>
      </c>
      <c s="24" t="s">
        <v>548</v>
      </c>
      <c s="9">
        <v>2401.184945939623</v>
      </c>
      <c s="9">
        <v>5903.784741364002</v>
      </c>
      <c s="27">
        <v>8304.9696873036246</v>
      </c>
      <c s="24" t="s">
        <v>548</v>
      </c>
      <c s="9">
        <v>2351.0707689477422</v>
      </c>
      <c s="9">
        <v>5942.5914557138794</v>
      </c>
      <c s="27">
        <v>8293.6622246616189</v>
      </c>
      <c s="24" t="s">
        <v>548</v>
      </c>
    </row>
    <row>
      <c s="26" t="s">
        <v>76</v>
      </c>
      <c s="26" t="s">
        <v>81</v>
      </c>
      <c s="26" t="s">
        <v>76</v>
      </c>
      <c s="9">
        <v>505</v>
      </c>
      <c s="9">
        <v>1290</v>
      </c>
      <c s="27">
        <v>1795</v>
      </c>
      <c s="24" t="s">
        <v>548</v>
      </c>
      <c s="9">
        <v>520</v>
      </c>
      <c s="9">
        <v>1450</v>
      </c>
      <c s="27">
        <v>1970</v>
      </c>
      <c s="24" t="s">
        <v>548</v>
      </c>
      <c s="9">
        <v>559</v>
      </c>
      <c s="9">
        <v>1632</v>
      </c>
      <c s="27">
        <v>2191</v>
      </c>
      <c s="24" t="s">
        <v>548</v>
      </c>
    </row>
    <row>
      <c s="26" t="s">
        <v>329</v>
      </c>
      <c s="26" t="s">
        <v>257</v>
      </c>
      <c s="26" t="s">
        <v>512</v>
      </c>
      <c s="9">
        <v>3346.4637594698779</v>
      </c>
      <c s="9">
        <v>2778.3570405503992</v>
      </c>
      <c s="27">
        <v>6124.8208000202767</v>
      </c>
      <c s="24" t="s">
        <v>548</v>
      </c>
      <c s="9">
        <v>3264.9578305138866</v>
      </c>
      <c s="9">
        <v>2740.8510376495151</v>
      </c>
      <c s="27">
        <v>6005.8088681634017</v>
      </c>
      <c s="24" t="s">
        <v>548</v>
      </c>
      <c s="9">
        <v>3326.212632552671</v>
      </c>
      <c s="9">
        <v>2732.8247233432285</v>
      </c>
      <c s="27">
        <v>6059.0373558959</v>
      </c>
      <c s="24" t="s">
        <v>548</v>
      </c>
    </row>
    <row>
      <c s="26" t="s">
        <v>258</v>
      </c>
      <c s="26" t="s">
        <v>401</v>
      </c>
      <c s="26" t="s">
        <v>192</v>
      </c>
      <c s="9">
        <v>1309.4628140060158</v>
      </c>
      <c s="9">
        <v>285.11366144932907</v>
      </c>
      <c s="27">
        <v>1594.576475455345</v>
      </c>
      <c s="24" t="s">
        <v>548</v>
      </c>
      <c s="9">
        <v>1324.3421694861122</v>
      </c>
      <c s="9">
        <v>272.85193482135128</v>
      </c>
      <c s="27">
        <v>1597.1941043074635</v>
      </c>
      <c s="24" t="s">
        <v>548</v>
      </c>
      <c s="9">
        <v>1282.8782765382366</v>
      </c>
      <c s="9">
        <v>255.23588271737751</v>
      </c>
      <c s="27">
        <v>1538.1141592556146</v>
      </c>
      <c s="24" t="s">
        <v>548</v>
      </c>
    </row>
    <row>
      <c s="26" t="s">
        <v>367</v>
      </c>
      <c s="26" t="s">
        <v>545</v>
      </c>
      <c s="26" t="s">
        <v>550</v>
      </c>
      <c s="9">
        <v>6737</v>
      </c>
      <c s="9">
        <v>7530</v>
      </c>
      <c s="27">
        <v>14267</v>
      </c>
      <c s="24" t="s">
        <v>548</v>
      </c>
      <c s="9">
        <v>6170</v>
      </c>
      <c s="9">
        <v>6749</v>
      </c>
      <c s="27">
        <v>12919</v>
      </c>
      <c s="24" t="s">
        <v>548</v>
      </c>
      <c s="9">
        <v>6017</v>
      </c>
      <c s="9">
        <v>6433</v>
      </c>
      <c s="27">
        <v>12450</v>
      </c>
      <c s="24" t="s">
        <v>548</v>
      </c>
    </row>
    <row>
      <c s="26" t="s">
        <v>507</v>
      </c>
      <c s="26" t="s">
        <v>115</v>
      </c>
      <c s="26" t="s">
        <v>507</v>
      </c>
      <c s="9">
        <v>6323.1608086966044</v>
      </c>
      <c s="9">
        <v>6284.6456808717294</v>
      </c>
      <c s="27">
        <v>12607.806489568331</v>
      </c>
      <c s="24" t="s">
        <v>548</v>
      </c>
      <c s="9">
        <v>6165.5415912487961</v>
      </c>
      <c s="9">
        <v>5888.0949879602776</v>
      </c>
      <c s="27">
        <v>12053.636579209075</v>
      </c>
      <c s="24" t="s">
        <v>548</v>
      </c>
      <c s="9">
        <v>5989.7270687423543</v>
      </c>
      <c s="9">
        <v>5563.7726585993341</v>
      </c>
      <c s="27">
        <v>11553.499727341688</v>
      </c>
      <c s="24" t="s">
        <v>548</v>
      </c>
    </row>
    <row>
      <c s="26" t="s">
        <v>509</v>
      </c>
      <c s="26" t="s">
        <v>256</v>
      </c>
      <c s="26" t="s">
        <v>509</v>
      </c>
      <c s="9">
        <v>3251.4791227965511</v>
      </c>
      <c s="9">
        <v>1753.962579797565</v>
      </c>
      <c s="27">
        <v>5005.4417025941138</v>
      </c>
      <c s="24" t="s">
        <v>548</v>
      </c>
      <c s="9">
        <v>3411.625218627566</v>
      </c>
      <c s="9">
        <v>1667.0064917009827</v>
      </c>
      <c s="27">
        <v>5078.6317103285501</v>
      </c>
      <c s="24" t="s">
        <v>548</v>
      </c>
      <c s="9">
        <v>3261.1625953297253</v>
      </c>
      <c s="9">
        <v>1687.5857149815561</v>
      </c>
      <c s="27">
        <v>4948.7483103112827</v>
      </c>
      <c s="24" t="s">
        <v>548</v>
      </c>
    </row>
    <row>
      <c s="26" t="s">
        <v>119</v>
      </c>
      <c s="26" t="s">
        <v>154</v>
      </c>
      <c s="26" t="s">
        <v>77</v>
      </c>
      <c s="9">
        <v>979.7782779211326</v>
      </c>
      <c s="9">
        <v>530.7482093784281</v>
      </c>
      <c s="27">
        <v>1510.5264872995608</v>
      </c>
      <c s="24" t="s">
        <v>548</v>
      </c>
      <c s="9">
        <v>938.50262729501492</v>
      </c>
      <c s="9">
        <v>521.37976437137308</v>
      </c>
      <c s="27">
        <v>1459.882391666388</v>
      </c>
      <c s="24" t="s">
        <v>548</v>
      </c>
      <c s="9">
        <v>847.5331800275884</v>
      </c>
      <c s="9">
        <v>475.28402341797931</v>
      </c>
      <c s="27">
        <v>1322.8172034455679</v>
      </c>
      <c s="24" t="s">
        <v>548</v>
      </c>
    </row>
    <row>
      <c s="26" t="s">
        <v>299</v>
      </c>
      <c s="26" t="s">
        <v>301</v>
      </c>
      <c s="26" t="s">
        <v>397</v>
      </c>
      <c s="9">
        <v>1196.1008514151363</v>
      </c>
      <c s="9">
        <v>986.10272963539137</v>
      </c>
      <c s="27">
        <v>2182.2035810505272</v>
      </c>
      <c s="24" t="s">
        <v>548</v>
      </c>
      <c s="9">
        <v>1171.1785973854287</v>
      </c>
      <c s="9">
        <v>964.65601256891432</v>
      </c>
      <c s="27">
        <v>2135.8346099543433</v>
      </c>
      <c s="24" t="s">
        <v>548</v>
      </c>
      <c s="9">
        <v>1239.2529884169644</v>
      </c>
      <c s="9">
        <v>978.88475600203901</v>
      </c>
      <c s="27">
        <v>2218.1377444190039</v>
      </c>
      <c s="24" t="s">
        <v>548</v>
      </c>
    </row>
    <row>
      <c s="26" t="s">
        <v>188</v>
      </c>
      <c s="26" t="s">
        <v>437</v>
      </c>
      <c s="26" t="s">
        <v>544</v>
      </c>
      <c s="9">
        <v>865.04436241169924</v>
      </c>
      <c s="9">
        <v>524.78324880865989</v>
      </c>
      <c s="27">
        <v>1389.8276112203591</v>
      </c>
      <c s="24" t="s">
        <v>548</v>
      </c>
      <c s="9">
        <v>834.37337919739434</v>
      </c>
      <c s="9">
        <v>537.28800412549697</v>
      </c>
      <c s="27">
        <v>1371.6613833228912</v>
      </c>
      <c s="24" t="s">
        <v>548</v>
      </c>
      <c s="9">
        <v>838.8079318453232</v>
      </c>
      <c s="9">
        <v>562.61019848103854</v>
      </c>
      <c s="27">
        <v>1401.4181303263615</v>
      </c>
      <c s="24" t="s">
        <v>548</v>
      </c>
    </row>
    <row>
      <c s="26" t="s">
        <v>118</v>
      </c>
      <c s="26" t="s">
        <v>4</v>
      </c>
      <c s="26" t="s">
        <v>222</v>
      </c>
      <c s="9">
        <v>708.95416126228099</v>
      </c>
      <c s="9">
        <v>708.03466821139034</v>
      </c>
      <c s="27">
        <v>1416.9888294736711</v>
      </c>
      <c s="24" t="s">
        <v>548</v>
      </c>
      <c s="9">
        <v>709.169086766997</v>
      </c>
      <c s="9">
        <v>742.22886538127909</v>
      </c>
      <c s="27">
        <v>1451.3979521482761</v>
      </c>
      <c s="24" t="s">
        <v>548</v>
      </c>
      <c s="9">
        <v>693.30115379273013</v>
      </c>
      <c s="9">
        <v>745.56316252425631</v>
      </c>
      <c s="27">
        <v>1438.8643163169866</v>
      </c>
      <c s="24" t="s">
        <v>548</v>
      </c>
    </row>
    <row>
      <c s="26" t="s">
        <v>398</v>
      </c>
      <c s="26" t="s">
        <v>153</v>
      </c>
      <c s="26" t="s">
        <v>297</v>
      </c>
      <c s="9">
        <v>705.36708907074183</v>
      </c>
      <c s="9">
        <v>338.16848558343963</v>
      </c>
      <c s="27">
        <v>1043.5355746541813</v>
      </c>
      <c s="24" t="s">
        <v>548</v>
      </c>
      <c s="9">
        <v>655.63448602161202</v>
      </c>
      <c s="9">
        <v>303.78967423170741</v>
      </c>
      <c s="27">
        <v>959.42416025331931</v>
      </c>
      <c s="24" t="s">
        <v>548</v>
      </c>
      <c s="9">
        <v>664.36621237738314</v>
      </c>
      <c s="9">
        <v>286.5085730440361</v>
      </c>
      <c s="27">
        <v>950.87478542141923</v>
      </c>
      <c s="24" t="s">
        <v>548</v>
      </c>
    </row>
    <row>
      <c s="26" t="s">
        <v>221</v>
      </c>
      <c s="26" t="s">
        <v>5</v>
      </c>
      <c s="26" t="s">
        <v>156</v>
      </c>
      <c s="9">
        <v>800.84436668193598</v>
      </c>
      <c s="9">
        <v>399.5594462641032</v>
      </c>
      <c s="27">
        <v>1200.4038129460391</v>
      </c>
      <c s="24" t="s">
        <v>548</v>
      </c>
      <c s="9">
        <v>765.05145260247116</v>
      </c>
      <c s="9">
        <v>397.11147262294867</v>
      </c>
      <c s="27">
        <v>1162.1629252254197</v>
      </c>
      <c s="24" t="s">
        <v>548</v>
      </c>
      <c s="9">
        <v>726.98103697449255</v>
      </c>
      <c s="9">
        <v>392.22874310018256</v>
      </c>
      <c s="27">
        <v>1119.2097800746751</v>
      </c>
      <c s="24" t="s">
        <v>548</v>
      </c>
    </row>
    <row>
      <c s="26" t="s">
        <v>117</v>
      </c>
      <c s="26" t="s">
        <v>117</v>
      </c>
      <c s="26" t="s">
        <v>117</v>
      </c>
      <c s="9">
        <v>97867.230769230679</v>
      </c>
      <c s="9">
        <v>76722.76923076919</v>
      </c>
      <c s="27">
        <v>174589.99999999985</v>
      </c>
      <c s="24" t="s">
        <v>7</v>
      </c>
      <c s="9">
        <v>97124.758333333244</v>
      </c>
      <c s="9">
        <v>75411.241666666596</v>
      </c>
      <c s="27">
        <v>172535.99999999988</v>
      </c>
      <c s="24" t="s">
        <v>7</v>
      </c>
      <c s="9">
        <v>97830.679999999891</v>
      </c>
      <c s="9">
        <v>75385.319999999949</v>
      </c>
      <c s="27">
        <v>173215.99999999988</v>
      </c>
      <c s="24" t="s">
        <v>7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51"/>
      <c s="3"/>
      <c s="3"/>
      <c s="3"/>
      <c s="3"/>
      <c s="3"/>
      <c s="3"/>
      <c s="3"/>
      <c s="3"/>
      <c s="3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3">
    <mergeCell ref="D16:G16"/>
    <mergeCell ref="H16:K16"/>
    <mergeCell ref="L16:O16"/>
  </mergeCells>
  <pageMargins left="0.70866141732283472" right="0.70866141732283472" top="0.78740157480314965" bottom="0.78740157480314965" header="0.31496062992125984" footer="0.31496062992125984"/>
  <pageSetup paperSize="9" scale="72" fitToHeight="0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P729"/>
  <sheetViews>
    <sheetView workbookViewId="0"/>
  </sheetViews>
  <sheetFormatPr defaultColWidth="11.42578125" defaultRowHeight="15"/>
  <cols>
    <col min="1" max="1" width="21" bestFit="1" customWidth="1"/>
    <col min="2" max="2" width="13.28515625" bestFit="1" customWidth="1"/>
    <col min="3" max="3" width="13.7109375" customWidth="1"/>
  </cols>
  <sheetData>
    <row ht="14.95">
      <c s="69" t="s">
        <v>190</v>
      </c>
      <c s="30" t="s">
        <v>549</v>
      </c>
      <c s="30" t="s">
        <v>330</v>
      </c>
      <c r="I1" t="s">
        <v>290</v>
      </c>
      <c t="s">
        <v>184</v>
      </c>
      <c t="s">
        <v>72</v>
      </c>
      <c r="N1" t="s">
        <v>290</v>
      </c>
      <c t="s">
        <v>184</v>
      </c>
      <c t="s">
        <v>72</v>
      </c>
    </row>
    <row ht="14.95">
      <c t="s">
        <v>369</v>
      </c>
      <c>
        <v>316</v>
      </c>
      <c>
        <v>12576</v>
      </c>
      <c r="H2" s="50" t="s">
        <v>263</v>
      </c>
      <c>
        <f t="shared" si="0" ref="I2:I23">SUMIF($A$2:$A$1000,H2&amp;" Studienjahr 2024/25",$C$2:$C$1000)</f>
        <v>77166</v>
      </c>
      <c>
        <f t="shared" si="1" ref="J2:J23">SUMIF($A$2:$A$1000,H2&amp;" Studienjahr 2023/24",$C$2:$C$1000)</f>
        <v>73761</v>
      </c>
      <c>
        <f t="shared" si="2" ref="K2:K23">SUMIF($A$2:$A$1000,H2&amp;" Studienjahr 2022/23",$C$2:$C$1000)</f>
        <v>70282</v>
      </c>
      <c r="N2">
        <v>26560</v>
      </c>
      <c>
        <v>26560</v>
      </c>
      <c>
        <v>26560</v>
      </c>
    </row>
    <row ht="14.95">
      <c t="s">
        <v>475</v>
      </c>
      <c>
        <v>316</v>
      </c>
      <c>
        <v>11592</v>
      </c>
      <c r="H3" s="63" t="s">
        <v>438</v>
      </c>
      <c>
        <f t="shared" si="0"/>
        <v>77266</v>
      </c>
      <c>
        <f t="shared" si="1"/>
        <v>73802</v>
      </c>
      <c>
        <f t="shared" si="2"/>
        <v>70740</v>
      </c>
      <c r="N3">
        <v>26560</v>
      </c>
      <c>
        <v>26560</v>
      </c>
      <c>
        <v>26560</v>
      </c>
    </row>
    <row ht="14.95">
      <c t="s">
        <v>10</v>
      </c>
      <c>
        <v>316</v>
      </c>
      <c>
        <v>16160</v>
      </c>
      <c r="H4" s="63" t="s">
        <v>8</v>
      </c>
      <c>
        <f t="shared" si="0"/>
        <v>76888</v>
      </c>
      <c>
        <f t="shared" si="1"/>
        <v>73482</v>
      </c>
      <c>
        <f t="shared" si="2"/>
        <v>70198</v>
      </c>
      <c r="N4">
        <v>26560</v>
      </c>
      <c>
        <v>26560</v>
      </c>
      <c>
        <v>26560</v>
      </c>
    </row>
    <row ht="14.95">
      <c t="s">
        <v>226</v>
      </c>
      <c>
        <v>316</v>
      </c>
      <c>
        <v>18651</v>
      </c>
      <c r="H5" s="63" t="s">
        <v>473</v>
      </c>
      <c>
        <f t="shared" si="0"/>
        <v>78336</v>
      </c>
      <c>
        <f t="shared" si="1"/>
        <v>73188</v>
      </c>
      <c>
        <f t="shared" si="2"/>
        <v>70162</v>
      </c>
      <c r="N5">
        <v>26560</v>
      </c>
      <c>
        <v>26560</v>
      </c>
      <c>
        <v>26560</v>
      </c>
    </row>
    <row ht="14.95">
      <c t="s">
        <v>120</v>
      </c>
      <c>
        <v>2656</v>
      </c>
      <c>
        <v>21588</v>
      </c>
      <c r="H6" s="63" t="s">
        <v>45</v>
      </c>
      <c>
        <f t="shared" si="0"/>
        <v>77401</v>
      </c>
      <c>
        <f t="shared" si="1"/>
        <v>74029</v>
      </c>
      <c>
        <f t="shared" si="2"/>
        <v>71809</v>
      </c>
      <c r="N6">
        <v>26560</v>
      </c>
      <c>
        <v>26560</v>
      </c>
      <c>
        <v>26560</v>
      </c>
    </row>
    <row ht="14.95">
      <c t="s">
        <v>227</v>
      </c>
      <c>
        <v>2656</v>
      </c>
      <c>
        <v>24893</v>
      </c>
      <c r="H7" s="63" t="s">
        <v>331</v>
      </c>
      <c>
        <f t="shared" si="0"/>
        <v>77319</v>
      </c>
      <c>
        <f t="shared" si="1"/>
        <v>74023</v>
      </c>
      <c>
        <f t="shared" si="2"/>
        <v>71792</v>
      </c>
      <c r="N7">
        <v>26560</v>
      </c>
      <c>
        <v>26560</v>
      </c>
      <c>
        <v>26560</v>
      </c>
    </row>
    <row ht="14.95">
      <c t="s">
        <v>333</v>
      </c>
      <c>
        <v>2656</v>
      </c>
      <c>
        <v>28439</v>
      </c>
      <c r="H8" s="63" t="str">
        <f>CONCATENATE("U","D")</f>
        <v>UD</v>
      </c>
      <c>
        <f t="shared" si="0"/>
        <v>76931</v>
      </c>
      <c>
        <f t="shared" si="1"/>
        <v>73569</v>
      </c>
      <c>
        <f t="shared" si="2"/>
        <v>70248</v>
      </c>
      <c r="N8">
        <v>26560</v>
      </c>
      <c>
        <v>26560</v>
      </c>
      <c>
        <v>26560</v>
      </c>
    </row>
    <row ht="14.95">
      <c t="s">
        <v>441</v>
      </c>
      <c>
        <v>2656</v>
      </c>
      <c>
        <v>41059</v>
      </c>
      <c r="H9" s="63" t="s">
        <v>302</v>
      </c>
      <c>
        <f t="shared" si="0"/>
        <v>77198</v>
      </c>
      <c>
        <f t="shared" si="1"/>
        <v>73773</v>
      </c>
      <c>
        <f t="shared" si="2"/>
        <v>70688</v>
      </c>
      <c r="N9">
        <v>26560</v>
      </c>
      <c>
        <v>26560</v>
      </c>
      <c>
        <v>26560</v>
      </c>
    </row>
    <row ht="14.95">
      <c t="s">
        <v>552</v>
      </c>
      <c>
        <v>2656</v>
      </c>
      <c>
        <v>42878</v>
      </c>
      <c r="H10" s="63" t="s">
        <v>439</v>
      </c>
      <c>
        <f t="shared" si="0"/>
        <v>77015</v>
      </c>
      <c>
        <f t="shared" si="1"/>
        <v>73591</v>
      </c>
      <c>
        <f t="shared" si="2"/>
        <v>70316</v>
      </c>
      <c r="N10">
        <v>26560</v>
      </c>
      <c>
        <v>26560</v>
      </c>
      <c>
        <v>26560</v>
      </c>
    </row>
    <row ht="14.95">
      <c t="s">
        <v>84</v>
      </c>
      <c>
        <v>2656</v>
      </c>
      <c>
        <v>45004</v>
      </c>
      <c r="H11" s="63" t="s">
        <v>9</v>
      </c>
      <c>
        <f t="shared" si="0"/>
        <v>77380</v>
      </c>
      <c>
        <f t="shared" si="1"/>
        <v>73967</v>
      </c>
      <c>
        <f t="shared" si="2"/>
        <v>71597</v>
      </c>
      <c r="N11">
        <v>26560</v>
      </c>
      <c>
        <v>26560</v>
      </c>
      <c>
        <v>26560</v>
      </c>
    </row>
    <row ht="14.95">
      <c t="s">
        <v>194</v>
      </c>
      <c>
        <v>26560</v>
      </c>
      <c>
        <v>46666</v>
      </c>
      <c r="H12" s="63" t="s">
        <v>158</v>
      </c>
      <c>
        <f t="shared" si="0"/>
        <v>76803</v>
      </c>
      <c>
        <f t="shared" si="1"/>
        <v>74297</v>
      </c>
      <c>
        <f t="shared" si="2"/>
        <v>70678</v>
      </c>
      <c r="N12">
        <v>26560</v>
      </c>
      <c>
        <v>26560</v>
      </c>
      <c>
        <v>26560</v>
      </c>
    </row>
    <row ht="14.95">
      <c t="s">
        <v>304</v>
      </c>
      <c>
        <v>26560</v>
      </c>
      <c>
        <v>51062</v>
      </c>
      <c r="H13" s="63" t="s">
        <v>303</v>
      </c>
      <c>
        <f t="shared" si="0"/>
        <v>77078</v>
      </c>
      <c>
        <f t="shared" si="1"/>
        <v>73263</v>
      </c>
      <c>
        <f t="shared" si="2"/>
        <v>70346</v>
      </c>
      <c r="N13">
        <v>26560</v>
      </c>
      <c>
        <v>26560</v>
      </c>
      <c>
        <v>26560</v>
      </c>
    </row>
    <row ht="14.95">
      <c t="s">
        <v>402</v>
      </c>
      <c>
        <v>26560</v>
      </c>
      <c>
        <v>55132</v>
      </c>
      <c r="H14" s="63" t="s">
        <v>440</v>
      </c>
      <c>
        <f t="shared" si="0"/>
        <v>77141</v>
      </c>
      <c>
        <f t="shared" si="1"/>
        <v>74796</v>
      </c>
      <c>
        <f t="shared" si="2"/>
        <v>70929</v>
      </c>
      <c r="N14">
        <v>26560</v>
      </c>
      <c>
        <v>26560</v>
      </c>
      <c>
        <v>26560</v>
      </c>
    </row>
    <row ht="14.95">
      <c t="s">
        <v>48</v>
      </c>
      <c>
        <v>26560</v>
      </c>
      <c>
        <v>57766</v>
      </c>
      <c r="H15" s="63" t="s">
        <v>46</v>
      </c>
      <c>
        <f t="shared" si="0"/>
        <v>76835</v>
      </c>
      <c>
        <f t="shared" si="1"/>
        <v>73386</v>
      </c>
      <c>
        <f t="shared" si="2"/>
        <v>69975</v>
      </c>
      <c r="N15">
        <v>26560</v>
      </c>
      <c>
        <v>26560</v>
      </c>
      <c>
        <v>26560</v>
      </c>
    </row>
    <row ht="14.95">
      <c t="s">
        <v>535</v>
      </c>
      <c>
        <v>26560</v>
      </c>
      <c>
        <v>65511</v>
      </c>
      <c r="H16" s="63" t="s">
        <v>193</v>
      </c>
      <c>
        <f t="shared" si="0"/>
        <v>77114</v>
      </c>
      <c>
        <f t="shared" si="1"/>
        <v>73709</v>
      </c>
      <c>
        <f t="shared" si="2"/>
        <v>70781</v>
      </c>
      <c r="N16">
        <v>26560</v>
      </c>
      <c>
        <v>26560</v>
      </c>
      <c>
        <v>26560</v>
      </c>
    </row>
    <row ht="14.95">
      <c t="s">
        <v>71</v>
      </c>
      <c>
        <v>26560</v>
      </c>
      <c>
        <v>67822</v>
      </c>
      <c r="H17" s="63" t="s">
        <v>47</v>
      </c>
      <c>
        <f t="shared" si="0"/>
        <v>77463</v>
      </c>
      <c>
        <f t="shared" si="1"/>
        <v>75360</v>
      </c>
      <c>
        <f t="shared" si="2"/>
        <v>70435</v>
      </c>
      <c r="N17">
        <v>26560</v>
      </c>
      <c>
        <v>26560</v>
      </c>
      <c>
        <v>26560</v>
      </c>
    </row>
    <row ht="14.95">
      <c t="s">
        <v>183</v>
      </c>
      <c>
        <v>26560</v>
      </c>
      <c>
        <v>70282</v>
      </c>
      <c r="H18" s="63" t="s">
        <v>225</v>
      </c>
      <c>
        <f t="shared" si="0"/>
        <v>77552</v>
      </c>
      <c>
        <f t="shared" si="1"/>
        <v>74078</v>
      </c>
      <c>
        <f t="shared" si="2"/>
        <v>70900</v>
      </c>
      <c r="N18">
        <v>26560</v>
      </c>
      <c>
        <v>26560</v>
      </c>
      <c>
        <v>26560</v>
      </c>
    </row>
    <row ht="14.95">
      <c t="s">
        <v>289</v>
      </c>
      <c>
        <v>26560</v>
      </c>
      <c>
        <v>73761</v>
      </c>
      <c r="H19" s="63" t="s">
        <v>368</v>
      </c>
      <c>
        <f t="shared" si="0"/>
        <v>77040</v>
      </c>
      <c>
        <f t="shared" si="1"/>
        <v>73631</v>
      </c>
      <c>
        <f t="shared" si="2"/>
        <v>70588</v>
      </c>
      <c r="N19">
        <v>26560</v>
      </c>
      <c>
        <v>26560</v>
      </c>
      <c>
        <v>26560</v>
      </c>
    </row>
    <row ht="14.95">
      <c t="s">
        <v>394</v>
      </c>
      <c>
        <v>26560</v>
      </c>
      <c>
        <v>77166</v>
      </c>
      <c r="H20" s="63" t="s">
        <v>514</v>
      </c>
      <c>
        <f t="shared" si="0"/>
        <v>77220</v>
      </c>
      <c>
        <f t="shared" si="1"/>
        <v>73933</v>
      </c>
      <c>
        <f t="shared" si="2"/>
        <v>71682</v>
      </c>
      <c r="N20">
        <v>26560</v>
      </c>
      <c>
        <v>26560</v>
      </c>
      <c>
        <v>26560</v>
      </c>
    </row>
    <row ht="14.95">
      <c t="s">
        <v>403</v>
      </c>
      <c>
        <v>316</v>
      </c>
      <c>
        <v>13217</v>
      </c>
      <c r="H21" s="63" t="s">
        <v>83</v>
      </c>
      <c>
        <f t="shared" si="0"/>
        <v>76752</v>
      </c>
      <c>
        <f t="shared" si="1"/>
        <v>74472</v>
      </c>
      <c>
        <f t="shared" si="2"/>
        <v>71709</v>
      </c>
      <c r="N21">
        <v>26560</v>
      </c>
      <c>
        <v>26560</v>
      </c>
      <c>
        <v>26560</v>
      </c>
    </row>
    <row ht="14.95">
      <c t="s">
        <v>515</v>
      </c>
      <c>
        <v>316</v>
      </c>
      <c>
        <v>13223</v>
      </c>
      <c r="H22" s="63" t="s">
        <v>474</v>
      </c>
      <c>
        <f t="shared" si="0"/>
        <v>76864</v>
      </c>
      <c>
        <f t="shared" si="1"/>
        <v>73450</v>
      </c>
      <c>
        <f t="shared" si="2"/>
        <v>70502</v>
      </c>
      <c r="N22">
        <v>26560</v>
      </c>
      <c>
        <v>26560</v>
      </c>
      <c>
        <v>26560</v>
      </c>
    </row>
    <row ht="14.95">
      <c t="s">
        <v>49</v>
      </c>
      <c>
        <v>316</v>
      </c>
      <c>
        <v>16049</v>
      </c>
      <c r="H23" s="63" t="s">
        <v>332</v>
      </c>
      <c>
        <f t="shared" si="0"/>
        <v>77001</v>
      </c>
      <c>
        <f t="shared" si="1"/>
        <v>73688</v>
      </c>
      <c>
        <f t="shared" si="2"/>
        <v>70723</v>
      </c>
      <c r="N23">
        <v>26560</v>
      </c>
      <c>
        <v>26560</v>
      </c>
      <c>
        <v>26560</v>
      </c>
    </row>
    <row ht="14.95">
      <c t="s">
        <v>264</v>
      </c>
      <c>
        <v>316</v>
      </c>
      <c>
        <v>19139</v>
      </c>
    </row>
    <row ht="14.95">
      <c t="s">
        <v>159</v>
      </c>
      <c>
        <v>2656</v>
      </c>
      <c>
        <v>22679</v>
      </c>
    </row>
    <row ht="14.95">
      <c t="s">
        <v>265</v>
      </c>
      <c>
        <v>2656</v>
      </c>
      <c>
        <v>25173</v>
      </c>
    </row>
    <row ht="14.95">
      <c t="s">
        <v>370</v>
      </c>
      <c>
        <v>2656</v>
      </c>
      <c>
        <v>28478</v>
      </c>
    </row>
    <row ht="14.95">
      <c t="s">
        <v>476</v>
      </c>
      <c>
        <v>2656</v>
      </c>
      <c>
        <v>41580</v>
      </c>
    </row>
    <row ht="14.95">
      <c t="s">
        <v>11</v>
      </c>
      <c>
        <v>2656</v>
      </c>
      <c>
        <v>43254</v>
      </c>
    </row>
    <row ht="14.95">
      <c t="s">
        <v>121</v>
      </c>
      <c>
        <v>2656</v>
      </c>
      <c>
        <v>44910</v>
      </c>
    </row>
    <row ht="14.95">
      <c t="s">
        <v>228</v>
      </c>
      <c>
        <v>26560</v>
      </c>
      <c>
        <v>45952</v>
      </c>
    </row>
    <row ht="14.95">
      <c t="s">
        <v>334</v>
      </c>
      <c>
        <v>26560</v>
      </c>
      <c>
        <v>50998</v>
      </c>
    </row>
    <row ht="14.95">
      <c t="s">
        <v>442</v>
      </c>
      <c>
        <v>26560</v>
      </c>
      <c>
        <v>55151</v>
      </c>
    </row>
    <row ht="14.95">
      <c t="s">
        <v>85</v>
      </c>
      <c>
        <v>26560</v>
      </c>
      <c>
        <v>59573</v>
      </c>
    </row>
    <row ht="14.95">
      <c t="s">
        <v>569</v>
      </c>
      <c>
        <v>26560</v>
      </c>
      <c>
        <v>65417</v>
      </c>
    </row>
    <row ht="14.95">
      <c t="s">
        <v>104</v>
      </c>
      <c>
        <v>26560</v>
      </c>
      <c>
        <v>68037</v>
      </c>
    </row>
    <row ht="14.95">
      <c t="s">
        <v>213</v>
      </c>
      <c>
        <v>26560</v>
      </c>
      <c>
        <v>70740</v>
      </c>
    </row>
    <row ht="14.95">
      <c t="s">
        <v>322</v>
      </c>
      <c>
        <v>26560</v>
      </c>
      <c>
        <v>73802</v>
      </c>
    </row>
    <row ht="14.95">
      <c t="s">
        <v>425</v>
      </c>
      <c>
        <v>26560</v>
      </c>
      <c>
        <v>77266</v>
      </c>
    </row>
    <row ht="14.95">
      <c t="s">
        <v>477</v>
      </c>
      <c>
        <v>316</v>
      </c>
      <c>
        <v>8020</v>
      </c>
    </row>
    <row ht="14.95">
      <c t="s">
        <v>12</v>
      </c>
      <c>
        <v>316</v>
      </c>
      <c>
        <v>13165</v>
      </c>
    </row>
    <row ht="14.95">
      <c t="s">
        <v>122</v>
      </c>
      <c>
        <v>316</v>
      </c>
      <c>
        <v>16099</v>
      </c>
    </row>
    <row ht="14.95">
      <c t="s">
        <v>229</v>
      </c>
      <c>
        <v>2656</v>
      </c>
      <c>
        <v>22937</v>
      </c>
    </row>
    <row ht="14.95">
      <c t="s">
        <v>335</v>
      </c>
      <c>
        <v>2656</v>
      </c>
      <c>
        <v>24744</v>
      </c>
    </row>
    <row ht="14.95">
      <c t="s">
        <v>443</v>
      </c>
      <c>
        <v>2656</v>
      </c>
      <c>
        <v>29115</v>
      </c>
    </row>
    <row ht="14.95">
      <c t="s">
        <v>553</v>
      </c>
      <c>
        <v>2656</v>
      </c>
      <c>
        <v>40963</v>
      </c>
    </row>
    <row ht="14.95">
      <c t="s">
        <v>86</v>
      </c>
      <c>
        <v>2656</v>
      </c>
      <c>
        <v>42643</v>
      </c>
    </row>
    <row ht="14.95">
      <c t="s">
        <v>195</v>
      </c>
      <c>
        <v>2656</v>
      </c>
      <c>
        <v>44790</v>
      </c>
    </row>
    <row ht="14.95">
      <c t="s">
        <v>305</v>
      </c>
      <c>
        <v>26560</v>
      </c>
      <c>
        <v>46674</v>
      </c>
    </row>
    <row ht="14.95">
      <c t="s">
        <v>404</v>
      </c>
      <c>
        <v>26560</v>
      </c>
      <c>
        <v>49668</v>
      </c>
    </row>
    <row ht="14.95">
      <c t="s">
        <v>516</v>
      </c>
      <c>
        <v>26560</v>
      </c>
      <c>
        <v>55091</v>
      </c>
    </row>
    <row ht="14.95">
      <c t="s">
        <v>160</v>
      </c>
      <c>
        <v>26560</v>
      </c>
      <c>
        <v>57696</v>
      </c>
    </row>
    <row ht="14.95">
      <c t="s">
        <v>69</v>
      </c>
      <c>
        <v>26560</v>
      </c>
      <c>
        <v>65004</v>
      </c>
    </row>
    <row ht="14.95">
      <c t="s">
        <v>181</v>
      </c>
      <c>
        <v>26560</v>
      </c>
      <c>
        <v>67561</v>
      </c>
    </row>
    <row ht="14.95">
      <c t="s">
        <v>287</v>
      </c>
      <c>
        <v>26560</v>
      </c>
      <c>
        <v>70198</v>
      </c>
    </row>
    <row ht="14.95">
      <c t="s">
        <v>392</v>
      </c>
      <c>
        <v>26560</v>
      </c>
      <c>
        <v>73482</v>
      </c>
    </row>
    <row ht="14.95">
      <c t="s">
        <v>502</v>
      </c>
      <c>
        <v>26560</v>
      </c>
      <c>
        <v>76888</v>
      </c>
    </row>
    <row ht="14.95">
      <c t="s">
        <v>87</v>
      </c>
      <c>
        <v>316</v>
      </c>
      <c>
        <v>13234</v>
      </c>
    </row>
    <row ht="14.95">
      <c t="s">
        <v>196</v>
      </c>
      <c>
        <v>316</v>
      </c>
      <c>
        <v>18332</v>
      </c>
    </row>
    <row ht="14.95">
      <c t="s">
        <v>405</v>
      </c>
      <c>
        <v>316</v>
      </c>
      <c>
        <v>18973</v>
      </c>
    </row>
    <row ht="14.95">
      <c t="s">
        <v>306</v>
      </c>
      <c>
        <v>2656</v>
      </c>
      <c>
        <v>22744</v>
      </c>
    </row>
    <row ht="14.95">
      <c t="s">
        <v>406</v>
      </c>
      <c>
        <v>2656</v>
      </c>
      <c>
        <v>25189</v>
      </c>
    </row>
    <row ht="14.95">
      <c t="s">
        <v>478</v>
      </c>
      <c>
        <v>2656</v>
      </c>
      <c>
        <v>28524</v>
      </c>
    </row>
    <row ht="14.95">
      <c t="s">
        <v>13</v>
      </c>
      <c>
        <v>2656</v>
      </c>
      <c>
        <v>40941</v>
      </c>
    </row>
    <row ht="14.95">
      <c t="s">
        <v>123</v>
      </c>
      <c>
        <v>2656</v>
      </c>
      <c>
        <v>42544</v>
      </c>
    </row>
    <row ht="14.95">
      <c t="s">
        <v>230</v>
      </c>
      <c>
        <v>2656</v>
      </c>
      <c>
        <v>44922</v>
      </c>
    </row>
    <row ht="14.95">
      <c t="s">
        <v>336</v>
      </c>
      <c>
        <v>26560</v>
      </c>
      <c>
        <v>46592</v>
      </c>
    </row>
    <row ht="14.95">
      <c t="s">
        <v>444</v>
      </c>
      <c>
        <v>26560</v>
      </c>
      <c>
        <v>50664</v>
      </c>
    </row>
    <row ht="14.95">
      <c t="s">
        <v>554</v>
      </c>
      <c>
        <v>26560</v>
      </c>
      <c>
        <v>54725</v>
      </c>
    </row>
    <row ht="14.95">
      <c t="s">
        <v>197</v>
      </c>
      <c>
        <v>26560</v>
      </c>
      <c>
        <v>59463</v>
      </c>
    </row>
    <row ht="14.95">
      <c t="s">
        <v>102</v>
      </c>
      <c>
        <v>26560</v>
      </c>
      <c>
        <v>65268</v>
      </c>
    </row>
    <row ht="14.95">
      <c t="s">
        <v>211</v>
      </c>
      <c>
        <v>26560</v>
      </c>
      <c>
        <v>67954</v>
      </c>
    </row>
    <row ht="14.95">
      <c t="s">
        <v>320</v>
      </c>
      <c>
        <v>26560</v>
      </c>
      <c>
        <v>70248</v>
      </c>
    </row>
    <row ht="14.95">
      <c t="s">
        <v>422</v>
      </c>
      <c>
        <v>26560</v>
      </c>
      <c>
        <v>73569</v>
      </c>
    </row>
    <row ht="14.95">
      <c t="s">
        <v>537</v>
      </c>
      <c>
        <v>26560</v>
      </c>
      <c>
        <v>76931</v>
      </c>
    </row>
    <row ht="14.95">
      <c t="s">
        <v>14</v>
      </c>
      <c>
        <v>316</v>
      </c>
      <c>
        <v>14238</v>
      </c>
    </row>
    <row ht="14.95">
      <c t="s">
        <v>124</v>
      </c>
      <c>
        <v>316</v>
      </c>
      <c>
        <v>13488</v>
      </c>
    </row>
    <row ht="14.95">
      <c t="s">
        <v>231</v>
      </c>
      <c>
        <v>316</v>
      </c>
      <c>
        <v>16031</v>
      </c>
    </row>
    <row ht="14.95">
      <c t="s">
        <v>445</v>
      </c>
      <c>
        <v>316</v>
      </c>
      <c>
        <v>18616</v>
      </c>
    </row>
    <row ht="14.95">
      <c t="s">
        <v>337</v>
      </c>
      <c>
        <v>2656</v>
      </c>
      <c>
        <v>21640</v>
      </c>
    </row>
    <row ht="14.95">
      <c t="s">
        <v>446</v>
      </c>
      <c>
        <v>2656</v>
      </c>
      <c>
        <v>24954</v>
      </c>
    </row>
    <row ht="14.95">
      <c t="s">
        <v>555</v>
      </c>
      <c>
        <v>2656</v>
      </c>
      <c>
        <v>28413</v>
      </c>
    </row>
    <row ht="14.95">
      <c t="s">
        <v>88</v>
      </c>
      <c>
        <v>2656</v>
      </c>
      <c>
        <v>40895</v>
      </c>
    </row>
    <row ht="14.95">
      <c t="s">
        <v>198</v>
      </c>
      <c>
        <v>2656</v>
      </c>
      <c>
        <v>42409</v>
      </c>
    </row>
    <row ht="14.95">
      <c t="s">
        <v>307</v>
      </c>
      <c>
        <v>2656</v>
      </c>
      <c>
        <v>44951</v>
      </c>
    </row>
    <row ht="14.95">
      <c t="s">
        <v>407</v>
      </c>
      <c>
        <v>26560</v>
      </c>
      <c>
        <v>45965</v>
      </c>
    </row>
    <row ht="14.95">
      <c t="s">
        <v>517</v>
      </c>
      <c>
        <v>26560</v>
      </c>
      <c>
        <v>49056</v>
      </c>
    </row>
    <row ht="14.95">
      <c t="s">
        <v>50</v>
      </c>
      <c>
        <v>26560</v>
      </c>
      <c>
        <v>55112</v>
      </c>
    </row>
    <row ht="14.95">
      <c t="s">
        <v>266</v>
      </c>
      <c>
        <v>26560</v>
      </c>
      <c>
        <v>59595</v>
      </c>
    </row>
    <row ht="14.95">
      <c t="s">
        <v>179</v>
      </c>
      <c>
        <v>26560</v>
      </c>
      <c>
        <v>65432</v>
      </c>
    </row>
    <row ht="14.95">
      <c t="s">
        <v>285</v>
      </c>
      <c>
        <v>26560</v>
      </c>
      <c>
        <v>68006</v>
      </c>
    </row>
    <row ht="14.95">
      <c t="s">
        <v>390</v>
      </c>
      <c>
        <v>26560</v>
      </c>
      <c>
        <v>70688</v>
      </c>
    </row>
    <row ht="14.95">
      <c t="s">
        <v>500</v>
      </c>
      <c>
        <v>26560</v>
      </c>
      <c>
        <v>73773</v>
      </c>
    </row>
    <row ht="14.95">
      <c t="s">
        <v>35</v>
      </c>
      <c>
        <v>26560</v>
      </c>
      <c>
        <v>77198</v>
      </c>
    </row>
    <row ht="14.95">
      <c t="s">
        <v>89</v>
      </c>
      <c>
        <v>316</v>
      </c>
      <c>
        <v>4009</v>
      </c>
    </row>
    <row ht="14.95">
      <c t="s">
        <v>199</v>
      </c>
      <c>
        <v>316</v>
      </c>
      <c>
        <v>11074</v>
      </c>
    </row>
    <row ht="14.95">
      <c t="s">
        <v>308</v>
      </c>
      <c>
        <v>316</v>
      </c>
      <c>
        <v>15894</v>
      </c>
    </row>
    <row ht="14.95">
      <c t="s">
        <v>518</v>
      </c>
      <c>
        <v>316</v>
      </c>
      <c>
        <v>18516</v>
      </c>
    </row>
    <row ht="14.95">
      <c t="s">
        <v>408</v>
      </c>
      <c>
        <v>2656</v>
      </c>
      <c>
        <v>22793</v>
      </c>
    </row>
    <row ht="14.95">
      <c t="s">
        <v>519</v>
      </c>
      <c>
        <v>2656</v>
      </c>
      <c>
        <v>24831</v>
      </c>
    </row>
    <row ht="14.95">
      <c t="s">
        <v>51</v>
      </c>
      <c>
        <v>2656</v>
      </c>
      <c>
        <v>28212</v>
      </c>
    </row>
    <row ht="14.95">
      <c t="s">
        <v>161</v>
      </c>
      <c>
        <v>2656</v>
      </c>
      <c>
        <v>41336</v>
      </c>
    </row>
    <row ht="14.95">
      <c t="s">
        <v>267</v>
      </c>
      <c>
        <v>2656</v>
      </c>
      <c>
        <v>42746</v>
      </c>
    </row>
    <row ht="14.95">
      <c t="s">
        <v>371</v>
      </c>
      <c>
        <v>2656</v>
      </c>
      <c>
        <v>44041</v>
      </c>
    </row>
    <row ht="14.95">
      <c t="s">
        <v>479</v>
      </c>
      <c>
        <v>26560</v>
      </c>
      <c>
        <v>45879</v>
      </c>
    </row>
    <row ht="14.95">
      <c t="s">
        <v>15</v>
      </c>
      <c>
        <v>26560</v>
      </c>
      <c>
        <v>49135</v>
      </c>
    </row>
    <row ht="14.95">
      <c t="s">
        <v>125</v>
      </c>
      <c>
        <v>26560</v>
      </c>
      <c>
        <v>53210</v>
      </c>
    </row>
    <row ht="14.95">
      <c t="s">
        <v>338</v>
      </c>
      <c>
        <v>26560</v>
      </c>
      <c>
        <v>59714</v>
      </c>
    </row>
    <row ht="14.95">
      <c t="s">
        <v>246</v>
      </c>
      <c>
        <v>26560</v>
      </c>
      <c>
        <v>65243</v>
      </c>
    </row>
    <row ht="14.95">
      <c t="s">
        <v>357</v>
      </c>
      <c>
        <v>26560</v>
      </c>
      <c>
        <v>67733</v>
      </c>
    </row>
    <row ht="14.95">
      <c t="s">
        <v>468</v>
      </c>
      <c>
        <v>26560</v>
      </c>
      <c>
        <v>70316</v>
      </c>
    </row>
    <row ht="14.95">
      <c t="s">
        <v>576</v>
      </c>
      <c>
        <v>26560</v>
      </c>
      <c>
        <v>73591</v>
      </c>
    </row>
    <row ht="14.95">
      <c t="s">
        <v>110</v>
      </c>
      <c>
        <v>26560</v>
      </c>
      <c>
        <v>77015</v>
      </c>
    </row>
    <row ht="14.95">
      <c t="s">
        <v>126</v>
      </c>
      <c>
        <v>316</v>
      </c>
      <c>
        <v>13374</v>
      </c>
    </row>
    <row ht="14.95">
      <c t="s">
        <v>232</v>
      </c>
      <c>
        <v>316</v>
      </c>
      <c>
        <v>11534</v>
      </c>
    </row>
    <row ht="14.95">
      <c t="s">
        <v>339</v>
      </c>
      <c>
        <v>316</v>
      </c>
      <c>
        <v>16142</v>
      </c>
    </row>
    <row ht="14.95">
      <c t="s">
        <v>556</v>
      </c>
      <c>
        <v>316</v>
      </c>
      <c>
        <v>18626</v>
      </c>
    </row>
    <row ht="14.95">
      <c t="s">
        <v>447</v>
      </c>
      <c>
        <v>2656</v>
      </c>
      <c>
        <v>21619</v>
      </c>
    </row>
    <row ht="14.95">
      <c t="s">
        <v>557</v>
      </c>
      <c>
        <v>2656</v>
      </c>
      <c>
        <v>25197</v>
      </c>
    </row>
    <row ht="14.95">
      <c t="s">
        <v>90</v>
      </c>
      <c>
        <v>2656</v>
      </c>
      <c>
        <v>28486</v>
      </c>
    </row>
    <row ht="14.95">
      <c t="s">
        <v>200</v>
      </c>
      <c>
        <v>2656</v>
      </c>
      <c>
        <v>41210</v>
      </c>
    </row>
    <row ht="14.95">
      <c t="s">
        <v>309</v>
      </c>
      <c>
        <v>2656</v>
      </c>
      <c>
        <v>43494</v>
      </c>
    </row>
    <row ht="14.95">
      <c t="s">
        <v>409</v>
      </c>
      <c>
        <v>2656</v>
      </c>
      <c>
        <v>44978</v>
      </c>
    </row>
    <row ht="14.95">
      <c t="s">
        <v>520</v>
      </c>
      <c>
        <v>26560</v>
      </c>
      <c>
        <v>46610</v>
      </c>
    </row>
    <row ht="14.95">
      <c t="s">
        <v>52</v>
      </c>
      <c>
        <v>26560</v>
      </c>
      <c>
        <v>48646</v>
      </c>
    </row>
    <row ht="14.95">
      <c t="s">
        <v>162</v>
      </c>
      <c>
        <v>26560</v>
      </c>
      <c>
        <v>53808</v>
      </c>
    </row>
    <row ht="14.95">
      <c t="s">
        <v>372</v>
      </c>
      <c>
        <v>26560</v>
      </c>
      <c>
        <v>59664</v>
      </c>
    </row>
    <row ht="14.95">
      <c t="s">
        <v>283</v>
      </c>
      <c>
        <v>26560</v>
      </c>
      <c>
        <v>65361</v>
      </c>
    </row>
    <row ht="14.95">
      <c t="s">
        <v>388</v>
      </c>
      <c>
        <v>26560</v>
      </c>
      <c>
        <v>67715</v>
      </c>
    </row>
    <row ht="14.95">
      <c t="s">
        <v>498</v>
      </c>
      <c>
        <v>26560</v>
      </c>
      <c>
        <v>71597</v>
      </c>
    </row>
    <row ht="14.95">
      <c t="s">
        <v>33</v>
      </c>
      <c>
        <v>26560</v>
      </c>
      <c>
        <v>73967</v>
      </c>
    </row>
    <row ht="14.95">
      <c t="s">
        <v>146</v>
      </c>
      <c>
        <v>26560</v>
      </c>
      <c>
        <v>77380</v>
      </c>
    </row>
    <row ht="14.95">
      <c t="s">
        <v>201</v>
      </c>
      <c>
        <v>316</v>
      </c>
      <c>
        <v>4029</v>
      </c>
    </row>
    <row ht="14.95">
      <c t="s">
        <v>310</v>
      </c>
      <c>
        <v>316</v>
      </c>
      <c>
        <v>12645</v>
      </c>
    </row>
    <row ht="14.95">
      <c t="s">
        <v>410</v>
      </c>
      <c>
        <v>316</v>
      </c>
      <c>
        <v>15831</v>
      </c>
    </row>
    <row ht="14.95">
      <c t="s">
        <v>53</v>
      </c>
      <c>
        <v>316</v>
      </c>
      <c>
        <v>18482</v>
      </c>
    </row>
    <row ht="14.95">
      <c t="s">
        <v>521</v>
      </c>
      <c>
        <v>2656</v>
      </c>
      <c>
        <v>21729</v>
      </c>
    </row>
    <row ht="14.95">
      <c t="s">
        <v>54</v>
      </c>
      <c>
        <v>2656</v>
      </c>
      <c>
        <v>25019</v>
      </c>
    </row>
    <row ht="14.95">
      <c t="s">
        <v>163</v>
      </c>
      <c>
        <v>2656</v>
      </c>
      <c>
        <v>28419</v>
      </c>
    </row>
    <row ht="14.95">
      <c t="s">
        <v>268</v>
      </c>
      <c>
        <v>2656</v>
      </c>
      <c>
        <v>41635</v>
      </c>
    </row>
    <row ht="14.95">
      <c t="s">
        <v>373</v>
      </c>
      <c>
        <v>2656</v>
      </c>
      <c>
        <v>43457</v>
      </c>
    </row>
    <row ht="14.95">
      <c t="s">
        <v>480</v>
      </c>
      <c>
        <v>2656</v>
      </c>
      <c>
        <v>44850</v>
      </c>
    </row>
    <row ht="14.95">
      <c t="s">
        <v>16</v>
      </c>
      <c>
        <v>26560</v>
      </c>
      <c>
        <v>46232</v>
      </c>
    </row>
    <row ht="14.95">
      <c t="s">
        <v>127</v>
      </c>
      <c>
        <v>26560</v>
      </c>
      <c>
        <v>50809</v>
      </c>
    </row>
    <row ht="14.95">
      <c t="s">
        <v>233</v>
      </c>
      <c>
        <v>26560</v>
      </c>
      <c>
        <v>52708</v>
      </c>
    </row>
    <row ht="14.95">
      <c t="s">
        <v>448</v>
      </c>
      <c>
        <v>26560</v>
      </c>
      <c>
        <v>60246</v>
      </c>
    </row>
    <row ht="14.95">
      <c t="s">
        <v>355</v>
      </c>
      <c>
        <v>26560</v>
      </c>
      <c>
        <v>65598</v>
      </c>
    </row>
    <row ht="14.95">
      <c t="s">
        <v>465</v>
      </c>
      <c>
        <v>26560</v>
      </c>
      <c>
        <v>68231</v>
      </c>
    </row>
    <row ht="14.95">
      <c t="s">
        <v>575</v>
      </c>
      <c>
        <v>26560</v>
      </c>
      <c>
        <v>70678</v>
      </c>
    </row>
    <row ht="14.95">
      <c t="s">
        <v>109</v>
      </c>
      <c>
        <v>26560</v>
      </c>
      <c>
        <v>74297</v>
      </c>
    </row>
    <row ht="14.95">
      <c t="s">
        <v>218</v>
      </c>
      <c>
        <v>26560</v>
      </c>
      <c>
        <v>76803</v>
      </c>
    </row>
    <row ht="14.95">
      <c t="s">
        <v>234</v>
      </c>
      <c>
        <v>316</v>
      </c>
      <c>
        <v>13498</v>
      </c>
    </row>
    <row ht="14.95">
      <c t="s">
        <v>340</v>
      </c>
      <c>
        <v>316</v>
      </c>
      <c>
        <v>12764</v>
      </c>
    </row>
    <row ht="14.95">
      <c t="s">
        <v>449</v>
      </c>
      <c>
        <v>316</v>
      </c>
      <c>
        <v>16195</v>
      </c>
    </row>
    <row ht="14.95">
      <c t="s">
        <v>91</v>
      </c>
      <c>
        <v>316</v>
      </c>
      <c>
        <v>19851</v>
      </c>
    </row>
    <row ht="14.95">
      <c t="s">
        <v>558</v>
      </c>
      <c>
        <v>2656</v>
      </c>
      <c>
        <v>21568</v>
      </c>
    </row>
    <row ht="14.95">
      <c t="s">
        <v>92</v>
      </c>
      <c>
        <v>2656</v>
      </c>
      <c>
        <v>24881</v>
      </c>
    </row>
    <row ht="14.95">
      <c t="s">
        <v>202</v>
      </c>
      <c>
        <v>2656</v>
      </c>
      <c>
        <v>29059</v>
      </c>
    </row>
    <row ht="14.95">
      <c t="s">
        <v>311</v>
      </c>
      <c>
        <v>2656</v>
      </c>
      <c>
        <v>41503</v>
      </c>
    </row>
    <row ht="14.95">
      <c t="s">
        <v>411</v>
      </c>
      <c>
        <v>2656</v>
      </c>
      <c>
        <v>43315</v>
      </c>
    </row>
    <row ht="14.95">
      <c t="s">
        <v>522</v>
      </c>
      <c>
        <v>2656</v>
      </c>
      <c>
        <v>44968</v>
      </c>
    </row>
    <row ht="14.95">
      <c t="s">
        <v>55</v>
      </c>
      <c>
        <v>26560</v>
      </c>
      <c>
        <v>45561</v>
      </c>
    </row>
    <row ht="14.95">
      <c t="s">
        <v>164</v>
      </c>
      <c>
        <v>26560</v>
      </c>
      <c>
        <v>48198</v>
      </c>
    </row>
    <row ht="14.95">
      <c t="s">
        <v>269</v>
      </c>
      <c>
        <v>26560</v>
      </c>
      <c>
        <v>52181</v>
      </c>
    </row>
    <row ht="14.95">
      <c t="s">
        <v>481</v>
      </c>
      <c>
        <v>26560</v>
      </c>
      <c>
        <v>56954</v>
      </c>
    </row>
    <row ht="14.95">
      <c t="s">
        <v>385</v>
      </c>
      <c>
        <v>26560</v>
      </c>
      <c>
        <v>64965</v>
      </c>
    </row>
    <row ht="14.95">
      <c t="s">
        <v>495</v>
      </c>
      <c>
        <v>26560</v>
      </c>
      <c>
        <v>67660</v>
      </c>
    </row>
    <row ht="14.95">
      <c t="s">
        <v>30</v>
      </c>
      <c>
        <v>26560</v>
      </c>
      <c>
        <v>70346</v>
      </c>
    </row>
    <row ht="14.95">
      <c t="s">
        <v>143</v>
      </c>
      <c>
        <v>26560</v>
      </c>
      <c>
        <v>73263</v>
      </c>
    </row>
    <row ht="14.95">
      <c t="s">
        <v>251</v>
      </c>
      <c>
        <v>26560</v>
      </c>
      <c>
        <v>77078</v>
      </c>
    </row>
    <row ht="14.95">
      <c t="s">
        <v>312</v>
      </c>
      <c>
        <v>316</v>
      </c>
      <c>
        <v>3563</v>
      </c>
    </row>
    <row ht="14.95">
      <c t="s">
        <v>412</v>
      </c>
      <c>
        <v>316</v>
      </c>
      <c>
        <v>11493</v>
      </c>
    </row>
    <row ht="14.95">
      <c t="s">
        <v>523</v>
      </c>
      <c>
        <v>316</v>
      </c>
      <c>
        <v>16060</v>
      </c>
    </row>
    <row ht="14.95">
      <c t="s">
        <v>165</v>
      </c>
      <c>
        <v>316</v>
      </c>
      <c>
        <v>18570</v>
      </c>
    </row>
    <row ht="14.95">
      <c t="s">
        <v>56</v>
      </c>
      <c>
        <v>2656</v>
      </c>
      <c>
        <v>22028</v>
      </c>
    </row>
    <row ht="14.95">
      <c t="s">
        <v>166</v>
      </c>
      <c>
        <v>2656</v>
      </c>
      <c>
        <v>25675</v>
      </c>
    </row>
    <row ht="14.95">
      <c t="s">
        <v>270</v>
      </c>
      <c>
        <v>2656</v>
      </c>
      <c>
        <v>28301</v>
      </c>
    </row>
    <row ht="14.95">
      <c t="s">
        <v>374</v>
      </c>
      <c>
        <v>2656</v>
      </c>
      <c>
        <v>40927</v>
      </c>
    </row>
    <row ht="14.95">
      <c t="s">
        <v>482</v>
      </c>
      <c>
        <v>2656</v>
      </c>
      <c>
        <v>42426</v>
      </c>
    </row>
    <row ht="14.95">
      <c t="s">
        <v>17</v>
      </c>
      <c>
        <v>2656</v>
      </c>
      <c>
        <v>44874</v>
      </c>
    </row>
    <row ht="14.95">
      <c t="s">
        <v>128</v>
      </c>
      <c>
        <v>26560</v>
      </c>
      <c>
        <v>46794</v>
      </c>
    </row>
    <row ht="14.95">
      <c t="s">
        <v>235</v>
      </c>
      <c>
        <v>26560</v>
      </c>
      <c>
        <v>50981</v>
      </c>
    </row>
    <row ht="14.95">
      <c t="s">
        <v>341</v>
      </c>
      <c>
        <v>26560</v>
      </c>
      <c>
        <v>54887</v>
      </c>
    </row>
    <row ht="14.95">
      <c t="s">
        <v>559</v>
      </c>
      <c>
        <v>26560</v>
      </c>
      <c>
        <v>59529</v>
      </c>
    </row>
    <row ht="14.95">
      <c t="s">
        <v>463</v>
      </c>
      <c>
        <v>26560</v>
      </c>
      <c>
        <v>65227</v>
      </c>
    </row>
    <row ht="14.95">
      <c t="s">
        <v>572</v>
      </c>
      <c>
        <v>26560</v>
      </c>
      <c>
        <v>67689</v>
      </c>
    </row>
    <row ht="14.95">
      <c t="s">
        <v>107</v>
      </c>
      <c>
        <v>26560</v>
      </c>
      <c>
        <v>70929</v>
      </c>
    </row>
    <row ht="14.95">
      <c t="s">
        <v>216</v>
      </c>
      <c>
        <v>26560</v>
      </c>
      <c>
        <v>74796</v>
      </c>
    </row>
    <row ht="14.95">
      <c t="s">
        <v>325</v>
      </c>
      <c>
        <v>26560</v>
      </c>
      <c>
        <v>77141</v>
      </c>
    </row>
    <row ht="14.95">
      <c t="s">
        <v>129</v>
      </c>
      <c>
        <v>2656</v>
      </c>
      <c>
        <v>23171</v>
      </c>
    </row>
    <row ht="14.95">
      <c t="s">
        <v>236</v>
      </c>
      <c>
        <v>2656</v>
      </c>
      <c>
        <v>24814</v>
      </c>
    </row>
    <row ht="14.95">
      <c t="s">
        <v>342</v>
      </c>
      <c>
        <v>2656</v>
      </c>
      <c>
        <v>28170</v>
      </c>
    </row>
    <row ht="14.95">
      <c t="s">
        <v>450</v>
      </c>
      <c>
        <v>2656</v>
      </c>
      <c>
        <v>40749</v>
      </c>
    </row>
    <row ht="14.95">
      <c t="s">
        <v>560</v>
      </c>
      <c>
        <v>2656</v>
      </c>
      <c>
        <v>43334</v>
      </c>
    </row>
    <row ht="14.95">
      <c t="s">
        <v>93</v>
      </c>
      <c>
        <v>2656</v>
      </c>
      <c>
        <v>43823</v>
      </c>
    </row>
    <row ht="14.95">
      <c t="s">
        <v>167</v>
      </c>
      <c>
        <v>26560</v>
      </c>
      <c>
        <v>46719</v>
      </c>
    </row>
    <row ht="14.95">
      <c t="s">
        <v>271</v>
      </c>
      <c>
        <v>26560</v>
      </c>
      <c>
        <v>48967</v>
      </c>
    </row>
    <row ht="14.95">
      <c t="s">
        <v>375</v>
      </c>
      <c>
        <v>26560</v>
      </c>
      <c>
        <v>52206</v>
      </c>
    </row>
    <row ht="14.95">
      <c t="s">
        <v>57</v>
      </c>
      <c>
        <v>26560</v>
      </c>
      <c>
        <v>57125</v>
      </c>
    </row>
    <row ht="14.95">
      <c t="s">
        <v>492</v>
      </c>
      <c>
        <v>26560</v>
      </c>
      <c>
        <v>64986</v>
      </c>
    </row>
    <row ht="14.95">
      <c t="s">
        <v>28</v>
      </c>
      <c>
        <v>26560</v>
      </c>
      <c>
        <v>67550</v>
      </c>
    </row>
    <row ht="14.95">
      <c t="s">
        <v>141</v>
      </c>
      <c>
        <v>26560</v>
      </c>
      <c>
        <v>69975</v>
      </c>
    </row>
    <row ht="14.95">
      <c t="s">
        <v>248</v>
      </c>
      <c>
        <v>26560</v>
      </c>
      <c>
        <v>73386</v>
      </c>
    </row>
    <row ht="14.95">
      <c t="s">
        <v>359</v>
      </c>
      <c>
        <v>26560</v>
      </c>
      <c>
        <v>76835</v>
      </c>
    </row>
    <row ht="14.95">
      <c t="s">
        <v>413</v>
      </c>
      <c>
        <v>316</v>
      </c>
      <c>
        <v>6152</v>
      </c>
    </row>
    <row ht="14.95">
      <c t="s">
        <v>524</v>
      </c>
      <c>
        <v>316</v>
      </c>
      <c>
        <v>11665</v>
      </c>
    </row>
    <row ht="14.95">
      <c t="s">
        <v>58</v>
      </c>
      <c>
        <v>316</v>
      </c>
      <c>
        <v>16007</v>
      </c>
    </row>
    <row ht="14.95">
      <c t="s">
        <v>272</v>
      </c>
      <c>
        <v>316</v>
      </c>
      <c>
        <v>18706</v>
      </c>
    </row>
    <row ht="14.95">
      <c t="s">
        <v>168</v>
      </c>
      <c>
        <v>2656</v>
      </c>
      <c>
        <v>21904</v>
      </c>
    </row>
    <row ht="14.95">
      <c t="s">
        <v>273</v>
      </c>
      <c>
        <v>2656</v>
      </c>
      <c>
        <v>25200</v>
      </c>
    </row>
    <row ht="14.95">
      <c t="s">
        <v>376</v>
      </c>
      <c>
        <v>2656</v>
      </c>
      <c>
        <v>28575</v>
      </c>
    </row>
    <row ht="14.95">
      <c t="s">
        <v>483</v>
      </c>
      <c>
        <v>2656</v>
      </c>
      <c>
        <v>41221</v>
      </c>
    </row>
    <row ht="14.95">
      <c t="s">
        <v>18</v>
      </c>
      <c>
        <v>2656</v>
      </c>
      <c>
        <v>43416</v>
      </c>
    </row>
    <row ht="14.95">
      <c t="s">
        <v>130</v>
      </c>
      <c>
        <v>2656</v>
      </c>
      <c>
        <v>44591</v>
      </c>
    </row>
    <row ht="14.95">
      <c t="s">
        <v>237</v>
      </c>
      <c>
        <v>26560</v>
      </c>
      <c>
        <v>46695</v>
      </c>
    </row>
    <row ht="14.95">
      <c t="s">
        <v>343</v>
      </c>
      <c>
        <v>26560</v>
      </c>
      <c>
        <v>49725</v>
      </c>
    </row>
    <row ht="14.95">
      <c t="s">
        <v>451</v>
      </c>
      <c>
        <v>26560</v>
      </c>
      <c>
        <v>55028</v>
      </c>
    </row>
    <row ht="14.95">
      <c t="s">
        <v>94</v>
      </c>
      <c>
        <v>26560</v>
      </c>
      <c>
        <v>60085</v>
      </c>
    </row>
    <row ht="14.95">
      <c t="s">
        <v>570</v>
      </c>
      <c>
        <v>26560</v>
      </c>
      <c>
        <v>65446</v>
      </c>
    </row>
    <row ht="14.95">
      <c t="s">
        <v>105</v>
      </c>
      <c>
        <v>26560</v>
      </c>
      <c>
        <v>68117</v>
      </c>
    </row>
    <row ht="14.95">
      <c t="s">
        <v>214</v>
      </c>
      <c>
        <v>26560</v>
      </c>
      <c>
        <v>70781</v>
      </c>
    </row>
    <row ht="14.95">
      <c t="s">
        <v>323</v>
      </c>
      <c>
        <v>26560</v>
      </c>
      <c>
        <v>73709</v>
      </c>
    </row>
    <row ht="14.95">
      <c t="s">
        <v>426</v>
      </c>
      <c>
        <v>26560</v>
      </c>
      <c>
        <v>77114</v>
      </c>
    </row>
    <row ht="14.95">
      <c t="s">
        <v>484</v>
      </c>
      <c>
        <v>316</v>
      </c>
      <c>
        <v>6332</v>
      </c>
    </row>
    <row ht="14.95">
      <c t="s">
        <v>19</v>
      </c>
      <c>
        <v>316</v>
      </c>
      <c>
        <v>11462</v>
      </c>
    </row>
    <row ht="14.95">
      <c t="s">
        <v>131</v>
      </c>
      <c>
        <v>316</v>
      </c>
      <c>
        <v>16685</v>
      </c>
    </row>
    <row ht="14.95">
      <c t="s">
        <v>344</v>
      </c>
      <c>
        <v>316</v>
      </c>
      <c>
        <v>18787</v>
      </c>
    </row>
    <row ht="14.95">
      <c t="s">
        <v>345</v>
      </c>
      <c>
        <v>2656</v>
      </c>
      <c>
        <v>25138</v>
      </c>
    </row>
    <row ht="14.95">
      <c t="s">
        <v>452</v>
      </c>
      <c>
        <v>2656</v>
      </c>
      <c>
        <v>28267</v>
      </c>
    </row>
    <row ht="14.95">
      <c t="s">
        <v>561</v>
      </c>
      <c>
        <v>2656</v>
      </c>
      <c>
        <v>40838</v>
      </c>
    </row>
    <row ht="14.95">
      <c t="s">
        <v>95</v>
      </c>
      <c>
        <v>2656</v>
      </c>
      <c>
        <v>42569</v>
      </c>
    </row>
    <row ht="14.95">
      <c t="s">
        <v>203</v>
      </c>
      <c>
        <v>2656</v>
      </c>
      <c>
        <v>44257</v>
      </c>
    </row>
    <row ht="14.95">
      <c t="s">
        <v>313</v>
      </c>
      <c>
        <v>26560</v>
      </c>
      <c>
        <v>45830</v>
      </c>
    </row>
    <row ht="14.95">
      <c t="s">
        <v>414</v>
      </c>
      <c>
        <v>26560</v>
      </c>
      <c>
        <v>49292</v>
      </c>
    </row>
    <row ht="14.95">
      <c t="s">
        <v>525</v>
      </c>
      <c>
        <v>26560</v>
      </c>
      <c>
        <v>52896</v>
      </c>
    </row>
    <row ht="14.95">
      <c t="s">
        <v>169</v>
      </c>
      <c>
        <v>26560</v>
      </c>
      <c>
        <v>59137</v>
      </c>
    </row>
    <row ht="14.95">
      <c t="s">
        <v>70</v>
      </c>
      <c>
        <v>26560</v>
      </c>
      <c>
        <v>65114</v>
      </c>
    </row>
    <row ht="14.95">
      <c t="s">
        <v>182</v>
      </c>
      <c>
        <v>26560</v>
      </c>
      <c>
        <v>67606</v>
      </c>
    </row>
    <row ht="14.95">
      <c t="s">
        <v>288</v>
      </c>
      <c>
        <v>26560</v>
      </c>
      <c>
        <v>70723</v>
      </c>
    </row>
    <row ht="14.95">
      <c t="s">
        <v>393</v>
      </c>
      <c>
        <v>26560</v>
      </c>
      <c>
        <v>73688</v>
      </c>
    </row>
    <row ht="14.95">
      <c t="s">
        <v>503</v>
      </c>
      <c>
        <v>26560</v>
      </c>
      <c>
        <v>77001</v>
      </c>
    </row>
    <row ht="14.95">
      <c t="s">
        <v>526</v>
      </c>
      <c>
        <v>316</v>
      </c>
      <c>
        <v>4497</v>
      </c>
    </row>
    <row ht="14.95">
      <c t="s">
        <v>59</v>
      </c>
      <c>
        <v>316</v>
      </c>
      <c>
        <v>13730</v>
      </c>
    </row>
    <row ht="14.95">
      <c t="s">
        <v>170</v>
      </c>
      <c>
        <v>316</v>
      </c>
      <c>
        <v>16082</v>
      </c>
    </row>
    <row ht="14.95">
      <c t="s">
        <v>377</v>
      </c>
      <c>
        <v>316</v>
      </c>
      <c>
        <v>19198</v>
      </c>
    </row>
    <row ht="14.95">
      <c t="s">
        <v>274</v>
      </c>
      <c>
        <v>2656</v>
      </c>
      <c>
        <v>21935</v>
      </c>
    </row>
    <row ht="14.95">
      <c t="s">
        <v>378</v>
      </c>
      <c>
        <v>2656</v>
      </c>
      <c>
        <v>25450</v>
      </c>
    </row>
    <row ht="14.95">
      <c t="s">
        <v>485</v>
      </c>
      <c>
        <v>2656</v>
      </c>
      <c>
        <v>28836</v>
      </c>
    </row>
    <row ht="14.95">
      <c t="s">
        <v>20</v>
      </c>
      <c>
        <v>2656</v>
      </c>
      <c>
        <v>41758</v>
      </c>
    </row>
    <row ht="14.95">
      <c t="s">
        <v>132</v>
      </c>
      <c>
        <v>2656</v>
      </c>
      <c>
        <v>43500</v>
      </c>
    </row>
    <row ht="14.95">
      <c t="s">
        <v>238</v>
      </c>
      <c>
        <v>2656</v>
      </c>
      <c>
        <v>45155</v>
      </c>
    </row>
    <row ht="14.95">
      <c t="s">
        <v>346</v>
      </c>
      <c>
        <v>26560</v>
      </c>
      <c>
        <v>45700</v>
      </c>
    </row>
    <row ht="14.95">
      <c t="s">
        <v>453</v>
      </c>
      <c>
        <v>26560</v>
      </c>
      <c>
        <v>50828</v>
      </c>
    </row>
    <row ht="14.95">
      <c t="s">
        <v>562</v>
      </c>
      <c>
        <v>26560</v>
      </c>
      <c>
        <v>55006</v>
      </c>
    </row>
    <row ht="14.95">
      <c t="s">
        <v>204</v>
      </c>
      <c>
        <v>26560</v>
      </c>
      <c>
        <v>58185</v>
      </c>
    </row>
    <row ht="14.95">
      <c t="s">
        <v>103</v>
      </c>
      <c>
        <v>26560</v>
      </c>
      <c>
        <v>65150</v>
      </c>
    </row>
    <row ht="14.95">
      <c t="s">
        <v>212</v>
      </c>
      <c>
        <v>26560</v>
      </c>
      <c>
        <v>68434</v>
      </c>
    </row>
    <row ht="14.95">
      <c t="s">
        <v>321</v>
      </c>
      <c>
        <v>26560</v>
      </c>
      <c>
        <v>70162</v>
      </c>
    </row>
    <row ht="14.95">
      <c t="s">
        <v>423</v>
      </c>
      <c>
        <v>26560</v>
      </c>
      <c>
        <v>73188</v>
      </c>
    </row>
    <row ht="14.95">
      <c t="s">
        <v>538</v>
      </c>
      <c>
        <v>26560</v>
      </c>
      <c>
        <v>78336</v>
      </c>
    </row>
    <row ht="14.95">
      <c t="s">
        <v>21</v>
      </c>
      <c>
        <v>316</v>
      </c>
      <c>
        <v>4372</v>
      </c>
    </row>
    <row ht="14.95">
      <c t="s">
        <v>133</v>
      </c>
      <c>
        <v>316</v>
      </c>
      <c>
        <v>13194</v>
      </c>
    </row>
    <row ht="14.95">
      <c t="s">
        <v>239</v>
      </c>
      <c>
        <v>316</v>
      </c>
      <c>
        <v>17483</v>
      </c>
    </row>
    <row ht="14.95">
      <c t="s">
        <v>454</v>
      </c>
      <c>
        <v>316</v>
      </c>
      <c>
        <v>18965</v>
      </c>
    </row>
    <row ht="14.95">
      <c t="s">
        <v>347</v>
      </c>
      <c>
        <v>2656</v>
      </c>
      <c>
        <v>21666</v>
      </c>
    </row>
    <row ht="14.95">
      <c t="s">
        <v>455</v>
      </c>
      <c>
        <v>2656</v>
      </c>
      <c>
        <v>25038</v>
      </c>
    </row>
    <row ht="14.95">
      <c t="s">
        <v>563</v>
      </c>
      <c>
        <v>2656</v>
      </c>
      <c>
        <v>29105</v>
      </c>
    </row>
    <row ht="14.95">
      <c t="s">
        <v>96</v>
      </c>
      <c>
        <v>2656</v>
      </c>
      <c>
        <v>40952</v>
      </c>
    </row>
    <row ht="14.95">
      <c t="s">
        <v>205</v>
      </c>
      <c>
        <v>2656</v>
      </c>
      <c>
        <v>43508</v>
      </c>
    </row>
    <row ht="14.95">
      <c t="s">
        <v>314</v>
      </c>
      <c>
        <v>2656</v>
      </c>
      <c>
        <v>45169</v>
      </c>
    </row>
    <row ht="14.95">
      <c t="s">
        <v>415</v>
      </c>
      <c>
        <v>26560</v>
      </c>
      <c>
        <v>46065</v>
      </c>
    </row>
    <row ht="14.95">
      <c t="s">
        <v>527</v>
      </c>
      <c>
        <v>26560</v>
      </c>
      <c>
        <v>50671</v>
      </c>
    </row>
    <row ht="14.95">
      <c t="s">
        <v>60</v>
      </c>
      <c>
        <v>26560</v>
      </c>
      <c>
        <v>53452</v>
      </c>
    </row>
    <row ht="14.95">
      <c t="s">
        <v>275</v>
      </c>
      <c>
        <v>26560</v>
      </c>
      <c>
        <v>59969</v>
      </c>
    </row>
    <row ht="14.95">
      <c t="s">
        <v>180</v>
      </c>
      <c>
        <v>26560</v>
      </c>
      <c>
        <v>65607</v>
      </c>
    </row>
    <row ht="14.95">
      <c t="s">
        <v>286</v>
      </c>
      <c>
        <v>26560</v>
      </c>
      <c>
        <v>67792</v>
      </c>
    </row>
    <row ht="14.95">
      <c t="s">
        <v>391</v>
      </c>
      <c>
        <v>26560</v>
      </c>
      <c>
        <v>71809</v>
      </c>
    </row>
    <row ht="14.95">
      <c t="s">
        <v>501</v>
      </c>
      <c>
        <v>26560</v>
      </c>
      <c>
        <v>74029</v>
      </c>
    </row>
    <row ht="14.95">
      <c t="s">
        <v>36</v>
      </c>
      <c>
        <v>26560</v>
      </c>
      <c>
        <v>77401</v>
      </c>
    </row>
    <row ht="14.95">
      <c t="s">
        <v>134</v>
      </c>
      <c>
        <v>316</v>
      </c>
      <c>
        <v>3022</v>
      </c>
    </row>
    <row ht="14.95">
      <c t="s">
        <v>240</v>
      </c>
      <c>
        <v>316</v>
      </c>
      <c>
        <v>12385</v>
      </c>
    </row>
    <row ht="14.95">
      <c t="s">
        <v>348</v>
      </c>
      <c>
        <v>316</v>
      </c>
      <c>
        <v>16390</v>
      </c>
    </row>
    <row ht="14.95">
      <c t="s">
        <v>564</v>
      </c>
      <c>
        <v>316</v>
      </c>
      <c>
        <v>19345</v>
      </c>
    </row>
    <row ht="14.95">
      <c t="s">
        <v>456</v>
      </c>
      <c>
        <v>2656</v>
      </c>
      <c>
        <v>23423</v>
      </c>
    </row>
    <row ht="14.95">
      <c t="s">
        <v>565</v>
      </c>
      <c>
        <v>2656</v>
      </c>
      <c>
        <v>25048</v>
      </c>
    </row>
    <row ht="14.95">
      <c t="s">
        <v>97</v>
      </c>
      <c>
        <v>2656</v>
      </c>
      <c>
        <v>28369</v>
      </c>
    </row>
    <row ht="14.95">
      <c t="s">
        <v>206</v>
      </c>
      <c>
        <v>2656</v>
      </c>
      <c>
        <v>40798</v>
      </c>
    </row>
    <row ht="14.95">
      <c t="s">
        <v>315</v>
      </c>
      <c>
        <v>2656</v>
      </c>
      <c>
        <v>43523</v>
      </c>
    </row>
    <row ht="14.95">
      <c t="s">
        <v>416</v>
      </c>
      <c>
        <v>2656</v>
      </c>
      <c>
        <v>45079</v>
      </c>
    </row>
    <row ht="14.95">
      <c t="s">
        <v>528</v>
      </c>
      <c>
        <v>26560</v>
      </c>
      <c>
        <v>46520</v>
      </c>
    </row>
    <row ht="14.95">
      <c t="s">
        <v>61</v>
      </c>
      <c>
        <v>26560</v>
      </c>
      <c>
        <v>49983</v>
      </c>
    </row>
    <row ht="14.95">
      <c t="s">
        <v>171</v>
      </c>
      <c>
        <v>26560</v>
      </c>
      <c>
        <v>53677</v>
      </c>
    </row>
    <row ht="14.95">
      <c t="s">
        <v>379</v>
      </c>
      <c>
        <v>26560</v>
      </c>
      <c>
        <v>59498</v>
      </c>
    </row>
    <row ht="14.95">
      <c t="s">
        <v>284</v>
      </c>
      <c>
        <v>26560</v>
      </c>
      <c>
        <v>65686</v>
      </c>
    </row>
    <row ht="14.95">
      <c t="s">
        <v>389</v>
      </c>
      <c>
        <v>26560</v>
      </c>
      <c>
        <v>67850</v>
      </c>
    </row>
    <row ht="14.95">
      <c t="s">
        <v>499</v>
      </c>
      <c>
        <v>26560</v>
      </c>
      <c>
        <v>71792</v>
      </c>
    </row>
    <row ht="14.95">
      <c t="s">
        <v>34</v>
      </c>
      <c>
        <v>26560</v>
      </c>
      <c>
        <v>74023</v>
      </c>
    </row>
    <row ht="14.95">
      <c t="s">
        <v>147</v>
      </c>
      <c>
        <v>26560</v>
      </c>
      <c>
        <v>77319</v>
      </c>
    </row>
    <row ht="14.95">
      <c t="s">
        <v>207</v>
      </c>
      <c>
        <v>316</v>
      </c>
      <c>
        <v>4935</v>
      </c>
    </row>
    <row ht="14.95">
      <c t="s">
        <v>316</v>
      </c>
      <c>
        <v>316</v>
      </c>
      <c>
        <v>15476</v>
      </c>
    </row>
    <row ht="14.95">
      <c t="s">
        <v>417</v>
      </c>
      <c>
        <v>316</v>
      </c>
      <c>
        <v>15885</v>
      </c>
    </row>
    <row ht="14.95">
      <c t="s">
        <v>62</v>
      </c>
      <c>
        <v>316</v>
      </c>
      <c>
        <v>18411</v>
      </c>
    </row>
    <row ht="14.95">
      <c t="s">
        <v>529</v>
      </c>
      <c>
        <v>2656</v>
      </c>
      <c>
        <v>21844</v>
      </c>
    </row>
    <row ht="14.95">
      <c t="s">
        <v>63</v>
      </c>
      <c>
        <v>2656</v>
      </c>
      <c>
        <v>25272</v>
      </c>
    </row>
    <row ht="14.95">
      <c t="s">
        <v>172</v>
      </c>
      <c>
        <v>2656</v>
      </c>
      <c>
        <v>28635</v>
      </c>
    </row>
    <row ht="14.95">
      <c t="s">
        <v>276</v>
      </c>
      <c>
        <v>2656</v>
      </c>
      <c>
        <v>40700</v>
      </c>
    </row>
    <row ht="14.95">
      <c t="s">
        <v>380</v>
      </c>
      <c>
        <v>2656</v>
      </c>
      <c>
        <v>42383</v>
      </c>
    </row>
    <row ht="14.95">
      <c t="s">
        <v>486</v>
      </c>
      <c>
        <v>2656</v>
      </c>
      <c>
        <v>44086</v>
      </c>
    </row>
    <row ht="14.95">
      <c t="s">
        <v>22</v>
      </c>
      <c>
        <v>26560</v>
      </c>
      <c>
        <v>45809</v>
      </c>
    </row>
    <row ht="14.95">
      <c t="s">
        <v>135</v>
      </c>
      <c>
        <v>26560</v>
      </c>
      <c>
        <v>50713</v>
      </c>
    </row>
    <row ht="14.95">
      <c t="s">
        <v>241</v>
      </c>
      <c>
        <v>26560</v>
      </c>
      <c>
        <v>52662</v>
      </c>
    </row>
    <row ht="14.95">
      <c t="s">
        <v>457</v>
      </c>
      <c>
        <v>26560</v>
      </c>
      <c>
        <v>59180</v>
      </c>
    </row>
    <row ht="14.95">
      <c t="s">
        <v>356</v>
      </c>
      <c>
        <v>26560</v>
      </c>
      <c>
        <v>65538</v>
      </c>
    </row>
    <row ht="14.95">
      <c t="s">
        <v>466</v>
      </c>
      <c>
        <v>26560</v>
      </c>
      <c>
        <v>67624</v>
      </c>
    </row>
    <row ht="14.95">
      <c t="s">
        <v>536</v>
      </c>
      <c>
        <v>26560</v>
      </c>
      <c>
        <v>70502</v>
      </c>
    </row>
    <row ht="14.95">
      <c t="s">
        <v>73</v>
      </c>
      <c>
        <v>26560</v>
      </c>
      <c>
        <v>73450</v>
      </c>
    </row>
    <row ht="14.95">
      <c t="s">
        <v>185</v>
      </c>
      <c>
        <v>26560</v>
      </c>
      <c>
        <v>76864</v>
      </c>
    </row>
    <row ht="14.95">
      <c t="s">
        <v>242</v>
      </c>
      <c>
        <v>316</v>
      </c>
      <c>
        <v>6925</v>
      </c>
    </row>
    <row ht="14.95">
      <c t="s">
        <v>349</v>
      </c>
      <c>
        <v>316</v>
      </c>
      <c>
        <v>11731</v>
      </c>
    </row>
    <row ht="14.95">
      <c t="s">
        <v>458</v>
      </c>
      <c>
        <v>316</v>
      </c>
      <c>
        <v>16363</v>
      </c>
    </row>
    <row ht="14.95">
      <c t="s">
        <v>98</v>
      </c>
      <c>
        <v>316</v>
      </c>
      <c>
        <v>18776</v>
      </c>
    </row>
    <row ht="14.95">
      <c t="s">
        <v>566</v>
      </c>
      <c>
        <v>2656</v>
      </c>
      <c>
        <v>23040</v>
      </c>
    </row>
    <row ht="14.95">
      <c t="s">
        <v>99</v>
      </c>
      <c>
        <v>2656</v>
      </c>
      <c>
        <v>25114</v>
      </c>
    </row>
    <row ht="14.95">
      <c t="s">
        <v>208</v>
      </c>
      <c>
        <v>2656</v>
      </c>
      <c>
        <v>28502</v>
      </c>
    </row>
    <row ht="14.95">
      <c t="s">
        <v>317</v>
      </c>
      <c>
        <v>2656</v>
      </c>
      <c>
        <v>41102</v>
      </c>
    </row>
    <row ht="14.95">
      <c t="s">
        <v>418</v>
      </c>
      <c>
        <v>2656</v>
      </c>
      <c>
        <v>42903</v>
      </c>
    </row>
    <row ht="14.95">
      <c t="s">
        <v>530</v>
      </c>
      <c>
        <v>2656</v>
      </c>
      <c>
        <v>44133</v>
      </c>
    </row>
    <row ht="14.95">
      <c t="s">
        <v>64</v>
      </c>
      <c>
        <v>26560</v>
      </c>
      <c>
        <v>47146</v>
      </c>
    </row>
    <row ht="14.95">
      <c t="s">
        <v>173</v>
      </c>
      <c>
        <v>26560</v>
      </c>
      <c>
        <v>50954</v>
      </c>
    </row>
    <row ht="14.95">
      <c t="s">
        <v>277</v>
      </c>
      <c>
        <v>26560</v>
      </c>
      <c>
        <v>55136</v>
      </c>
    </row>
    <row ht="14.95">
      <c t="s">
        <v>487</v>
      </c>
      <c>
        <v>26560</v>
      </c>
      <c>
        <v>63905</v>
      </c>
    </row>
    <row ht="14.95">
      <c t="s">
        <v>386</v>
      </c>
      <c>
        <v>26560</v>
      </c>
      <c>
        <v>65332</v>
      </c>
    </row>
    <row ht="14.95">
      <c t="s">
        <v>496</v>
      </c>
      <c>
        <v>26560</v>
      </c>
      <c>
        <v>68084</v>
      </c>
    </row>
    <row ht="14.95">
      <c t="s">
        <v>31</v>
      </c>
      <c>
        <v>26560</v>
      </c>
      <c>
        <v>70435</v>
      </c>
    </row>
    <row ht="14.95">
      <c t="s">
        <v>144</v>
      </c>
      <c>
        <v>26560</v>
      </c>
      <c>
        <v>75360</v>
      </c>
    </row>
    <row ht="14.95">
      <c t="s">
        <v>252</v>
      </c>
      <c>
        <v>26560</v>
      </c>
      <c>
        <v>77463</v>
      </c>
    </row>
    <row ht="14.95">
      <c t="s">
        <v>318</v>
      </c>
      <c>
        <v>316</v>
      </c>
      <c>
        <v>4472</v>
      </c>
    </row>
    <row ht="14.95">
      <c t="s">
        <v>419</v>
      </c>
      <c>
        <v>316</v>
      </c>
      <c>
        <v>14321</v>
      </c>
    </row>
    <row ht="14.95">
      <c t="s">
        <v>531</v>
      </c>
      <c>
        <v>316</v>
      </c>
      <c>
        <v>16234</v>
      </c>
    </row>
    <row ht="14.95">
      <c t="s">
        <v>174</v>
      </c>
      <c>
        <v>316</v>
      </c>
      <c>
        <v>18986</v>
      </c>
    </row>
    <row ht="14.95">
      <c t="s">
        <v>65</v>
      </c>
      <c>
        <v>2656</v>
      </c>
      <c>
        <v>21955</v>
      </c>
    </row>
    <row ht="14.95">
      <c t="s">
        <v>175</v>
      </c>
      <c>
        <v>2656</v>
      </c>
      <c>
        <v>25005</v>
      </c>
    </row>
    <row ht="14.95">
      <c t="s">
        <v>278</v>
      </c>
      <c>
        <v>2656</v>
      </c>
      <c>
        <v>28601</v>
      </c>
    </row>
    <row ht="14.95">
      <c t="s">
        <v>381</v>
      </c>
      <c>
        <v>2656</v>
      </c>
      <c>
        <v>41744</v>
      </c>
    </row>
    <row ht="14.95">
      <c t="s">
        <v>488</v>
      </c>
      <c>
        <v>2656</v>
      </c>
      <c>
        <v>43467</v>
      </c>
    </row>
    <row ht="14.95">
      <c t="s">
        <v>23</v>
      </c>
      <c>
        <v>2656</v>
      </c>
      <c>
        <v>45105</v>
      </c>
    </row>
    <row ht="14.95">
      <c t="s">
        <v>136</v>
      </c>
      <c>
        <v>26560</v>
      </c>
      <c>
        <v>46207</v>
      </c>
    </row>
    <row ht="14.95">
      <c t="s">
        <v>243</v>
      </c>
      <c>
        <v>26560</v>
      </c>
      <c>
        <v>50256</v>
      </c>
    </row>
    <row ht="14.95">
      <c t="s">
        <v>350</v>
      </c>
      <c>
        <v>26560</v>
      </c>
      <c>
        <v>53029</v>
      </c>
    </row>
    <row ht="14.95">
      <c t="s">
        <v>567</v>
      </c>
      <c>
        <v>26560</v>
      </c>
      <c>
        <v>62605</v>
      </c>
    </row>
    <row ht="14.95">
      <c t="s">
        <v>464</v>
      </c>
      <c>
        <v>26560</v>
      </c>
      <c>
        <v>65508</v>
      </c>
    </row>
    <row ht="14.95">
      <c t="s">
        <v>573</v>
      </c>
      <c>
        <v>26560</v>
      </c>
      <c>
        <v>68158</v>
      </c>
    </row>
    <row ht="14.95">
      <c t="s">
        <v>108</v>
      </c>
      <c>
        <v>26560</v>
      </c>
      <c>
        <v>70900</v>
      </c>
    </row>
    <row ht="14.95">
      <c t="s">
        <v>217</v>
      </c>
      <c>
        <v>26560</v>
      </c>
      <c>
        <v>74078</v>
      </c>
    </row>
    <row ht="14.95">
      <c t="s">
        <v>326</v>
      </c>
      <c>
        <v>26560</v>
      </c>
      <c>
        <v>77552</v>
      </c>
    </row>
    <row ht="14.95">
      <c t="s">
        <v>351</v>
      </c>
      <c>
        <v>316</v>
      </c>
      <c>
        <v>4443</v>
      </c>
    </row>
    <row ht="14.95">
      <c t="s">
        <v>459</v>
      </c>
      <c>
        <v>316</v>
      </c>
      <c>
        <v>11617</v>
      </c>
    </row>
    <row ht="14.95">
      <c t="s">
        <v>568</v>
      </c>
      <c>
        <v>316</v>
      </c>
      <c>
        <v>16283</v>
      </c>
    </row>
    <row ht="14.95">
      <c t="s">
        <v>209</v>
      </c>
      <c>
        <v>316</v>
      </c>
      <c>
        <v>18666</v>
      </c>
    </row>
    <row ht="14.95">
      <c t="s">
        <v>100</v>
      </c>
      <c>
        <v>2656</v>
      </c>
      <c>
        <v>21696</v>
      </c>
    </row>
    <row ht="14.95">
      <c t="s">
        <v>210</v>
      </c>
      <c>
        <v>2656</v>
      </c>
      <c>
        <v>24770</v>
      </c>
    </row>
    <row ht="14.95">
      <c t="s">
        <v>319</v>
      </c>
      <c>
        <v>2656</v>
      </c>
      <c>
        <v>28055</v>
      </c>
    </row>
    <row ht="14.95">
      <c t="s">
        <v>420</v>
      </c>
      <c>
        <v>2656</v>
      </c>
      <c>
        <v>41299</v>
      </c>
    </row>
    <row ht="14.95">
      <c t="s">
        <v>532</v>
      </c>
      <c>
        <v>2656</v>
      </c>
      <c>
        <v>42458</v>
      </c>
    </row>
    <row ht="14.95">
      <c t="s">
        <v>66</v>
      </c>
      <c>
        <v>2656</v>
      </c>
      <c>
        <v>43902</v>
      </c>
    </row>
    <row ht="14.95">
      <c t="s">
        <v>176</v>
      </c>
      <c>
        <v>26560</v>
      </c>
      <c>
        <v>45773</v>
      </c>
    </row>
    <row ht="14.95">
      <c t="s">
        <v>279</v>
      </c>
      <c>
        <v>26560</v>
      </c>
      <c>
        <v>48446</v>
      </c>
    </row>
    <row ht="14.95">
      <c t="s">
        <v>382</v>
      </c>
      <c>
        <v>26560</v>
      </c>
      <c>
        <v>52348</v>
      </c>
    </row>
    <row ht="14.95">
      <c t="s">
        <v>24</v>
      </c>
      <c>
        <v>26560</v>
      </c>
      <c>
        <v>59687</v>
      </c>
    </row>
    <row ht="14.95">
      <c t="s">
        <v>493</v>
      </c>
      <c>
        <v>26560</v>
      </c>
      <c>
        <v>65040</v>
      </c>
    </row>
    <row ht="14.95">
      <c t="s">
        <v>29</v>
      </c>
      <c>
        <v>26560</v>
      </c>
      <c>
        <v>67878</v>
      </c>
    </row>
    <row ht="14.95">
      <c t="s">
        <v>142</v>
      </c>
      <c>
        <v>26560</v>
      </c>
      <c>
        <v>70588</v>
      </c>
    </row>
    <row ht="14.95">
      <c t="s">
        <v>249</v>
      </c>
      <c>
        <v>26560</v>
      </c>
      <c>
        <v>73631</v>
      </c>
    </row>
    <row ht="14.95">
      <c t="s">
        <v>360</v>
      </c>
      <c>
        <v>26560</v>
      </c>
      <c>
        <v>77040</v>
      </c>
    </row>
    <row ht="14.95">
      <c t="s">
        <v>421</v>
      </c>
      <c>
        <v>316</v>
      </c>
      <c>
        <v>3578</v>
      </c>
    </row>
    <row ht="14.95">
      <c t="s">
        <v>533</v>
      </c>
      <c>
        <v>316</v>
      </c>
      <c>
        <v>11082</v>
      </c>
    </row>
    <row ht="14.95">
      <c t="s">
        <v>67</v>
      </c>
      <c>
        <v>316</v>
      </c>
      <c>
        <v>15978</v>
      </c>
    </row>
    <row ht="14.95">
      <c t="s">
        <v>280</v>
      </c>
      <c>
        <v>316</v>
      </c>
      <c>
        <v>18539</v>
      </c>
    </row>
    <row ht="14.95">
      <c t="s">
        <v>177</v>
      </c>
      <c>
        <v>2656</v>
      </c>
      <c>
        <v>22887</v>
      </c>
    </row>
    <row ht="14.95">
      <c t="s">
        <v>281</v>
      </c>
      <c>
        <v>2656</v>
      </c>
      <c>
        <v>24510</v>
      </c>
    </row>
    <row ht="14.95">
      <c t="s">
        <v>383</v>
      </c>
      <c>
        <v>2656</v>
      </c>
      <c>
        <v>28311</v>
      </c>
    </row>
    <row ht="14.95">
      <c t="s">
        <v>489</v>
      </c>
      <c>
        <v>2656</v>
      </c>
      <c>
        <v>40670</v>
      </c>
    </row>
    <row ht="14.95">
      <c t="s">
        <v>25</v>
      </c>
      <c>
        <v>2656</v>
      </c>
      <c>
        <v>43228</v>
      </c>
    </row>
    <row ht="14.95">
      <c t="s">
        <v>137</v>
      </c>
      <c>
        <v>2656</v>
      </c>
      <c>
        <v>43960</v>
      </c>
    </row>
    <row ht="14.95">
      <c t="s">
        <v>244</v>
      </c>
      <c>
        <v>26560</v>
      </c>
      <c>
        <v>45749</v>
      </c>
    </row>
    <row ht="14.95">
      <c t="s">
        <v>352</v>
      </c>
      <c>
        <v>26560</v>
      </c>
      <c>
        <v>47779</v>
      </c>
    </row>
    <row ht="14.95">
      <c t="s">
        <v>460</v>
      </c>
      <c>
        <v>26560</v>
      </c>
      <c>
        <v>52530</v>
      </c>
    </row>
    <row ht="14.95">
      <c t="s">
        <v>101</v>
      </c>
      <c>
        <v>26560</v>
      </c>
      <c>
        <v>59892</v>
      </c>
    </row>
    <row ht="14.95">
      <c t="s">
        <v>571</v>
      </c>
      <c>
        <v>26560</v>
      </c>
      <c>
        <v>65583</v>
      </c>
    </row>
    <row ht="14.95">
      <c t="s">
        <v>106</v>
      </c>
      <c>
        <v>26560</v>
      </c>
      <c>
        <v>68067</v>
      </c>
    </row>
    <row ht="14.95">
      <c t="s">
        <v>215</v>
      </c>
      <c>
        <v>26560</v>
      </c>
      <c>
        <v>71682</v>
      </c>
    </row>
    <row ht="14.95">
      <c t="s">
        <v>324</v>
      </c>
      <c>
        <v>26560</v>
      </c>
      <c>
        <v>73933</v>
      </c>
    </row>
    <row ht="14.95">
      <c t="s">
        <v>427</v>
      </c>
      <c>
        <v>26560</v>
      </c>
      <c>
        <v>77220</v>
      </c>
    </row>
    <row ht="14.95">
      <c t="s">
        <v>490</v>
      </c>
      <c>
        <v>316</v>
      </c>
      <c>
        <v>4941</v>
      </c>
    </row>
    <row ht="14.95">
      <c t="s">
        <v>26</v>
      </c>
      <c>
        <v>316</v>
      </c>
      <c>
        <v>11221</v>
      </c>
    </row>
    <row ht="14.95">
      <c t="s">
        <v>138</v>
      </c>
      <c>
        <v>316</v>
      </c>
      <c>
        <v>16779</v>
      </c>
    </row>
    <row ht="14.95">
      <c t="s">
        <v>353</v>
      </c>
      <c>
        <v>316</v>
      </c>
      <c>
        <v>18673</v>
      </c>
    </row>
    <row ht="14.95">
      <c t="s">
        <v>245</v>
      </c>
      <c>
        <v>2656</v>
      </c>
      <c>
        <v>23067</v>
      </c>
    </row>
    <row ht="14.95">
      <c t="s">
        <v>354</v>
      </c>
      <c>
        <v>2656</v>
      </c>
      <c>
        <v>25315</v>
      </c>
    </row>
    <row ht="14.95">
      <c t="s">
        <v>461</v>
      </c>
      <c>
        <v>2656</v>
      </c>
      <c>
        <v>28319</v>
      </c>
    </row>
    <row ht="14.95">
      <c t="s">
        <v>534</v>
      </c>
      <c>
        <v>2656</v>
      </c>
      <c>
        <v>40935</v>
      </c>
    </row>
    <row ht="14.95">
      <c t="s">
        <v>68</v>
      </c>
      <c>
        <v>2656</v>
      </c>
      <c>
        <v>42767</v>
      </c>
    </row>
    <row ht="14.95">
      <c t="s">
        <v>178</v>
      </c>
      <c>
        <v>2656</v>
      </c>
      <c>
        <v>44962</v>
      </c>
    </row>
    <row ht="14.95">
      <c t="s">
        <v>282</v>
      </c>
      <c>
        <v>26560</v>
      </c>
      <c>
        <v>46163</v>
      </c>
    </row>
    <row ht="14.95">
      <c t="s">
        <v>384</v>
      </c>
      <c>
        <v>26560</v>
      </c>
      <c>
        <v>49306</v>
      </c>
    </row>
    <row ht="14.95">
      <c t="s">
        <v>491</v>
      </c>
      <c>
        <v>26560</v>
      </c>
      <c>
        <v>53245</v>
      </c>
    </row>
    <row ht="14.95">
      <c t="s">
        <v>139</v>
      </c>
      <c>
        <v>26560</v>
      </c>
      <c>
        <v>59646</v>
      </c>
    </row>
    <row ht="14.95">
      <c t="s">
        <v>27</v>
      </c>
      <c>
        <v>26560</v>
      </c>
      <c>
        <v>65165</v>
      </c>
    </row>
    <row ht="14.95">
      <c t="s">
        <v>140</v>
      </c>
      <c>
        <v>26560</v>
      </c>
      <c>
        <v>67504</v>
      </c>
    </row>
    <row ht="14.95">
      <c t="s">
        <v>247</v>
      </c>
      <c>
        <v>26560</v>
      </c>
      <c>
        <v>71709</v>
      </c>
    </row>
    <row ht="14.95">
      <c t="s">
        <v>358</v>
      </c>
      <c>
        <v>26560</v>
      </c>
      <c>
        <v>74472</v>
      </c>
    </row>
    <row ht="14.95">
      <c t="s">
        <v>469</v>
      </c>
      <c>
        <v>26560</v>
      </c>
      <c>
        <v>76752</v>
      </c>
    </row>
    <row r="416"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  <row ht="14.95">
      <c s="60"/>
      <c s="32"/>
      <c s="32"/>
    </row>
  </sheetData>
  <pageMargins left="0.7" right="0.7" top="0.787401575" bottom="0.787401575" header="0.3" footer="0.3"/>
  <pageSetup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:Z47"/>
  <sheetViews>
    <sheetView topLeftCell="A22" workbookViewId="0">
      <selection activeCell="C48" sqref="C48"/>
    </sheetView>
  </sheetViews>
  <sheetFormatPr defaultColWidth="9.140625" defaultRowHeight="13.6"/>
  <cols>
    <col min="1" max="1" width="13.7109375" style="37" customWidth="1"/>
    <col min="2" max="2" width="40.85546875" style="37" customWidth="1"/>
    <col min="3" max="3" width="28.140625" style="37" customWidth="1"/>
    <col min="4" max="4" width="17.28515625" style="37" customWidth="1"/>
    <col min="5" max="5" width="19.28515625" style="37" customWidth="1"/>
    <col min="6" max="6" width="11.140625" style="37" customWidth="1"/>
    <col min="7" max="7" width="9.140625" style="37"/>
    <col min="8" max="8" width="17.28515625" style="37" customWidth="1"/>
    <col min="9" max="9" width="19.7109375" style="37" customWidth="1"/>
    <col min="10" max="12" width="12.28515625" style="37" customWidth="1"/>
    <col min="13" max="13" width="16" style="37" bestFit="1" customWidth="1"/>
    <col min="14" max="14" width="14.28515625" style="37" bestFit="1" customWidth="1"/>
    <col min="15" max="15" width="18.28515625" style="37" bestFit="1" customWidth="1"/>
    <col min="16" max="25" width="9.140625" style="37"/>
    <col min="26" max="26" width="9.140625" style="37" hidden="1" customWidth="1"/>
    <col min="27" max="16384" width="9.140625" style="37"/>
  </cols>
  <sheetData>
    <row>
      <c s="62"/>
      <c r="H1" s="66">
        <v>129806172700000000</v>
      </c>
      <c r="Z1" s="48" t="b">
        <f>0=1</f>
        <v>0</v>
      </c>
    </row>
    <row>
      <c r="Z2" s="48" t="b">
        <f>1=1</f>
        <v>1</v>
      </c>
    </row>
    <row>
      <c r="Z3" s="48"/>
    </row>
    <row>
      <c r="I4" s="37" t="s">
        <v>186</v>
      </c>
      <c s="58" t="s">
        <v>395</v>
      </c>
      <c s="14"/>
      <c s="14"/>
      <c s="14"/>
      <c s="14"/>
      <c s="14"/>
    </row>
    <row>
      <c r="J5" s="34" t="s">
        <v>148</v>
      </c>
      <c s="23" t="s">
        <v>291</v>
      </c>
      <c s="23" t="s">
        <v>361</v>
      </c>
      <c s="34" t="s">
        <v>539</v>
      </c>
      <c s="70" t="s">
        <v>428</v>
      </c>
      <c s="23" t="s">
        <v>0</v>
      </c>
    </row>
    <row>
      <c r="B6" s="31" t="s">
        <v>429</v>
      </c>
      <c s="25" t="s">
        <v>470</v>
      </c>
      <c s="46" t="s">
        <v>38</v>
      </c>
      <c s="7" t="s">
        <v>292</v>
      </c>
    </row>
    <row>
      <c r="C7" s="28"/>
      <c s="33" t="s">
        <v>39</v>
      </c>
      <c s="7" t="s">
        <v>327</v>
      </c>
    </row>
    <row>
      <c r="C8" s="33" t="s">
        <v>1</v>
      </c>
      <c s="28"/>
    </row>
    <row>
      <c r="C9" s="28"/>
      <c s="25" t="s">
        <v>149</v>
      </c>
      <c s="56"/>
    </row>
    <row>
      <c r="C10" s="25" t="s">
        <v>253</v>
      </c>
      <c s="64" t="s">
        <v>362</v>
      </c>
      <c s="7" t="s">
        <v>74</v>
      </c>
    </row>
    <row>
      <c r="B11" s="31" t="s">
        <v>293</v>
      </c>
      <c s="38" t="s">
        <v>254</v>
      </c>
      <c s="42">
        <v>60398</v>
      </c>
      <c s="7" t="s">
        <v>150</v>
      </c>
    </row>
    <row>
      <c r="B12" s="31"/>
      <c s="45"/>
      <c s="53"/>
      <c s="59" t="s">
        <v>396</v>
      </c>
    </row>
    <row>
      <c r="B13" s="31" t="s">
        <v>255</v>
      </c>
      <c s="67" t="s">
        <v>111</v>
      </c>
      <c s="72">
        <v>1212</v>
      </c>
      <c s="37" t="b">
        <v>0</v>
      </c>
      <c s="7" t="s">
        <v>363</v>
      </c>
    </row>
    <row ht="12.75" hidden="1">
      <c r="B14" s="31"/>
      <c s="67"/>
      <c s="40"/>
      <c s="37" t="b">
        <v>0</v>
      </c>
    </row>
    <row>
      <c r="B15" s="31" t="s">
        <v>471</v>
      </c>
      <c s="37" t="s">
        <v>504</v>
      </c>
      <c s="39">
        <v>1212</v>
      </c>
      <c s="37" t="b">
        <v>0</v>
      </c>
      <c s="7" t="s">
        <v>112</v>
      </c>
    </row>
    <row ht="12.75" hidden="1">
      <c r="B16" s="31"/>
      <c r="D16" s="19"/>
      <c s="37" t="b">
        <v>0</v>
      </c>
      <c s="7"/>
    </row>
    <row>
      <c r="B17" s="31"/>
      <c s="37" t="s">
        <v>151</v>
      </c>
      <c s="52">
        <v>3434</v>
      </c>
      <c s="37" t="b">
        <v>0</v>
      </c>
      <c s="7" t="s">
        <v>364</v>
      </c>
    </row>
    <row>
      <c r="B18" s="31"/>
      <c r="D18" s="19"/>
      <c s="37" t="b">
        <v>0</v>
      </c>
      <c s="7"/>
    </row>
    <row>
      <c r="B19" s="31"/>
      <c s="37" t="s">
        <v>2</v>
      </c>
      <c s="54">
        <v>3434</v>
      </c>
      <c s="37" t="b">
        <v>0</v>
      </c>
      <c s="7" t="s">
        <v>430</v>
      </c>
    </row>
    <row>
      <c r="B20" s="31"/>
      <c r="D20" s="19"/>
      <c s="37" t="b">
        <v>0</v>
      </c>
      <c s="7"/>
    </row>
    <row>
      <c r="B21" s="31"/>
      <c s="37" t="s">
        <v>431</v>
      </c>
      <c s="57">
        <v>5656</v>
      </c>
      <c s="37" t="b">
        <v>0</v>
      </c>
      <c s="7" t="s">
        <v>540</v>
      </c>
    </row>
    <row>
      <c r="B22" s="31"/>
      <c r="E22" s="7"/>
      <c r="I22" s="65"/>
    </row>
    <row>
      <c r="B23" s="36" t="s">
        <v>3</v>
      </c>
      <c s="36"/>
    </row>
    <row>
      <c r="B24" s="6" t="s">
        <v>294</v>
      </c>
      <c s="6" t="s">
        <v>152</v>
      </c>
      <c s="6" t="s">
        <v>40</v>
      </c>
      <c s="6" t="s">
        <v>432</v>
      </c>
      <c s="6"/>
      <c s="6"/>
      <c s="6" t="s">
        <v>541</v>
      </c>
    </row>
    <row>
      <c r="C25" s="49" t="s">
        <v>295</v>
      </c>
      <c s="21" t="s">
        <v>542</v>
      </c>
      <c s="29">
        <v>1234.5599999999999</v>
      </c>
      <c s="7"/>
    </row>
    <row>
      <c r="C26" s="49" t="s">
        <v>295</v>
      </c>
      <c s="18" t="s">
        <v>75</v>
      </c>
      <c s="29">
        <v>1234.5599999999999</v>
      </c>
      <c s="7"/>
    </row>
    <row>
      <c r="C27" s="49" t="s">
        <v>295</v>
      </c>
      <c s="21" t="s">
        <v>75</v>
      </c>
      <c s="29">
        <v>1234.5599999999999</v>
      </c>
    </row>
    <row>
      <c r="C28" s="71" t="s">
        <v>295</v>
      </c>
      <c s="21" t="s">
        <v>542</v>
      </c>
      <c s="29">
        <v>1234.5599999999999</v>
      </c>
    </row>
    <row>
      <c r="C29" s="71" t="s">
        <v>295</v>
      </c>
      <c s="21" t="s">
        <v>433</v>
      </c>
      <c s="29">
        <v>1234.5599999999999</v>
      </c>
    </row>
    <row>
      <c r="C30" s="71" t="s">
        <v>295</v>
      </c>
      <c s="61" t="s">
        <v>80</v>
      </c>
      <c s="44">
        <v>1234.5599999999999</v>
      </c>
    </row>
    <row>
      <c r="C31" s="71" t="s">
        <v>295</v>
      </c>
      <c s="61" t="s">
        <v>191</v>
      </c>
      <c s="44">
        <v>1234.5599999999999</v>
      </c>
    </row>
    <row>
      <c r="C32" s="71" t="s">
        <v>295</v>
      </c>
      <c s="61" t="s">
        <v>300</v>
      </c>
      <c s="44">
        <v>1234.5599999999999</v>
      </c>
    </row>
    <row>
      <c r="C33" s="71" t="s">
        <v>295</v>
      </c>
      <c s="61" t="s">
        <v>400</v>
      </c>
      <c s="44">
        <v>1234.5599999999999</v>
      </c>
    </row>
    <row>
      <c r="C34" s="71" t="s">
        <v>295</v>
      </c>
      <c s="61" t="s">
        <v>511</v>
      </c>
      <c s="44">
        <v>1234.5599999999999</v>
      </c>
    </row>
    <row>
      <c r="C35" s="71" t="s">
        <v>295</v>
      </c>
      <c s="61" t="s">
        <v>44</v>
      </c>
      <c s="44">
        <v>1234.5599999999999</v>
      </c>
    </row>
    <row>
      <c r="C36" s="71" t="s">
        <v>295</v>
      </c>
      <c s="61" t="s">
        <v>155</v>
      </c>
      <c s="44">
        <v>1234.5599999999999</v>
      </c>
    </row>
    <row>
      <c r="C37" s="71" t="s">
        <v>295</v>
      </c>
      <c s="61" t="s">
        <v>262</v>
      </c>
      <c s="44">
        <v>1234.5599999999999</v>
      </c>
    </row>
    <row>
      <c r="C38" s="71" t="s">
        <v>295</v>
      </c>
      <c s="21" t="s">
        <v>494</v>
      </c>
      <c s="18">
        <v>1234.5599999999999</v>
      </c>
    </row>
    <row>
      <c r="C39" s="71" t="s">
        <v>295</v>
      </c>
      <c s="21" t="s">
        <v>387</v>
      </c>
      <c s="18">
        <v>1234.5599999999999</v>
      </c>
    </row>
    <row>
      <c r="C40" s="71" t="s">
        <v>295</v>
      </c>
      <c s="21" t="s">
        <v>497</v>
      </c>
      <c s="18">
        <v>1234.5599999999999</v>
      </c>
    </row>
    <row>
      <c r="C41" s="71" t="s">
        <v>295</v>
      </c>
      <c s="21" t="s">
        <v>32</v>
      </c>
      <c s="18">
        <v>1234.5599999999999</v>
      </c>
    </row>
    <row>
      <c r="C42" s="71" t="s">
        <v>295</v>
      </c>
      <c s="21" t="s">
        <v>145</v>
      </c>
      <c s="18">
        <v>1234.5599999999999</v>
      </c>
    </row>
    <row>
      <c r="C43" s="71" t="s">
        <v>295</v>
      </c>
      <c s="21" t="s">
        <v>250</v>
      </c>
      <c s="18">
        <v>1234.5599999999999</v>
      </c>
    </row>
    <row>
      <c r="C44" s="71" t="s">
        <v>296</v>
      </c>
      <c s="21" t="s">
        <v>187</v>
      </c>
      <c s="29">
        <v>1234.5599999999999</v>
      </c>
    </row>
    <row>
      <c r="C45" s="71" t="s">
        <v>296</v>
      </c>
      <c s="21" t="s">
        <v>298</v>
      </c>
      <c s="29">
        <v>1234.5599999999999</v>
      </c>
    </row>
    <row>
      <c r="C46" s="71" t="s">
        <v>296</v>
      </c>
      <c s="18" t="s">
        <v>548</v>
      </c>
      <c s="29">
        <v>1234.5599999999999</v>
      </c>
    </row>
    <row>
      <c r="C47" s="71" t="s">
        <v>296</v>
      </c>
      <c s="68" t="s">
        <v>117</v>
      </c>
      <c s="47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
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165"/>
  </bookViews>
  <sheets>
    <sheet name="Tab" sheetId="1" r:id="rId1"/>
    <sheet name="Tabelle1" sheetId="2" state="hidden" r:id="rId2"/>
    <sheet name="XLCubedFormats" sheetId="3" state="hidden" r:id="rId3"/>
  </sheets>
  <definedNames>
    <definedName name="_xlnm.Print_Area" localSheetId="0">Tab!$A$1:$T$46</definedName>
    <definedName name="XL3DisableCameraObjects" hidden="1">XLCubedFormats!A1</definedName>
    <definedName name="XL3ObjLocation517c467a_5d4d_4ea8_adce_dcc8be584b02">Tab!$A$8</definedName>
    <definedName name="XL3ObjLocation78dcc8d0_83fc_4b4a_a79e_23cdb88c0888">Tabelle1!$A$1</definedName>
  </definedNames>
  <calcPr calcId="40001"/>
</workbook>
</file>

<file path=xl/sharedStrings.xml><?xml version="1.0" encoding="utf-8"?>
<sst xmlns="http://schemas.openxmlformats.org/spreadsheetml/2006/main" uniqueCount="132">
  <si>
    <t>Universität</t>
  </si>
  <si>
    <t>Frauen</t>
  </si>
  <si>
    <t>Studienjahr 2013/14 (endgültig)</t>
  </si>
  <si>
    <t>Studienjahr 2022/23 (endgültig)</t>
  </si>
  <si>
    <t>Slicer Button Background</t>
  </si>
  <si>
    <t>Grid Title</t>
  </si>
  <si>
    <t>Oth Written Member</t>
  </si>
  <si>
    <t>Fill in Grid Name, Dimension or Both</t>
  </si>
  <si>
    <t>[ALLG Wertart].[Wertart]</t>
  </si>
  <si>
    <t>2008/09</t>
  </si>
  <si>
    <t>Studienjahr 2004/05 (endgültig)</t>
  </si>
  <si>
    <t>Staatengruppe (Ö, EU, andere)</t>
  </si>
  <si>
    <t>Absolutwert</t>
  </si>
  <si>
    <t>Studienjahr 2012/13 (endgültig)</t>
  </si>
  <si>
    <t>Studienjahr 2021/22 (endgültig)</t>
  </si>
  <si>
    <t>All Marital Status</t>
  </si>
  <si>
    <t>Male</t>
  </si>
  <si>
    <t>Member1 Name</t>
  </si>
  <si>
    <t>Studienjahr 2003/04 (endgültig)</t>
  </si>
  <si>
    <t>2019/20</t>
  </si>
  <si>
    <t>2021/22</t>
  </si>
  <si>
    <t>ALLG Semester.Studienjahr (Kurzbezeichnung)</t>
  </si>
  <si>
    <t>Studienjahr 2011/12 (endgültig)</t>
  </si>
  <si>
    <t>Studienjahr 2020/21 (endgültig)</t>
  </si>
  <si>
    <t>&lt;-- default Column Member Format</t>
  </si>
  <si>
    <t>Studienjahr 2002/03 (endgültig)</t>
  </si>
  <si>
    <t>2003/04</t>
  </si>
  <si>
    <t>2015/16</t>
  </si>
  <si>
    <t>Gesamt</t>
  </si>
  <si>
    <t>Studienjahr 2001/02 (endgültig)</t>
  </si>
  <si>
    <t>Studienjahr 2010/11 (endgültig)</t>
  </si>
  <si>
    <t>Alternate Rows</t>
  </si>
  <si>
    <t>&lt;--  writeable cell format</t>
  </si>
  <si>
    <t>2010/11</t>
  </si>
  <si>
    <t xml:space="preserve"> </t>
  </si>
  <si>
    <t>(Members of Universität (Codex)) - (~, !, ?, Unknown)</t>
  </si>
  <si>
    <t>Studienjahr 2000/01 (endgültig)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</si>
  <si>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</si>
  <si>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</si>
  <si>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</si>
  <si>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</si>
  <si>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</si>
  <si>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</si>
  <si>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2022/23</t>
  </si>
  <si>
    <t>Dadurch sind Studien auf ganze Zahlen zu runden und es kann zu Abweichungen zwischen der Gesamtsumme und den addierten Detailergebnissen kommen.</t>
  </si>
  <si>
    <t>Wertart</t>
  </si>
  <si>
    <t>Männer</t>
  </si>
  <si>
    <t>Slice Name (Optional)</t>
  </si>
  <si>
    <t>[SAU AbsolventIn].[Geschlecht]</t>
  </si>
  <si>
    <t>2004/05</t>
  </si>
  <si>
    <t>2016/17</t>
  </si>
  <si>
    <t>(Members of Studienfach Fachcode) - (Zweitfach, Keine Angabe)</t>
  </si>
  <si>
    <t>Ordentliche Studienabschlüsse an Universitäten - Zeitreihe Studienjahr</t>
  </si>
  <si>
    <t>Ordentliche Studienabschlüsse</t>
  </si>
  <si>
    <t>2011/12</t>
  </si>
  <si>
    <t>Measures</t>
  </si>
  <si>
    <t>(Einschränkung: exkl. Erw./Zweitfach)</t>
  </si>
  <si>
    <t>Studienabschlüsse</t>
  </si>
  <si>
    <t>Customer</t>
  </si>
  <si>
    <t>-All Customer</t>
  </si>
  <si>
    <t>Default Alternate Row Member Format --&gt;</t>
  </si>
  <si>
    <t>2023/24</t>
  </si>
  <si>
    <t>2009/10</t>
  </si>
  <si>
    <t>Bundesland Universität</t>
  </si>
  <si>
    <t>Slicer Item</t>
  </si>
  <si>
    <t>&lt;-- default Slicer Member Format</t>
  </si>
  <si>
    <t>Default Row Member Format --&gt;</t>
  </si>
  <si>
    <t>Grid/Table Name</t>
  </si>
  <si>
    <t>[Measures]</t>
  </si>
  <si>
    <t>2005/06</t>
  </si>
  <si>
    <t>2017/18</t>
  </si>
  <si>
    <t>ISCED2013 3.Ebene (Code, Langtext)</t>
  </si>
  <si>
    <t>&lt;-- writeable Slicer Member Format</t>
  </si>
  <si>
    <t>Slice Format 1</t>
  </si>
  <si>
    <t>&lt;-- Gesamtzeile</t>
  </si>
  <si>
    <t>3) Formatierung der Gesamtspalte und -zeile (siehe E25:E26)</t>
  </si>
  <si>
    <t>Studienjahr 2019/20 (endgültig)</t>
  </si>
  <si>
    <t>2000/01</t>
  </si>
  <si>
    <t>2012/13</t>
  </si>
  <si>
    <t>Frauen-/Männeranteil in %</t>
  </si>
  <si>
    <t>Studienjahr 2009/10 (endgültig)</t>
  </si>
  <si>
    <t>Studienjahr 2018/19 (endgültig)</t>
  </si>
  <si>
    <t>Slicer Button</t>
  </si>
  <si>
    <t>+2009</t>
  </si>
  <si>
    <t>&lt;-- default alternate row cell format</t>
  </si>
  <si>
    <t>&lt;--  written cell format</t>
  </si>
  <si>
    <t>In Prozent</t>
  </si>
  <si>
    <t>Studienart</t>
  </si>
  <si>
    <t>Studienjahr 2008/09 (endgültig)</t>
  </si>
  <si>
    <t>Studienjahr 2017/18 (endgültig)</t>
  </si>
  <si>
    <t>Display Formats For:</t>
  </si>
  <si>
    <t>Enabled?</t>
  </si>
  <si>
    <t>&lt;-- Gesamtspalte</t>
  </si>
  <si>
    <t>2006/07</t>
  </si>
  <si>
    <t>2018/19</t>
  </si>
  <si>
    <t>Datenprüfung und -aufbereitung: bmfwf, Abt. I/10</t>
  </si>
  <si>
    <t>Universität-Ausrichtung</t>
  </si>
  <si>
    <t>Studienjahr 2007/08 (endgültig)</t>
  </si>
  <si>
    <t>Studienjahr 2016/17 (endgültig)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</si>
  <si>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</si>
  <si>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</si>
  <si>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</si>
  <si>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</si>
  <si>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</si>
  <si>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</si>
  <si>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2001/02</t>
  </si>
  <si>
    <t>2013/14</t>
  </si>
  <si>
    <t>Studienfach Fachcode</t>
  </si>
  <si>
    <t>Universität (Codex)</t>
  </si>
  <si>
    <t>Studienjahr 2006/07 (endgültig)</t>
  </si>
  <si>
    <t>Studienjahr 2015/16 (endgültig)</t>
  </si>
  <si>
    <t>Marital Status</t>
  </si>
  <si>
    <t>Default Writeable Member Format --&gt;</t>
  </si>
  <si>
    <t>Slice Format 2</t>
  </si>
  <si>
    <t>2007/08</t>
  </si>
  <si>
    <t>Quelle: Datenmeldungen der Universitäten auf Basis UHSBV zum jeweiligen Stichtag</t>
  </si>
  <si>
    <t>Studienjahr und Datenstand</t>
  </si>
  <si>
    <t>Studienjahr 2014/15 (endgültig)</t>
  </si>
  <si>
    <t>Studienjahr 2023/24 (endgültig)</t>
  </si>
  <si>
    <t>Writeable Member</t>
  </si>
  <si>
    <t>2020/21</t>
  </si>
  <si>
    <t>Studienjahr 2005/06 (endgültig)</t>
  </si>
  <si>
    <t>Studienabschlüsse Universitäten</t>
  </si>
  <si>
    <t>Geschlecht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</si>
  <si>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</si>
  <si>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</si>
  <si>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</si>
  <si>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</si>
  <si>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</si>
  <si>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2002/03</t>
  </si>
  <si>
    <t>2014/15</t>
  </si>
  <si>
    <t>Anmerkung: Ab dem STJ 2016/17 erfolgt die zähltechnische Abbildung der Studienabschlüsse auf Basis des Verteilungsschlüssels gemäß § 22 Abs. 2 UHSBV.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</si>
</sst>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sz val="10"/>
      <color rgb="FF262626"/>
      <name val="Tahoma"/>
      <family val="2"/>
    </font>
    <font>
      <b/>
      <sz val="10"/>
      <name val="Tahoma"/>
      <family val="2"/>
    </font>
    <font>
      <sz val="10"/>
      <color rgb="FF595959"/>
      <name val="Tahoma"/>
      <family val="2"/>
    </font>
    <font>
      <b/>
      <sz val="11"/>
      <name val="Calibri"/>
      <family val="2"/>
      <scheme val="minor"/>
    </font>
    <font>
      <b/>
      <sz val="8"/>
      <color indexed="23"/>
      <name val="Tahoma"/>
      <family val="2"/>
    </font>
    <font>
      <sz val="9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0"/>
      <name val="Tahoma"/>
      <family val="2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color theme="1" tint="0.14996795556505021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sz val="10"/>
      <color theme="1" tint="0.34998626667073579"/>
      <name val="+mn-lt"/>
    </font>
    <font>
      <sz val="9"/>
      <color theme="1" tint="0.34998626667073579"/>
      <name val="+mn-lt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theme="1" tint="0.34998626667073579"/>
      <name val="+mn-lt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0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0" xfId="0" applyFont="1" applyFill="1" applyBorder="1"/>
    <xf numFmtId="0" fontId="3" fillId="0" borderId="0" xfId="0" quotePrefix="1" applyFont="1" applyFill="1" applyAlignment="1">
      <alignment horizontal="left" vertical="top" wrapText="1"/>
    </xf>
    <xf numFmtId="0" fontId="4" fillId="0" borderId="1" xfId="0" quotePrefix="1" applyFont="1" applyFill="1" applyBorder="1" applyAlignment="1" applyProtection="1">
      <alignment horizontal="center"/>
    </xf>
    <xf numFmtId="0" fontId="4" fillId="0" borderId="1" xfId="0" applyFont="1" applyFill="1" applyBorder="1" applyAlignment="1" applyProtection="1">
      <alignment horizontal="right"/>
    </xf>
    <xf numFmtId="0" fontId="5" fillId="0" borderId="0" xfId="0" applyFont="1"/>
    <xf numFmtId="0" fontId="6" fillId="2" borderId="2" xfId="0" quotePrefix="1" applyFont="1" applyFill="1" applyBorder="1" applyAlignment="1" applyProtection="1"/>
    <xf numFmtId="3" fontId="7" fillId="0" borderId="0" xfId="0" applyNumberFormat="1" applyFont="1" applyFill="1" applyBorder="1"/>
    <xf numFmtId="0" fontId="8" fillId="0" borderId="0" xfId="0" applyFont="1"/>
    <xf numFmtId="0" fontId="0" fillId="0" borderId="0" xfId="0" applyFill="1" applyAlignment="1"/>
    <xf numFmtId="0" fontId="9" fillId="3" borderId="0" xfId="1" applyFont="1" applyFill="1" applyBorder="1" applyAlignment="1">
      <alignment horizontal="center"/>
    </xf>
    <xf numFmtId="0" fontId="10" fillId="0" borderId="0" xfId="0" applyFont="1" applyFill="1" applyAlignment="1">
      <alignment vertical="top"/>
    </xf>
    <xf numFmtId="0" fontId="11" fillId="0" borderId="0" xfId="0" applyFont="1" applyFill="1" applyAlignment="1">
      <alignment vertical="center"/>
    </xf>
    <xf numFmtId="0" fontId="3" fillId="0" borderId="0" xfId="0" applyFont="1" applyFill="1" applyAlignment="1"/>
    <xf numFmtId="164" fontId="4" fillId="4" borderId="1" xfId="0" quotePrefix="1" applyNumberFormat="1" applyFont="1" applyFill="1" applyBorder="1" applyAlignment="1" applyProtection="1">
      <alignment horizontal="center"/>
    </xf>
    <xf numFmtId="164" fontId="4" fillId="4" borderId="1" xfId="0" applyNumberFormat="1" applyFont="1" applyFill="1" applyBorder="1" applyAlignment="1" applyProtection="1">
      <alignment horizontal="right"/>
    </xf>
    <xf numFmtId="0" fontId="3" fillId="0" borderId="0" xfId="0" applyFont="1" applyFill="1" applyAlignment="1">
      <alignment vertical="top"/>
    </xf>
    <xf numFmtId="3" fontId="4" fillId="0" borderId="1" xfId="0" applyNumberFormat="1" applyFont="1" applyFill="1" applyBorder="1" applyAlignment="1" applyProtection="1">
      <alignment horizontal="right"/>
    </xf>
    <xf numFmtId="0" fontId="12" fillId="0" borderId="0" xfId="0" applyNumberFormat="1" applyFont="1" applyAlignment="1"/>
    <xf numFmtId="0" fontId="13" fillId="0" borderId="0" xfId="0" applyFont="1"/>
    <xf numFmtId="0" fontId="14" fillId="0" borderId="0" xfId="1" applyFont="1"/>
    <xf numFmtId="0" fontId="15" fillId="5" borderId="0" xfId="0" applyFont="1" applyFill="1" applyAlignment="1"/>
    <xf numFmtId="3" fontId="4" fillId="6" borderId="1" xfId="0" applyNumberFormat="1" applyFont="1" applyFill="1" applyBorder="1" applyAlignment="1" applyProtection="1">
      <alignment horizontal="right"/>
    </xf>
    <xf numFmtId="0" fontId="4" fillId="6" borderId="1" xfId="0" applyFont="1" applyFill="1" applyBorder="1" applyAlignment="1" applyProtection="1">
      <alignment horizontal="right"/>
    </xf>
    <xf numFmtId="0" fontId="16" fillId="0" borderId="0" xfId="0" applyFont="1"/>
    <xf numFmtId="0" fontId="12" fillId="0" borderId="0" xfId="0" applyFont="1" applyAlignment="1">
      <alignment horizontal="center"/>
    </xf>
    <xf numFmtId="0" fontId="4" fillId="0" borderId="1" xfId="0" applyFont="1" applyFill="1" applyBorder="1" applyAlignment="1" applyProtection="1">
      <alignment vertical="center"/>
    </xf>
    <xf numFmtId="0" fontId="12" fillId="0" borderId="0" xfId="0" applyFont="1"/>
    <xf numFmtId="164" fontId="4" fillId="7" borderId="3" xfId="0" applyNumberFormat="1" applyFont="1" applyFill="1" applyBorder="1" applyAlignment="1" applyProtection="1">
      <alignment horizontal="right"/>
    </xf>
    <xf numFmtId="0" fontId="4" fillId="0" borderId="1" xfId="0" quotePrefix="1" applyFont="1" applyBorder="1" applyAlignment="1" applyProtection="1"/>
    <xf numFmtId="0" fontId="14" fillId="5" borderId="0" xfId="1" applyFont="1" applyFill="1"/>
    <xf numFmtId="0" fontId="4" fillId="7" borderId="3" xfId="0" applyFont="1" applyFill="1" applyBorder="1" applyAlignment="1" applyProtection="1">
      <alignment horizontal="right"/>
    </xf>
    <xf numFmtId="0" fontId="8" fillId="0" borderId="0" xfId="0" applyFont="1" applyAlignment="1">
      <alignment horizontal="right"/>
    </xf>
    <xf numFmtId="0" fontId="17" fillId="0" borderId="0" xfId="0" applyFont="1" applyFill="1" applyAlignment="1"/>
    <xf numFmtId="0" fontId="8" fillId="0" borderId="0" xfId="0" applyFont="1" applyAlignment="1">
      <alignment horizontal="center"/>
    </xf>
    <xf numFmtId="0" fontId="16" fillId="0" borderId="4" xfId="0" quotePrefix="1" applyFont="1" applyFill="1" applyBorder="1" applyAlignment="1"/>
    <xf numFmtId="0" fontId="0" fillId="0" borderId="0" xfId="0" applyFont="1" applyFill="1" applyAlignment="1"/>
    <xf numFmtId="0" fontId="12" fillId="8" borderId="0" xfId="0" applyFont="1" applyFill="1"/>
    <xf numFmtId="0" fontId="16" fillId="0" borderId="4" xfId="0" applyFont="1" applyFill="1" applyBorder="1" applyAlignment="1">
      <alignment vertical="center"/>
    </xf>
    <xf numFmtId="0" fontId="4" fillId="0" borderId="3" xfId="0" applyFont="1" applyBorder="1" applyAlignment="1" applyProtection="1">
      <alignment horizontal="right"/>
    </xf>
    <xf numFmtId="165" fontId="12" fillId="0" borderId="0" xfId="0" applyNumberFormat="1" applyFont="1"/>
    <xf numFmtId="0" fontId="18" fillId="0" borderId="0" xfId="0" applyFont="1"/>
    <xf numFmtId="3" fontId="12" fillId="9" borderId="0" xfId="0" applyNumberFormat="1" applyFont="1" applyFill="1" applyAlignment="1"/>
    <xf numFmtId="0" fontId="19" fillId="0" borderId="0" xfId="0" applyFont="1"/>
    <xf numFmtId="0" fontId="12" fillId="0" borderId="0" xfId="0" applyNumberFormat="1" applyFont="1" applyFill="1" applyBorder="1" applyAlignment="1"/>
    <xf numFmtId="0" fontId="3" fillId="0" borderId="0" xfId="0" quotePrefix="1" applyFont="1" applyFill="1" applyAlignment="1">
      <alignment vertical="top"/>
    </xf>
    <xf numFmtId="0" fontId="12" fillId="8" borderId="0" xfId="0" applyNumberFormat="1" applyFont="1" applyFill="1" applyAlignment="1"/>
    <xf numFmtId="0" fontId="16" fillId="0" borderId="4" xfId="0" quotePrefix="1" applyFont="1" applyFill="1" applyBorder="1" applyAlignment="1">
      <alignment horizontal="right"/>
    </xf>
    <xf numFmtId="0" fontId="9" fillId="3" borderId="5" xfId="1" applyFont="1" applyFill="1" applyBorder="1" applyAlignment="1">
      <alignment horizontal="center"/>
    </xf>
    <xf numFmtId="0" fontId="4" fillId="10" borderId="6" xfId="0" applyFont="1" applyFill="1" applyBorder="1" applyAlignment="1" applyProtection="1">
      <alignment horizontal="right"/>
    </xf>
    <xf numFmtId="3" fontId="5" fillId="0" borderId="0" xfId="0" applyNumberFormat="1" applyFont="1" applyFill="1" applyAlignment="1"/>
    <xf numFmtId="3" fontId="16" fillId="0" borderId="4" xfId="0" applyNumberFormat="1" applyFont="1" applyFill="1" applyBorder="1" applyAlignment="1"/>
    <xf numFmtId="0" fontId="12" fillId="0" borderId="0" xfId="0" applyFont="1" applyFill="1" applyBorder="1" applyAlignment="1">
      <alignment vertical="center"/>
    </xf>
    <xf numFmtId="0" fontId="0" fillId="0" borderId="0" xfId="0" applyFont="1"/>
    <xf numFmtId="0" fontId="5" fillId="0" borderId="0" xfId="0" applyFont="1" applyFill="1" applyBorder="1" applyAlignment="1">
      <alignment vertical="center"/>
    </xf>
    <xf numFmtId="3" fontId="12" fillId="8" borderId="0" xfId="0" applyNumberFormat="1" applyFont="1" applyFill="1" applyAlignment="1"/>
    <xf numFmtId="0" fontId="12" fillId="0" borderId="0" xfId="0" quotePrefix="1" applyFont="1" applyFill="1"/>
    <xf numFmtId="0" fontId="4" fillId="10" borderId="3" xfId="0" applyFont="1" applyFill="1" applyBorder="1" applyAlignment="1" applyProtection="1">
      <alignment horizontal="right"/>
    </xf>
    <xf numFmtId="0" fontId="17" fillId="0" borderId="0" xfId="0" applyFont="1"/>
    <xf numFmtId="0" fontId="4" fillId="0" borderId="3" xfId="0" applyFont="1" applyBorder="1" applyAlignment="1" applyProtection="1">
      <alignment horizontal="center"/>
    </xf>
    <xf numFmtId="0" fontId="3" fillId="0" borderId="0" xfId="0" quotePrefix="1" applyFont="1" applyFill="1" applyAlignment="1"/>
    <xf numFmtId="3" fontId="12" fillId="11" borderId="0" xfId="0" applyNumberFormat="1" applyFont="1" applyFill="1" applyAlignment="1"/>
    <xf numFmtId="0" fontId="12" fillId="0" borderId="0" xfId="0" applyNumberFormat="1" applyFont="1"/>
    <xf numFmtId="0" fontId="12" fillId="0" borderId="0" xfId="0" quotePrefix="1" applyFont="1"/>
    <xf numFmtId="3" fontId="12" fillId="0" borderId="0" xfId="0" applyNumberFormat="1" applyFont="1" applyAlignment="1"/>
    <xf numFmtId="164" fontId="4" fillId="7" borderId="7" xfId="0" applyNumberFormat="1" applyFont="1" applyFill="1" applyBorder="1" applyAlignment="1" applyProtection="1">
      <alignment horizontal="center"/>
    </xf>
    <xf numFmtId="2" fontId="12" fillId="0" borderId="0" xfId="0" applyNumberFormat="1" applyFont="1"/>
    <xf numFmtId="164" fontId="4" fillId="7" borderId="7" xfId="0" applyNumberFormat="1" applyFont="1" applyFill="1" applyBorder="1" applyAlignment="1" applyProtection="1">
      <alignment horizontal="right"/>
    </xf>
    <xf numFmtId="0" fontId="14" fillId="8" borderId="0" xfId="1" applyFont="1" applyFill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strRef>
          <c:f>Tab!$A$2</c:f>
          <c:strCache/>
        </c:strRef>
      </c:tx>
      <c:overlay val="0"/>
      <c:spPr>
        <a:noFill/>
        <a:ln>
          <a:noFill/>
        </a:ln>
      </c:spPr>
      <c:txPr>
        <a:bodyPr/>
        <a:lstStyle/>
        <a:p>
          <a:pPr>
            <a:defRPr sz="1600" b="0"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 sz="1600" b="0"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Tabelle1!$B$14</c:f>
              <c:strCache/>
            </c:strRef>
          </c:tx>
          <c:spPr>
            <a:ln cap="rnd">
              <a:solidFill>
                <a:srgbClr val="DD2327"/>
              </a:solidFill>
            </a:ln>
          </c:spPr>
          <c:marker>
            <c:symbol val="circle"/>
            <c:size val="5"/>
            <c:spPr>
              <a:solidFill>
                <a:srgbClr val="DD2327"/>
              </a:solidFill>
              <a:ln>
                <a:solidFill>
                  <a:srgbClr val="DD2327"/>
                </a:solidFill>
              </a:ln>
            </c:spPr>
          </c:marker>
          <c:cat>
            <c:strRef>
              <c:f>Tabelle1!$A$15:$A$29</c:f>
              <c:strCache/>
            </c:strRef>
          </c:cat>
          <c:val>
            <c:numRef>
              <c:f>Tabelle1!$B$15:$B$29</c:f>
              <c:numCache/>
            </c:numRef>
          </c:val>
          <c:smooth val="0"/>
        </c:ser>
        <c:ser>
          <c:idx val="1"/>
          <c:order val="1"/>
          <c:tx>
            <c:strRef>
              <c:f>Tabelle1!$C$14</c:f>
              <c:strCache/>
            </c:strRef>
          </c:tx>
          <c:spPr>
            <a:ln cap="rnd">
              <a:solidFill>
                <a:srgbClr val="1B39BB"/>
              </a:solidFill>
            </a:ln>
          </c:spPr>
          <c:marker>
            <c:symbol val="circle"/>
            <c:size val="5"/>
            <c:spPr>
              <a:solidFill>
                <a:srgbClr val="1B39BB"/>
              </a:solidFill>
              <a:ln>
                <a:solidFill>
                  <a:srgbClr val="1B39BB"/>
                </a:solidFill>
              </a:ln>
            </c:spPr>
          </c:marker>
          <c:cat>
            <c:strRef>
              <c:f>Tabelle1!$A$15:$A$29</c:f>
              <c:strCache/>
            </c:strRef>
          </c:cat>
          <c:val>
            <c:numRef>
              <c:f>Tabelle1!$C$15:$C$29</c:f>
              <c:numCache/>
            </c:numRef>
          </c:val>
          <c:smooth val="0"/>
        </c:ser>
        <c:ser>
          <c:idx val="2"/>
          <c:order val="2"/>
          <c:tx>
            <c:strRef>
              <c:f>Tabelle1!$D$14</c:f>
              <c:strCache/>
            </c:strRef>
          </c:tx>
          <c:spPr>
            <a:ln cap="rnd">
              <a:solidFill>
                <a:schemeClr val="dk1">
                  <a:lumMod val="50000"/>
                  <a:lumOff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dk1">
                  <a:lumMod val="50000"/>
                  <a:lumOff val="50000"/>
                </a:schemeClr>
              </a:solidFill>
              <a:ln>
                <a:solidFill>
                  <a:schemeClr val="dk1">
                    <a:lumMod val="50000"/>
                    <a:lumOff val="50000"/>
                  </a:schemeClr>
                </a:solidFill>
              </a:ln>
            </c:spPr>
          </c:marker>
          <c:cat>
            <c:strRef>
              <c:f>Tabelle1!$A$15:$A$29</c:f>
              <c:strCache/>
            </c:strRef>
          </c:cat>
          <c:val>
            <c:numRef>
              <c:f>Tabelle1!$D$15:$D$29</c:f>
              <c:numCache/>
            </c:numRef>
          </c:val>
          <c:smooth val="0"/>
        </c:ser>
        <c:marker val="1"/>
        <c:smooth val="0"/>
        <c:axId val="0"/>
        <c:axId val="1"/>
      </c:lineChart>
      <c:catAx>
        <c:axId val="0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dk1">
                <a:lumMod val="15000"/>
                <a:lumOff val="85000"/>
              </a:schemeClr>
            </a:solidFill>
          </a:ln>
        </c:spPr>
        <c:txPr>
          <a:bodyPr rot="-5400000" vert="horz"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1"/>
        <c:crosses val="autoZero"/>
        <c:auto val="1"/>
        <c:lblAlgn val="ctr"/>
        <c:lblOffset val="10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</c:spPr>
        </c:majorGridlines>
        <c:title>
          <c:tx>
            <c:strRef>
              <c:f>Tab!$B$19</c:f>
              <c:strCache/>
            </c:strRef>
          </c:tx>
          <c:overlay val="0"/>
          <c:spPr>
            <a:noFill/>
            <a:ln>
              <a:noFill/>
            </a:ln>
          </c:spPr>
          <c:txPr>
            <a:bodyPr/>
            <a:lstStyle/>
            <a:p>
              <a:pPr>
                <a:defRPr sz="1000" b="0">
                  <a:solidFill>
                    <a:schemeClr val="dk1">
                      <a:lumMod val="65001"/>
                      <a:lumOff val="34999"/>
                    </a:schemeClr>
                  </a:solidFill>
                  <a:latin typeface="+mn-lt"/>
                </a:defRPr>
              </a:pPr>
              <a:endParaRPr sz="1000" b="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endParaRPr>
            </a:p>
          </c:txPr>
        </c:title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0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legend>
    <c:plotVisOnly val="1"/>
    <c:dispBlanksAs val="gap"/>
    <c:showDLblsOverMax val="0"/>
  </c:chart>
  <c:spPr>
    <a:solidFill>
      <a:schemeClr val="lt1"/>
    </a:solidFill>
    <a:ln>
      <a:solidFill>
        <a:schemeClr val="dk1">
          <a:lumMod val="15000"/>
          <a:lumOff val="85000"/>
        </a:schemeClr>
      </a:solidFill>
    </a:ln>
  </c:spPr>
  <c:printSettings>
    <c:pageMargins l="0.7" r="0.7" t="0.787401575" b="0.787401575" header="0.3" footer="0.3"/>
    <c:pageSetup orientation="portrait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8</xdr:col>
      <xdr:colOff>0</xdr:colOff>
      <xdr:row>19</xdr:row>
      <xdr:rowOff>0</xdr:rowOff>
    </xdr:from>
    <xdr:to>
      <xdr:col>20</xdr:col>
      <xdr:colOff>0</xdr:colOff>
      <xdr:row>46</xdr:row>
      <xdr:rowOff>6350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 editAs="oneCell">
    <xdr:from>
      <xdr:col>1</xdr:col>
      <xdr:colOff>0</xdr:colOff>
      <xdr:row>7</xdr:row>
      <xdr:rowOff>0</xdr:rowOff>
    </xdr:from>
    <xdr:to>
      <xdr:col>5</xdr:col>
      <xdr:colOff>187454</xdr:colOff>
      <xdr:row>8</xdr:row>
      <xdr:rowOff>0</xdr:rowOff>
    </xdr:to>
    <xdr:pic>
      <xdr:nvPicPr>
        <xdr:cNvPr id="29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330325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189865</xdr:rowOff>
    </xdr:from>
    <xdr:to>
      <xdr:col>5</xdr:col>
      <xdr:colOff>187454</xdr:colOff>
      <xdr:row>9</xdr:row>
      <xdr:rowOff>0</xdr:rowOff>
    </xdr:to>
    <xdr:pic>
      <xdr:nvPicPr>
        <xdr:cNvPr id="30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52019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189865</xdr:rowOff>
    </xdr:from>
    <xdr:to>
      <xdr:col>5</xdr:col>
      <xdr:colOff>187454</xdr:colOff>
      <xdr:row>10</xdr:row>
      <xdr:rowOff>0</xdr:rowOff>
    </xdr:to>
    <xdr:pic>
      <xdr:nvPicPr>
        <xdr:cNvPr id="31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710055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5</xdr:col>
      <xdr:colOff>187454</xdr:colOff>
      <xdr:row>12</xdr:row>
      <xdr:rowOff>0</xdr:rowOff>
    </xdr:to>
    <xdr:pic>
      <xdr:nvPicPr>
        <xdr:cNvPr id="32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089785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5</xdr:col>
      <xdr:colOff>187454</xdr:colOff>
      <xdr:row>13</xdr:row>
      <xdr:rowOff>0</xdr:rowOff>
    </xdr:to>
    <xdr:pic>
      <xdr:nvPicPr>
        <xdr:cNvPr id="33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27965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5</xdr:col>
      <xdr:colOff>187454</xdr:colOff>
      <xdr:row>10</xdr:row>
      <xdr:rowOff>189865</xdr:rowOff>
    </xdr:to>
    <xdr:pic>
      <xdr:nvPicPr>
        <xdr:cNvPr id="34" name="Picture 8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89992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88433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79042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69650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258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3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096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31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11974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38"/>
  <sheetViews>
    <sheetView tabSelected="1" workbookViewId="0"/>
  </sheetViews>
  <sheetFormatPr defaultColWidth="11.42578125" defaultRowHeight="14.95"/>
  <cols>
    <col min="1" max="1" width="40.7109375" style="53" customWidth="1"/>
    <col min="2" max="20" width="11.7109375" customWidth="1"/>
    <col min="21" max="21" width="9.85546875" customWidth="1"/>
    <col min="22" max="22" width="7.28515625" customWidth="1"/>
    <col min="23" max="23" width="11.28515625" customWidth="1"/>
    <col min="24" max="24" width="17.140625" customWidth="1"/>
    <col min="25" max="25" width="6.7109375" customWidth="1"/>
    <col min="26" max="26" width="7.140625" customWidth="1"/>
    <col min="27" max="27" width="17.140625" customWidth="1"/>
    <col min="28" max="28" width="6.7109375" customWidth="1"/>
    <col min="29" max="29" width="7.140625" customWidth="1"/>
    <col min="30" max="30" width="17.140625" customWidth="1"/>
    <col min="31" max="31" width="6.7109375" customWidth="1"/>
    <col min="32" max="32" width="7.140625" customWidth="1"/>
  </cols>
  <sheetData>
    <row>
      <c s="12" t="s">
        <v>122</v>
      </c>
      <c s="12"/>
      <c s="12"/>
      <c s="12"/>
      <c s="12"/>
      <c s="9"/>
    </row>
    <row s="58" customFormat="1">
      <c s="11" t="s">
        <v>52</v>
      </c>
      <c s="11"/>
      <c s="11"/>
      <c s="11"/>
      <c s="11"/>
      <c s="33"/>
    </row>
    <row s="58" customFormat="1">
      <c s="2" t="s">
        <v>131</v>
      </c>
      <c s="2"/>
      <c s="2"/>
      <c s="2"/>
      <c s="2"/>
      <c s="2"/>
      <c s="2"/>
      <c s="2"/>
      <c s="2"/>
      <c s="2"/>
    </row>
    <row ht="15" customHeight="1" s="58" customFormat="1">
      <c s="2" t="s">
        <v>44</v>
      </c>
      <c s="2"/>
      <c s="2"/>
      <c s="2"/>
      <c s="2"/>
      <c s="2"/>
      <c s="2"/>
      <c s="2"/>
      <c s="2"/>
      <c s="2"/>
    </row>
    <row>
      <c s="60" t="s">
        <v>115</v>
      </c>
      <c s="13"/>
      <c s="13"/>
      <c s="13"/>
      <c s="13"/>
      <c s="13"/>
    </row>
    <row>
      <c s="45" t="s">
        <v>95</v>
      </c>
      <c s="16"/>
      <c s="16"/>
      <c s="16"/>
      <c s="16"/>
      <c s="9"/>
    </row>
    <row ht="15" customHeight="1">
      <c s="36"/>
      <c s="9"/>
      <c s="9"/>
      <c s="9"/>
      <c s="9"/>
      <c s="9"/>
    </row>
    <row>
      <c s="6" t="s">
        <v>0</v>
      </c>
      <c s="29" t="s">
        <v>28</v>
      </c>
      <c r="F8" t="s">
        <v>34</v>
      </c>
    </row>
    <row>
      <c s="6" t="s">
        <v>71</v>
      </c>
      <c s="29" t="s">
        <v>28</v>
      </c>
      <c r="F9" t="s">
        <v>34</v>
      </c>
    </row>
    <row>
      <c s="6" t="s">
        <v>11</v>
      </c>
      <c s="29" t="s">
        <v>28</v>
      </c>
      <c r="F10" t="s">
        <v>34</v>
      </c>
    </row>
    <row>
      <c s="6" t="s">
        <v>87</v>
      </c>
      <c s="29" t="s">
        <v>28</v>
      </c>
      <c r="F11" t="s">
        <v>34</v>
      </c>
    </row>
    <row>
      <c s="6" t="s">
        <v>63</v>
      </c>
      <c s="29" t="s">
        <v>28</v>
      </c>
      <c r="F12" t="s">
        <v>34</v>
      </c>
    </row>
    <row>
      <c s="6" t="s">
        <v>96</v>
      </c>
      <c s="29" t="s">
        <v>28</v>
      </c>
      <c r="F13" t="s">
        <v>34</v>
      </c>
    </row>
    <row ht="15" hidden="1">
      <c s="6" t="s">
        <v>107</v>
      </c>
      <c s="29" t="s">
        <v>51</v>
      </c>
    </row>
    <row ht="15" hidden="1">
      <c s="6" t="s">
        <v>108</v>
      </c>
      <c s="29" t="s">
        <v>35</v>
      </c>
      <c t="s">
        <v>56</v>
      </c>
    </row>
    <row>
      <c/>
    </row>
    <row>
      <c/>
    </row>
    <row ht="15" customHeight="1">
      <c/>
      <c s="3" t="s">
        <v>53</v>
      </c>
      <c s="3"/>
      <c s="3"/>
      <c s="3"/>
      <c s="3"/>
    </row>
    <row ht="15" customHeight="1">
      <c/>
      <c s="3" t="s">
        <v>12</v>
      </c>
      <c s="3"/>
      <c s="3"/>
      <c s="14" t="s">
        <v>79</v>
      </c>
      <c s="14"/>
    </row>
    <row>
      <c s="6" t="s">
        <v>116</v>
      </c>
      <c s="4" t="s">
        <v>1</v>
      </c>
      <c s="4" t="s">
        <v>46</v>
      </c>
      <c s="23" t="s">
        <v>28</v>
      </c>
      <c s="4" t="s">
        <v>1</v>
      </c>
      <c s="4" t="s">
        <v>46</v>
      </c>
    </row>
    <row>
      <c s="26" t="s">
        <v>118</v>
      </c>
      <c s="17">
        <v>20086.095399999998</v>
      </c>
      <c s="17">
        <v>15873.859550000019</v>
      </c>
      <c s="22">
        <v>35959.954950000014</v>
      </c>
      <c s="15">
        <v>0.55856842501411397</v>
      </c>
      <c s="15">
        <v>0.44143157498588614</v>
      </c>
    </row>
    <row>
      <c s="26" t="s">
        <v>3</v>
      </c>
      <c s="17">
        <v>19631.902549999795</v>
      </c>
      <c s="17">
        <v>15897.229749999999</v>
      </c>
      <c s="22">
        <v>35529.132299999794</v>
      </c>
      <c s="15">
        <v>0.55255789486308138</v>
      </c>
      <c s="15">
        <v>0.44744210513691862</v>
      </c>
    </row>
    <row>
      <c s="26" t="s">
        <v>14</v>
      </c>
      <c s="17">
        <v>18897.633599999928</v>
      </c>
      <c s="17">
        <v>15340.069700000038</v>
      </c>
      <c s="22">
        <v>34237.703299999965</v>
      </c>
      <c s="15">
        <v>0.55195389230445102</v>
      </c>
      <c s="15">
        <v>0.44804610769554903</v>
      </c>
    </row>
    <row>
      <c s="26" t="s">
        <v>23</v>
      </c>
      <c s="17">
        <v>20849.358849999953</v>
      </c>
      <c s="17">
        <v>16509.987750000018</v>
      </c>
      <c s="22">
        <v>37359.346599999975</v>
      </c>
      <c s="15">
        <v>0.55807611073155028</v>
      </c>
      <c s="15">
        <v>0.44192388926844961</v>
      </c>
    </row>
    <row>
      <c s="26" t="s">
        <v>76</v>
      </c>
      <c s="17">
        <v>20210.387899999983</v>
      </c>
      <c s="17">
        <v>16312.395900000069</v>
      </c>
      <c s="22">
        <v>36522.783800000048</v>
      </c>
      <c s="15">
        <v>0.55336384024483798</v>
      </c>
      <c s="15">
        <v>0.44663615975516213</v>
      </c>
    </row>
    <row>
      <c s="26" t="s">
        <v>81</v>
      </c>
      <c s="17">
        <v>19486.968700000096</v>
      </c>
      <c s="17">
        <v>15714.056100000038</v>
      </c>
      <c s="22">
        <v>35201.02480000013</v>
      </c>
      <c s="15">
        <v>0.55359094829534694</v>
      </c>
      <c s="15">
        <v>0.44640905170465323</v>
      </c>
    </row>
    <row>
      <c s="26" t="s">
        <v>89</v>
      </c>
      <c s="17">
        <v>19547.507999999998</v>
      </c>
      <c s="17">
        <v>16107.900249999999</v>
      </c>
      <c s="22">
        <v>35655.408249999993</v>
      </c>
      <c s="15">
        <v>0.54823402561938139</v>
      </c>
      <c s="15">
        <v>0.45176597438061872</v>
      </c>
    </row>
    <row>
      <c s="26" t="s">
        <v>98</v>
      </c>
      <c s="17">
        <v>19521.096000000012</v>
      </c>
      <c s="17">
        <v>15457.357000000004</v>
      </c>
      <c s="22">
        <v>34978.453000000016</v>
      </c>
      <c s="15">
        <v>0.55808917564193028</v>
      </c>
      <c s="15">
        <v>0.44191082435806972</v>
      </c>
    </row>
    <row>
      <c s="26" t="s">
        <v>110</v>
      </c>
      <c s="17">
        <v>19941</v>
      </c>
      <c s="17">
        <v>15923</v>
      </c>
      <c s="22">
        <v>35864</v>
      </c>
      <c s="15">
        <v>0.55601717599821543</v>
      </c>
      <c s="15">
        <v>0.44398282400178452</v>
      </c>
    </row>
    <row>
      <c s="26" t="s">
        <v>117</v>
      </c>
      <c s="17">
        <v>19267</v>
      </c>
      <c s="17">
        <v>15272</v>
      </c>
      <c s="22">
        <v>34539</v>
      </c>
      <c s="15">
        <v>0.55783317409305422</v>
      </c>
      <c s="15">
        <v>0.44216682590694578</v>
      </c>
    </row>
    <row>
      <c s="26" t="s">
        <v>2</v>
      </c>
      <c s="17">
        <v>19375</v>
      </c>
      <c s="17">
        <v>14925</v>
      </c>
      <c s="22">
        <v>34300</v>
      </c>
      <c s="15">
        <v>0.564868804664723</v>
      </c>
      <c s="15">
        <v>0.43513119533527694</v>
      </c>
    </row>
    <row>
      <c s="26" t="s">
        <v>13</v>
      </c>
      <c s="17">
        <v>21896</v>
      </c>
      <c s="17">
        <v>15416</v>
      </c>
      <c s="22">
        <v>37312</v>
      </c>
      <c s="15">
        <v>0.58683533447684388</v>
      </c>
      <c s="15">
        <v>0.41316466552315612</v>
      </c>
    </row>
    <row>
      <c s="26" t="s">
        <v>22</v>
      </c>
      <c s="17">
        <v>19540</v>
      </c>
      <c s="17">
        <v>14920</v>
      </c>
      <c s="22">
        <v>34460</v>
      </c>
      <c s="15">
        <v>0.56703424260011603</v>
      </c>
      <c s="15">
        <v>0.43296575739988391</v>
      </c>
    </row>
    <row>
      <c s="26" t="s">
        <v>30</v>
      </c>
      <c s="17">
        <v>17256</v>
      </c>
      <c s="17">
        <v>13859</v>
      </c>
      <c s="22">
        <v>31115</v>
      </c>
      <c s="15">
        <v>0.55458781937972035</v>
      </c>
      <c s="15">
        <v>0.4454121806202796</v>
      </c>
    </row>
    <row>
      <c s="26" t="s">
        <v>80</v>
      </c>
      <c s="17">
        <v>15483</v>
      </c>
      <c s="17">
        <v>12443</v>
      </c>
      <c s="22">
        <v>27926</v>
      </c>
      <c s="15">
        <v>0.55442956384731079</v>
      </c>
      <c s="15">
        <v>0.44557043615268926</v>
      </c>
    </row>
    <row>
      <c s="26" t="s">
        <v>88</v>
      </c>
      <c s="17">
        <v>15131</v>
      </c>
      <c s="17">
        <v>12101</v>
      </c>
      <c s="22">
        <v>27232</v>
      </c>
      <c s="15">
        <v>0.55563307873090484</v>
      </c>
      <c s="15">
        <v>0.44436692126909516</v>
      </c>
    </row>
    <row>
      <c s="26" t="s">
        <v>97</v>
      </c>
      <c s="17">
        <v>13391</v>
      </c>
      <c s="17">
        <v>10519</v>
      </c>
      <c s="22">
        <v>23910</v>
      </c>
      <c s="15">
        <v>0.56005855290673356</v>
      </c>
      <c s="15">
        <v>0.43994144709326644</v>
      </c>
    </row>
    <row>
      <c s="26" t="s">
        <v>109</v>
      </c>
      <c s="17">
        <v>12221</v>
      </c>
      <c s="17">
        <v>9900</v>
      </c>
      <c s="22">
        <v>22121</v>
      </c>
      <c s="15">
        <v>0.5524614619592243</v>
      </c>
      <c s="15">
        <v>0.44753853804077576</v>
      </c>
    </row>
    <row>
      <c s="26" t="s">
        <v>121</v>
      </c>
      <c s="17">
        <v>11828</v>
      </c>
      <c s="17">
        <v>10102</v>
      </c>
      <c s="22">
        <v>21930</v>
      </c>
      <c s="15">
        <v>0.53935248518011858</v>
      </c>
      <c s="15">
        <v>0.46064751481988142</v>
      </c>
    </row>
    <row>
      <c s="26" t="s">
        <v>10</v>
      </c>
      <c s="17">
        <v>11456</v>
      </c>
      <c s="17">
        <v>9522</v>
      </c>
      <c s="22">
        <v>20978</v>
      </c>
      <c s="15">
        <v>0.54609591000095337</v>
      </c>
      <c s="15">
        <v>0.45390408999904663</v>
      </c>
    </row>
    <row>
      <c s="26" t="s">
        <v>18</v>
      </c>
      <c s="17">
        <v>10588</v>
      </c>
      <c s="17">
        <v>9841</v>
      </c>
      <c s="22">
        <v>20429</v>
      </c>
      <c s="15">
        <v>0.51828283322727497</v>
      </c>
      <c s="15">
        <v>0.48171716677272503</v>
      </c>
    </row>
    <row>
      <c s="26" t="s">
        <v>25</v>
      </c>
      <c s="17">
        <v>9836</v>
      </c>
      <c s="17">
        <v>9029</v>
      </c>
      <c s="22">
        <v>18865</v>
      </c>
      <c s="15">
        <v>0.52138881526636627</v>
      </c>
      <c s="15">
        <v>0.47861118473363373</v>
      </c>
    </row>
    <row>
      <c s="26" t="s">
        <v>29</v>
      </c>
      <c s="17">
        <v>8580</v>
      </c>
      <c s="17">
        <v>8283</v>
      </c>
      <c s="22">
        <v>16863</v>
      </c>
      <c s="15">
        <v>0.50880626223091974</v>
      </c>
      <c s="15">
        <v>0.49119373776908021</v>
      </c>
    </row>
    <row>
      <c s="26" t="s">
        <v>36</v>
      </c>
      <c s="17">
        <v>8636</v>
      </c>
      <c s="17">
        <v>8519</v>
      </c>
      <c s="22">
        <v>17155</v>
      </c>
      <c s="15">
        <v>0.50341008452346259</v>
      </c>
      <c s="15">
        <v>0.49658991547653747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</row>
    <row>
      <c s="54"/>
      <c s="7"/>
      <c s="7"/>
      <c s="7"/>
      <c s="7"/>
      <c s="7"/>
      <c s="7"/>
      <c s="7"/>
      <c s="1"/>
    </row>
    <row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5">
    <mergeCell ref="A3:J3"/>
    <mergeCell ref="A4:J4"/>
    <mergeCell ref="B18:F18"/>
    <mergeCell ref="B19:D19"/>
    <mergeCell ref="E19:F19"/>
  </mergeCells>
  <pageMargins left="0.70866141732283472" right="0.70866141732283472" top="0.78740157480314965" bottom="0.78740157480314965" header="0.31496062992125984" footer="0.31496062992125984"/>
  <pageSetup paperSize="9" scale="77" fitToWidth="2" orientation="landscape"/>
  <headerFooter>
    <oddHeader>&amp;L&amp;"Tahoma,Standard"&amp;10unidata.gv.at&amp;R&amp;"Tahoma,Standard"&amp;10&amp;D</oddHeader>
    <oddFooter>&amp;R&amp;"Tahoma,Standard"&amp;10&amp;P/&amp;N</oddFooter>
  </headerFooter>
  <colBreaks count="1" manualBreakCount="1">
    <brk id="7" max="1048575" man="1"/>
  </col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F38"/>
  <sheetViews>
    <sheetView workbookViewId="0">
      <selection activeCell="A38" sqref="A38"/>
    </sheetView>
  </sheetViews>
  <sheetFormatPr defaultColWidth="11.42578125" defaultRowHeight="15"/>
  <sheetData>
    <row ht="14.95">
      <c s="6" t="s">
        <v>0</v>
      </c>
      <c s="29" t="s">
        <v>28</v>
      </c>
    </row>
    <row ht="14.95">
      <c s="6" t="s">
        <v>71</v>
      </c>
      <c s="29" t="s">
        <v>28</v>
      </c>
    </row>
    <row ht="14.95">
      <c s="6" t="s">
        <v>11</v>
      </c>
      <c s="29" t="s">
        <v>28</v>
      </c>
    </row>
    <row ht="14.95">
      <c s="6" t="s">
        <v>87</v>
      </c>
      <c s="29" t="s">
        <v>28</v>
      </c>
    </row>
    <row ht="14.95">
      <c s="6" t="s">
        <v>63</v>
      </c>
      <c s="29" t="s">
        <v>28</v>
      </c>
    </row>
    <row ht="14.95">
      <c s="6" t="s">
        <v>96</v>
      </c>
      <c s="29" t="s">
        <v>28</v>
      </c>
    </row>
    <row ht="14.95">
      <c s="6" t="s">
        <v>107</v>
      </c>
      <c s="29" t="s">
        <v>51</v>
      </c>
    </row>
    <row ht="14.95">
      <c s="6" t="s">
        <v>108</v>
      </c>
      <c s="29" t="s">
        <v>35</v>
      </c>
    </row>
    <row r="11" ht="14.95">
      <c r="B11" s="6" t="s">
        <v>55</v>
      </c>
      <c s="6" t="s">
        <v>45</v>
      </c>
      <c s="6" t="s">
        <v>123</v>
      </c>
    </row>
    <row ht="14.95">
      <c r="B12" s="3" t="s">
        <v>53</v>
      </c>
      <c s="3"/>
      <c s="3"/>
      <c s="3"/>
      <c s="3"/>
    </row>
    <row ht="14.95">
      <c r="B13" s="3" t="s">
        <v>12</v>
      </c>
      <c s="3"/>
      <c s="3"/>
      <c s="14" t="s">
        <v>79</v>
      </c>
      <c s="14"/>
    </row>
    <row ht="14.95">
      <c s="6" t="s">
        <v>21</v>
      </c>
      <c s="4" t="s">
        <v>1</v>
      </c>
      <c s="4" t="s">
        <v>46</v>
      </c>
      <c s="23" t="s">
        <v>28</v>
      </c>
      <c s="4" t="s">
        <v>1</v>
      </c>
      <c s="4" t="s">
        <v>46</v>
      </c>
    </row>
    <row ht="14.95">
      <c s="26" t="s">
        <v>61</v>
      </c>
      <c s="17">
        <v>20086.095399999998</v>
      </c>
      <c s="17">
        <v>15873.859550000019</v>
      </c>
      <c s="22">
        <v>35959.954950000014</v>
      </c>
      <c s="15">
        <v>0.55856842501411397</v>
      </c>
      <c s="15">
        <v>0.44143157498588614</v>
      </c>
    </row>
    <row ht="14.95">
      <c s="26" t="s">
        <v>43</v>
      </c>
      <c s="17">
        <v>19631.902549999795</v>
      </c>
      <c s="17">
        <v>15897.229749999999</v>
      </c>
      <c s="22">
        <v>35529.132299999794</v>
      </c>
      <c s="15">
        <v>0.55255789486308138</v>
      </c>
      <c s="15">
        <v>0.44744210513691862</v>
      </c>
    </row>
    <row ht="14.95">
      <c s="26" t="s">
        <v>20</v>
      </c>
      <c s="17">
        <v>18897.633599999928</v>
      </c>
      <c s="17">
        <v>15340.069700000038</v>
      </c>
      <c s="22">
        <v>34237.703299999965</v>
      </c>
      <c s="15">
        <v>0.55195389230445102</v>
      </c>
      <c s="15">
        <v>0.44804610769554903</v>
      </c>
    </row>
    <row ht="14.95">
      <c s="26" t="s">
        <v>120</v>
      </c>
      <c s="17">
        <v>20849.358849999953</v>
      </c>
      <c s="17">
        <v>16509.987750000018</v>
      </c>
      <c s="22">
        <v>37359.346599999975</v>
      </c>
      <c s="15">
        <v>0.55807611073155028</v>
      </c>
      <c s="15">
        <v>0.44192388926844961</v>
      </c>
    </row>
    <row ht="14.95">
      <c s="26" t="s">
        <v>19</v>
      </c>
      <c s="17">
        <v>20210.38789999998</v>
      </c>
      <c s="17">
        <v>16312.39590000007</v>
      </c>
      <c s="22">
        <v>36522.783800000048</v>
      </c>
      <c s="15">
        <v>0.55336384024483787</v>
      </c>
      <c s="15">
        <v>0.44663615975516219</v>
      </c>
    </row>
    <row ht="14.95">
      <c s="26" t="s">
        <v>94</v>
      </c>
      <c s="17">
        <v>19486.968700000096</v>
      </c>
      <c s="17">
        <v>15714.056100000038</v>
      </c>
      <c s="22">
        <v>35201.02480000013</v>
      </c>
      <c s="15">
        <v>0.55359094829534694</v>
      </c>
      <c s="15">
        <v>0.44640905170465323</v>
      </c>
    </row>
    <row ht="14.95">
      <c s="26" t="s">
        <v>70</v>
      </c>
      <c s="17">
        <v>19547.507999999998</v>
      </c>
      <c s="17">
        <v>16107.900249999999</v>
      </c>
      <c s="22">
        <v>35655.408249999993</v>
      </c>
      <c s="15">
        <v>0.54823402561938139</v>
      </c>
      <c s="15">
        <v>0.45176597438061872</v>
      </c>
    </row>
    <row ht="14.95">
      <c s="26" t="s">
        <v>50</v>
      </c>
      <c s="17">
        <v>19521.096000000012</v>
      </c>
      <c s="17">
        <v>15457.357000000004</v>
      </c>
      <c s="22">
        <v>34978.453000000016</v>
      </c>
      <c s="15">
        <v>0.55808917564193028</v>
      </c>
      <c s="15">
        <v>0.44191082435806972</v>
      </c>
    </row>
    <row ht="14.95">
      <c s="26" t="s">
        <v>27</v>
      </c>
      <c s="17">
        <v>19941</v>
      </c>
      <c s="17">
        <v>15923</v>
      </c>
      <c s="22">
        <v>35864</v>
      </c>
      <c s="15">
        <v>0.55601717599821543</v>
      </c>
      <c s="15">
        <v>0.44398282400178452</v>
      </c>
    </row>
    <row ht="14.95">
      <c s="26" t="s">
        <v>130</v>
      </c>
      <c s="17">
        <v>19267</v>
      </c>
      <c s="17">
        <v>15272</v>
      </c>
      <c s="22">
        <v>34539</v>
      </c>
      <c s="15">
        <v>0.55783317409305422</v>
      </c>
      <c s="15">
        <v>0.44216682590694578</v>
      </c>
    </row>
    <row ht="14.95">
      <c s="26" t="s">
        <v>106</v>
      </c>
      <c s="17">
        <v>19375</v>
      </c>
      <c s="17">
        <v>14925</v>
      </c>
      <c s="22">
        <v>34300</v>
      </c>
      <c s="15">
        <v>0.564868804664723</v>
      </c>
      <c s="15">
        <v>0.43513119533527694</v>
      </c>
    </row>
    <row ht="14.95">
      <c s="26" t="s">
        <v>78</v>
      </c>
      <c s="17">
        <v>21896</v>
      </c>
      <c s="17">
        <v>15416</v>
      </c>
      <c s="22">
        <v>37312</v>
      </c>
      <c s="15">
        <v>0.58683533447684388</v>
      </c>
      <c s="15">
        <v>0.41316466552315612</v>
      </c>
    </row>
    <row ht="14.95">
      <c s="26" t="s">
        <v>54</v>
      </c>
      <c s="17">
        <v>19540</v>
      </c>
      <c s="17">
        <v>14920</v>
      </c>
      <c s="22">
        <v>34460</v>
      </c>
      <c s="15">
        <v>0.56703424260011603</v>
      </c>
      <c s="15">
        <v>0.43296575739988391</v>
      </c>
    </row>
    <row ht="14.95">
      <c s="26" t="s">
        <v>33</v>
      </c>
      <c s="17">
        <v>17256</v>
      </c>
      <c s="17">
        <v>13859</v>
      </c>
      <c s="22">
        <v>31115</v>
      </c>
      <c s="15">
        <v>0.55458781937972035</v>
      </c>
      <c s="15">
        <v>0.4454121806202796</v>
      </c>
    </row>
    <row ht="14.95">
      <c s="26" t="s">
        <v>62</v>
      </c>
      <c s="17">
        <v>15483</v>
      </c>
      <c s="17">
        <v>12443</v>
      </c>
      <c s="22">
        <v>27926</v>
      </c>
      <c s="15">
        <v>0.55442956384731079</v>
      </c>
      <c s="15">
        <v>0.44557043615268926</v>
      </c>
    </row>
    <row ht="14.95">
      <c s="26" t="s">
        <v>9</v>
      </c>
      <c s="17">
        <v>15131</v>
      </c>
      <c s="17">
        <v>12101</v>
      </c>
      <c s="22">
        <v>27232</v>
      </c>
      <c s="15">
        <v>0.55563307873090484</v>
      </c>
      <c s="15">
        <v>0.44436692126909516</v>
      </c>
    </row>
    <row ht="14.95">
      <c s="26" t="s">
        <v>114</v>
      </c>
      <c s="17">
        <v>13391</v>
      </c>
      <c s="17">
        <v>10519</v>
      </c>
      <c s="22">
        <v>23910</v>
      </c>
      <c s="15">
        <v>0.56005855290673356</v>
      </c>
      <c s="15">
        <v>0.43994144709326644</v>
      </c>
    </row>
    <row ht="14.95">
      <c s="26" t="s">
        <v>93</v>
      </c>
      <c s="17">
        <v>12221</v>
      </c>
      <c s="17">
        <v>9900</v>
      </c>
      <c s="22">
        <v>22121</v>
      </c>
      <c s="15">
        <v>0.5524614619592243</v>
      </c>
      <c s="15">
        <v>0.44753853804077576</v>
      </c>
    </row>
    <row ht="14.95">
      <c s="26" t="s">
        <v>69</v>
      </c>
      <c s="17">
        <v>11828</v>
      </c>
      <c s="17">
        <v>10102</v>
      </c>
      <c s="22">
        <v>21930</v>
      </c>
      <c s="15">
        <v>0.53935248518011858</v>
      </c>
      <c s="15">
        <v>0.46064751481988142</v>
      </c>
    </row>
    <row ht="14.95">
      <c s="26" t="s">
        <v>49</v>
      </c>
      <c s="17">
        <v>11456</v>
      </c>
      <c s="17">
        <v>9522</v>
      </c>
      <c s="22">
        <v>20978</v>
      </c>
      <c s="15">
        <v>0.54609591000095337</v>
      </c>
      <c s="15">
        <v>0.45390408999904663</v>
      </c>
    </row>
    <row ht="14.95">
      <c s="26" t="s">
        <v>26</v>
      </c>
      <c s="17">
        <v>10588</v>
      </c>
      <c s="17">
        <v>9841</v>
      </c>
      <c s="22">
        <v>20429</v>
      </c>
      <c s="15">
        <v>0.51828283322727497</v>
      </c>
      <c s="15">
        <v>0.48171716677272503</v>
      </c>
    </row>
    <row ht="14.95">
      <c s="26" t="s">
        <v>129</v>
      </c>
      <c s="17">
        <v>9836</v>
      </c>
      <c s="17">
        <v>9029</v>
      </c>
      <c s="22">
        <v>18865</v>
      </c>
      <c s="15">
        <v>0.52138881526636627</v>
      </c>
      <c s="15">
        <v>0.47861118473363373</v>
      </c>
    </row>
    <row ht="14.95">
      <c s="26" t="s">
        <v>105</v>
      </c>
      <c s="17">
        <v>8580</v>
      </c>
      <c s="17">
        <v>8283</v>
      </c>
      <c s="22">
        <v>16863</v>
      </c>
      <c s="15">
        <v>0.50880626223091974</v>
      </c>
      <c s="15">
        <v>0.49119373776908021</v>
      </c>
    </row>
    <row ht="14.95">
      <c s="26" t="s">
        <v>77</v>
      </c>
      <c s="17">
        <v>8636</v>
      </c>
      <c s="17">
        <v>8519</v>
      </c>
      <c s="22">
        <v>17155</v>
      </c>
      <c s="15">
        <v>0.50341008452346259</v>
      </c>
      <c s="15">
        <v>0.49658991547653747</v>
      </c>
    </row>
  </sheetData>
  <mergeCells count="3">
    <mergeCell ref="B12:F12"/>
    <mergeCell ref="B13:D13"/>
    <mergeCell ref="E13:F13"/>
  </mergeCells>
  <pageMargins left="0.7" right="0.7" top="0.787401575" bottom="0.7874015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:Z32"/>
  <sheetViews>
    <sheetView workbookViewId="0">
      <selection activeCell="C30" sqref="C30:E32"/>
    </sheetView>
  </sheetViews>
  <sheetFormatPr defaultColWidth="9.140625" defaultRowHeight="13.6"/>
  <cols>
    <col min="1" max="1" width="13.42578125" style="27" customWidth="1"/>
    <col min="2" max="2" width="40.85546875" style="27" customWidth="1"/>
    <col min="3" max="3" width="28.140625" style="27" customWidth="1"/>
    <col min="4" max="4" width="16.28515625" style="27" customWidth="1"/>
    <col min="5" max="5" width="19.42578125" style="27" customWidth="1"/>
    <col min="6" max="6" width="11.140625" style="27" customWidth="1"/>
    <col min="7" max="7" width="9.140625" style="27" customWidth="1"/>
    <col min="8" max="8" width="17.28515625" style="27" customWidth="1"/>
    <col min="9" max="9" width="19.42578125" style="27" customWidth="1"/>
    <col min="10" max="12" width="12.42578125" style="27" customWidth="1"/>
    <col min="13" max="13" width="16" style="27" customWidth="1"/>
    <col min="14" max="14" width="14.28515625" style="27" customWidth="1"/>
    <col min="15" max="15" width="18.28515625" style="27" customWidth="1"/>
    <col min="16" max="25" width="9.140625" style="27" customWidth="1"/>
    <col min="26" max="26" width="9.140625" style="27" hidden="1" customWidth="1"/>
    <col min="27" max="27" width="9.140625" style="27" customWidth="1"/>
    <col min="28" max="16384" width="9.140625" style="27"/>
  </cols>
  <sheetData>
    <row>
      <c s="62"/>
      <c r="H1" s="40">
        <v>129806172700000000</v>
      </c>
      <c r="Z1" s="66" t="b">
        <f>0=1</f>
        <v>0</v>
      </c>
    </row>
    <row>
      <c r="Z2" s="66" t="b">
        <f>1=1</f>
        <v>1</v>
      </c>
    </row>
    <row>
      <c r="Z3" s="66"/>
    </row>
    <row>
      <c r="I4" s="27" t="s">
        <v>47</v>
      </c>
      <c s="48" t="s">
        <v>90</v>
      </c>
      <c s="10"/>
      <c s="10"/>
      <c s="10"/>
      <c s="10"/>
      <c s="10"/>
    </row>
    <row>
      <c r="J5" s="30" t="s">
        <v>37</v>
      </c>
      <c s="20" t="s">
        <v>64</v>
      </c>
      <c s="20" t="s">
        <v>82</v>
      </c>
      <c s="30" t="s">
        <v>124</v>
      </c>
      <c s="68" t="s">
        <v>99</v>
      </c>
      <c s="20" t="s">
        <v>4</v>
      </c>
    </row>
    <row>
      <c r="B6" s="32" t="s">
        <v>100</v>
      </c>
      <c s="21" t="s">
        <v>111</v>
      </c>
      <c s="35" t="s">
        <v>15</v>
      </c>
      <c s="8" t="s">
        <v>65</v>
      </c>
    </row>
    <row>
      <c r="C7" s="19"/>
      <c s="24" t="s">
        <v>16</v>
      </c>
      <c s="8" t="s">
        <v>72</v>
      </c>
    </row>
    <row>
      <c r="C8" s="24" t="s">
        <v>5</v>
      </c>
      <c s="19"/>
    </row>
    <row>
      <c r="C9" s="19"/>
      <c s="21" t="s">
        <v>38</v>
      </c>
      <c s="41"/>
    </row>
    <row>
      <c r="C10" s="21" t="s">
        <v>58</v>
      </c>
      <c s="47" t="s">
        <v>83</v>
      </c>
      <c s="8" t="s">
        <v>24</v>
      </c>
    </row>
    <row>
      <c r="B11" s="32" t="s">
        <v>66</v>
      </c>
      <c s="38" t="s">
        <v>59</v>
      </c>
      <c s="51">
        <v>60398</v>
      </c>
      <c s="8" t="s">
        <v>39</v>
      </c>
    </row>
    <row>
      <c r="B12" s="32"/>
      <c s="52"/>
      <c s="44"/>
      <c s="34" t="s">
        <v>91</v>
      </c>
    </row>
    <row>
      <c r="B13" s="32" t="s">
        <v>60</v>
      </c>
      <c s="37" t="s">
        <v>31</v>
      </c>
      <c s="55">
        <v>1212</v>
      </c>
      <c s="27" t="b">
        <v>0</v>
      </c>
      <c s="8" t="s">
        <v>84</v>
      </c>
    </row>
    <row ht="12.75" hidden="1">
      <c r="B14" s="32"/>
      <c s="37"/>
      <c s="46"/>
      <c s="27" t="b">
        <v>0</v>
      </c>
    </row>
    <row>
      <c r="B15" s="32" t="s">
        <v>112</v>
      </c>
      <c s="27" t="s">
        <v>119</v>
      </c>
      <c s="64">
        <v>1212</v>
      </c>
      <c s="27" t="b">
        <v>0</v>
      </c>
      <c s="8" t="s">
        <v>32</v>
      </c>
    </row>
    <row ht="12.75" hidden="1">
      <c r="B16" s="32"/>
      <c r="D16" s="18"/>
      <c s="27" t="b">
        <v>0</v>
      </c>
      <c s="8"/>
    </row>
    <row>
      <c r="B17" s="32"/>
      <c s="27" t="s">
        <v>40</v>
      </c>
      <c s="42">
        <v>3434</v>
      </c>
      <c s="27" t="b">
        <v>0</v>
      </c>
      <c s="8" t="s">
        <v>85</v>
      </c>
    </row>
    <row>
      <c r="B18" s="32"/>
      <c r="D18" s="18"/>
      <c s="27" t="b">
        <v>0</v>
      </c>
      <c s="8"/>
    </row>
    <row>
      <c r="B19" s="32"/>
      <c s="27" t="s">
        <v>6</v>
      </c>
      <c s="61">
        <v>3434</v>
      </c>
      <c s="27" t="b">
        <v>0</v>
      </c>
      <c s="8" t="s">
        <v>101</v>
      </c>
    </row>
    <row>
      <c r="B20" s="32"/>
      <c r="D20" s="18"/>
      <c s="27" t="b">
        <v>0</v>
      </c>
      <c s="8"/>
    </row>
    <row>
      <c r="B21" s="32"/>
      <c s="27" t="s">
        <v>102</v>
      </c>
      <c s="50">
        <v>5656</v>
      </c>
      <c s="27" t="b">
        <v>0</v>
      </c>
      <c s="8" t="s">
        <v>125</v>
      </c>
    </row>
    <row>
      <c r="B22" s="32"/>
      <c r="E22" s="8"/>
      <c r="I22" s="43"/>
    </row>
    <row>
      <c r="B23" s="25" t="s">
        <v>7</v>
      </c>
      <c s="25"/>
    </row>
    <row>
      <c r="B24" s="5" t="s">
        <v>67</v>
      </c>
      <c s="5" t="s">
        <v>41</v>
      </c>
      <c s="5" t="s">
        <v>17</v>
      </c>
      <c s="5" t="s">
        <v>103</v>
      </c>
      <c s="5"/>
      <c s="5"/>
      <c s="5" t="s">
        <v>126</v>
      </c>
    </row>
    <row>
      <c s="27" t="s">
        <v>73</v>
      </c>
      <c r="C25" s="56" t="s">
        <v>8</v>
      </c>
      <c s="31" t="s">
        <v>86</v>
      </c>
      <c s="31">
        <v>1234.5599999999999</v>
      </c>
      <c s="8" t="s">
        <v>92</v>
      </c>
      <c r="H25" s="27" t="s">
        <v>104</v>
      </c>
    </row>
    <row>
      <c s="27" t="s">
        <v>113</v>
      </c>
      <c r="C26" s="56" t="s">
        <v>8</v>
      </c>
      <c s="31" t="s">
        <v>86</v>
      </c>
      <c s="31">
        <v>1234.5599999999999</v>
      </c>
      <c s="8" t="s">
        <v>74</v>
      </c>
      <c r="H26" s="27" t="s">
        <v>127</v>
      </c>
    </row>
    <row>
      <c r="C27" s="56" t="s">
        <v>8</v>
      </c>
      <c s="28" t="s">
        <v>86</v>
      </c>
      <c s="28">
        <v>1234.5599999999999</v>
      </c>
      <c r="H27" s="27" t="s">
        <v>75</v>
      </c>
    </row>
    <row>
      <c r="C28" s="63" t="s">
        <v>48</v>
      </c>
      <c s="57" t="s">
        <v>28</v>
      </c>
      <c s="49">
        <v>1234.5599999999999</v>
      </c>
      <c r="H28" s="27" t="s">
        <v>42</v>
      </c>
    </row>
    <row>
      <c r="C29" s="63" t="s">
        <v>68</v>
      </c>
      <c s="59" t="s">
        <v>57</v>
      </c>
      <c s="39">
        <v>1234.5599999999999</v>
      </c>
      <c r="H29" s="27" t="s">
        <v>128</v>
      </c>
    </row>
    <row>
      <c r="C30" s="63" t="s">
        <v>68</v>
      </c>
      <c s="59" t="s">
        <v>53</v>
      </c>
      <c s="39">
        <v>1234.5599999999999</v>
      </c>
    </row>
    <row>
      <c r="C31" s="63" t="s">
        <v>8</v>
      </c>
      <c s="59" t="s">
        <v>12</v>
      </c>
      <c s="39">
        <v>1234.5599999999999</v>
      </c>
    </row>
    <row>
      <c r="C32" s="63" t="s">
        <v>8</v>
      </c>
      <c s="65" t="s">
        <v>79</v>
      </c>
      <c s="67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
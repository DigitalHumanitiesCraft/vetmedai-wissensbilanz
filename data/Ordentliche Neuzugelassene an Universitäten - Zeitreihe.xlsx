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0065"/>
  </bookViews>
  <sheets>
    <sheet name="Tab" sheetId="1" r:id="rId1"/>
    <sheet name="XLCubedFormats" sheetId="2" state="hidden" r:id="rId2"/>
    <sheet name="Tabelle1" sheetId="3" state="hidden" r:id="rId3"/>
  </sheets>
  <definedNames>
    <definedName name="XL3DisableCameraObjects" hidden="1">XLCubedFormats!A1</definedName>
    <definedName name="XL3ObjLocation6479baa9_7246_48eb_b187_8ddc5d9d30e1">Tab!$A$8</definedName>
    <definedName name="XL3ObjLocationbe0db9e7_b781_4d7a_b801_5c8c34e25855">Tabelle1!$A$1</definedName>
  </definedNames>
  <calcPr calcId="40001"/>
</workbook>
</file>

<file path=xl/sharedStrings.xml><?xml version="1.0" encoding="utf-8"?>
<sst xmlns="http://schemas.openxmlformats.org/spreadsheetml/2006/main" uniqueCount="177">
  <si>
    <t>Universität</t>
  </si>
  <si>
    <t>Semester und Datenstichtag</t>
  </si>
  <si>
    <t>Frauen</t>
  </si>
  <si>
    <t>Sommersemester 2016 (Stichtag: 30.09.2016)</t>
  </si>
  <si>
    <t>Wintersemester 2016 (Stichtag: 28.02.2017)</t>
  </si>
  <si>
    <t>Wintersemester 2001 (Stichtag: 28.02.2002)</t>
  </si>
  <si>
    <t>Studienjahr 2004/05</t>
  </si>
  <si>
    <t>Studienjahr 2022/23</t>
  </si>
  <si>
    <t>Slicer Button Background</t>
  </si>
  <si>
    <t>Grid Title</t>
  </si>
  <si>
    <t>Oth Written Member</t>
  </si>
  <si>
    <t>Fill in Grid Name, Dimension or Both</t>
  </si>
  <si>
    <t>[ALLG Wertart].[Wertart]</t>
  </si>
  <si>
    <t>Sommersemester 2001 (Stichtag: 30.09.2001)</t>
  </si>
  <si>
    <t>2008/09</t>
  </si>
  <si>
    <t>Staatengruppe (Ö, EU, andere)</t>
  </si>
  <si>
    <t>Absolutwert</t>
  </si>
  <si>
    <t>Sommersemester 2024 (Stichtag: 30.09.2024)</t>
  </si>
  <si>
    <t>All Marital Status</t>
  </si>
  <si>
    <t>Male</t>
  </si>
  <si>
    <t>Member1 Name</t>
  </si>
  <si>
    <t>2019/20</t>
  </si>
  <si>
    <t>2021/22</t>
  </si>
  <si>
    <t>ALLG Semester.Studienjahr (Kurzbezeichnung)</t>
  </si>
  <si>
    <t>Studienjahr 2016/17</t>
  </si>
  <si>
    <t>Wintersemester 2024 (Stichtag: 28.02.2025)</t>
  </si>
  <si>
    <t>Anmerkung: Ab dem WS 2016 erfolgt die zähltechnische Abbildung der Studierenden auf Basis des Verteilungsschlüssels gemäß § 22 Abs. 2 UHSBV.</t>
  </si>
  <si>
    <t>Sommersemester 2018 (Stichtag: 30.09.2018)</t>
  </si>
  <si>
    <t>Wintersemester 2018 (Stichtag: 28.02.2019)</t>
  </si>
  <si>
    <t>Sommersemester 2003 (Stichtag: 30.09.2003)</t>
  </si>
  <si>
    <t>Wintersemester 2003 (Stichtag: 28.02.2004)</t>
  </si>
  <si>
    <t>Studienjahr 2009/10</t>
  </si>
  <si>
    <t>Studienjahr 2011/12</t>
  </si>
  <si>
    <t>&lt;-- default Column Member Format</t>
  </si>
  <si>
    <t>2003/04</t>
  </si>
  <si>
    <t>2015/16</t>
  </si>
  <si>
    <t>Gesamt</t>
  </si>
  <si>
    <t>Studienjahr 2005/06</t>
  </si>
  <si>
    <t>Studienjahr 2023/24</t>
  </si>
  <si>
    <t>Wintersemester 2011 (Stichtag: 28.02.2012)</t>
  </si>
  <si>
    <t>Alternate Rows</t>
  </si>
  <si>
    <t>&lt;--  writeable cell format</t>
  </si>
  <si>
    <t>Sommersemester 2011 (Stichtag: 30.09.2011)</t>
  </si>
  <si>
    <t>2010/11</t>
  </si>
  <si>
    <t xml:space="preserve"> </t>
  </si>
  <si>
    <t>Sommersemester 2005 (Stichtag: 30.09.2005)</t>
  </si>
  <si>
    <t>Studienjahr 2000/01</t>
  </si>
  <si>
    <t>Studienjahr 2017/18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</si>
  <si>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</si>
  <si>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</si>
  <si>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</si>
  <si>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</si>
  <si>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</si>
  <si>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</si>
  <si>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 xml:space="preserve">Erstzugelassene </t>
  </si>
  <si>
    <t>4) Prozentangaben werden standardmäßig mit einer Kommastelle angezeigt</t>
  </si>
  <si>
    <t>2022/23</t>
  </si>
  <si>
    <t>Wertart</t>
  </si>
  <si>
    <t>Frauen-/ Männeranteil in %</t>
  </si>
  <si>
    <t>Männer</t>
  </si>
  <si>
    <t>Wintersemester 2013 (Stichtag: 28.02.2014)</t>
  </si>
  <si>
    <t>Studienjahr 2012/13</t>
  </si>
  <si>
    <t>Slice Name (Optional)</t>
  </si>
  <si>
    <t>2004/05</t>
  </si>
  <si>
    <t>2016/17</t>
  </si>
  <si>
    <t>Sommersemester 2013 (Stichtag: 30.09.2013)</t>
  </si>
  <si>
    <t>Measures</t>
  </si>
  <si>
    <t>Wintersemester 2021 (Stichtag: 28.02.2022)</t>
  </si>
  <si>
    <t>Studienjahr 2006/07</t>
  </si>
  <si>
    <t>Wintersemester 2007 (Stichtag: 28.02.2008)</t>
  </si>
  <si>
    <t>Studienjahr 2024/25</t>
  </si>
  <si>
    <t>Wintersemester 2009 (Stichtag: 28.02.2010)</t>
  </si>
  <si>
    <t>Sommersemester 2021 (Stichtag: 30.09.2021)</t>
  </si>
  <si>
    <t>2011/12</t>
  </si>
  <si>
    <t>Sommersemester 2007 (Stichtag: 30.09.2007)</t>
  </si>
  <si>
    <t>Wintersemester 2000 (Stichtag: 28.02.2001)</t>
  </si>
  <si>
    <t>Sommersemester 2015 (Stichtag: 30.09.2015)</t>
  </si>
  <si>
    <t>Sommersemester 2025 (Stichtag: 20.06.2025)</t>
  </si>
  <si>
    <t>Studienjahr 2001/02</t>
  </si>
  <si>
    <t>Wintersemester 2015 (Stichtag: 28.02.2016)</t>
  </si>
  <si>
    <t>Studienjahr 2018/19</t>
  </si>
  <si>
    <t>Customer</t>
  </si>
  <si>
    <t>-All Customer</t>
  </si>
  <si>
    <t>Default Alternate Row Member Format --&gt;</t>
  </si>
  <si>
    <t>2009/10</t>
  </si>
  <si>
    <t>2023/24</t>
  </si>
  <si>
    <t>ALLG Semester.Studienjahr (Langbezeichnung)</t>
  </si>
  <si>
    <t>Bundesland Universität</t>
  </si>
  <si>
    <t>Sommersemester 2009 (Stichtag: 30.09.2009)</t>
  </si>
  <si>
    <t>Studienjahr 2013/14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</si>
  <si>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</si>
  <si>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</si>
  <si>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</si>
  <si>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</si>
  <si>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</si>
  <si>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2023 (Stichtag: 28.02.2024)</t>
  </si>
  <si>
    <t>2005/06</t>
  </si>
  <si>
    <t>2017/18</t>
  </si>
  <si>
    <t>Sommersemester 2023 (Stichtag: 30.09.2023)</t>
  </si>
  <si>
    <t>Studierende Universitäten</t>
  </si>
  <si>
    <t>ord. Neuzugelassene (PN)</t>
  </si>
  <si>
    <t>Wintersemester 2002 (Stichtag: 28.02.2003)</t>
  </si>
  <si>
    <t>Sommersemester 2017 (Stichtag: 30.09.2017)</t>
  </si>
  <si>
    <t>Wintersemester 2017 (Stichtag: 28.02.2018)</t>
  </si>
  <si>
    <t>Sommersemester 2002 (Stichtag: 30.09.2002)</t>
  </si>
  <si>
    <t>Wintersemester 2019 (Stichtag: 28.02.2020)</t>
  </si>
  <si>
    <t>Studienjahr 2007/08</t>
  </si>
  <si>
    <t>&lt;-- writeable Slicer Member Format</t>
  </si>
  <si>
    <t>Slice Format 1</t>
  </si>
  <si>
    <t>&lt;-- Gesamtzeile</t>
  </si>
  <si>
    <t>3) Formatierung der Gesamtspalte und -zeile (siehe E25:E26)</t>
  </si>
  <si>
    <t>2000/01</t>
  </si>
  <si>
    <t>2012/13</t>
  </si>
  <si>
    <t>Ordentliche Neuzugelassene an Universitäten - Zeitreihe Studienjahr</t>
  </si>
  <si>
    <t>Sommersemester 2010 (Stichtag: 30.09.2010)</t>
  </si>
  <si>
    <t>Studienjahr 2002/03</t>
  </si>
  <si>
    <t>Studienjahr 2020/21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</si>
  <si>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</si>
  <si>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</si>
  <si>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</si>
  <si>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</si>
  <si>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</si>
  <si>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2024/25</t>
  </si>
  <si>
    <t>Wintersemester 2004 (Stichtag: 28.02.2005)</t>
  </si>
  <si>
    <t>Sommersemester 2004 (Stichtag: 30.09.2004)</t>
  </si>
  <si>
    <t>Sommersemester 2019 (Stichtag: 30.09.2019)</t>
  </si>
  <si>
    <t>Studienjahr 2014/15</t>
  </si>
  <si>
    <t>Display Formats For:</t>
  </si>
  <si>
    <t>Enabled?</t>
  </si>
  <si>
    <t>&lt;-- Gesamtspalte</t>
  </si>
  <si>
    <t>2006/07</t>
  </si>
  <si>
    <t>2018/19</t>
  </si>
  <si>
    <t>Datenprüfung und -aufbereitung: bmfwf, Abt. I/10</t>
  </si>
  <si>
    <t>Bundesland</t>
  </si>
  <si>
    <t>Wintersemester 2012 (Stichtag: 28.02.2013)</t>
  </si>
  <si>
    <t>Studienjahr 2008/09</t>
  </si>
  <si>
    <t>Sommersemester 2012 (Stichtag: 30.09.2012)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</si>
  <si>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</si>
  <si>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</si>
  <si>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</si>
  <si>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</si>
  <si>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</si>
  <si>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</si>
  <si>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</si>
  <si>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2001/02</t>
  </si>
  <si>
    <t>2013/14</t>
  </si>
  <si>
    <t>Sommersemester 2006 (Stichtag: 30.09.2006)</t>
  </si>
  <si>
    <t>Wintersemester 2020 (Stichtag: 28.02.2021)</t>
  </si>
  <si>
    <t>Wintersemester 2006 (Stichtag: 28.02.2007)</t>
  </si>
  <si>
    <t>Studienjahr 2003/04</t>
  </si>
  <si>
    <t>Studienjahr 2019/20</t>
  </si>
  <si>
    <t>Studienjahr 2021/22</t>
  </si>
  <si>
    <t>Sommersemester 2020 (Stichtag: 30.09.2020)</t>
  </si>
  <si>
    <t>Marital Status</t>
  </si>
  <si>
    <t>Default Writeable Member Format --&gt;</t>
  </si>
  <si>
    <t>Slice Format 2</t>
  </si>
  <si>
    <t>2007/08</t>
  </si>
  <si>
    <t>Quelle: Datenmeldungen der Universitäten auf Basis UHSBV zum jeweiligen Stichtag</t>
  </si>
  <si>
    <t>Sommersemester 2014 (Stichtag: 30.09.2014)</t>
  </si>
  <si>
    <t>Wintersemester 2014 (Stichtag: 28.02.2015)</t>
  </si>
  <si>
    <t>Studienjahr 2015/16</t>
  </si>
  <si>
    <t>Writeable Member</t>
  </si>
  <si>
    <t>2020/21</t>
  </si>
  <si>
    <t>Hinweis: Aufgrund der semesterweisen Einspielung von vorläufigen und endgültigen Daten kann im aktuellsten Studienjahr nur der Datenstand des (vorläufigen) Wintersemesters bzw. des endgültigen Wintersemesters und des vorläufigen Sommersemesters verfügbar sein.</t>
  </si>
  <si>
    <t>Geschlecht</t>
  </si>
  <si>
    <t>Sommersemester 2008 (Stichtag: 30.09.2008)</t>
  </si>
  <si>
    <t>Wintersemester 2022 (Stichtag: 28.02.2023)</t>
  </si>
  <si>
    <t>Studienjahr 2010/11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</si>
  <si>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</si>
  <si>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</si>
  <si>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</si>
  <si>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</si>
  <si>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</si>
  <si>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Sommersemester 2022 (Stichtag: 30.09.2022)</t>
  </si>
  <si>
    <t>Wintersemester 2008 (Stichtag: 28.02.2009)</t>
  </si>
  <si>
    <t>2002/03</t>
  </si>
  <si>
    <t>2014/15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</si>
</sst>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sz val="10"/>
      <color rgb="FF595959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b/>
      <sz val="8"/>
      <color indexed="23"/>
      <name val="Tahoma"/>
      <family val="2"/>
    </font>
    <font>
      <sz val="11"/>
      <color rgb="FF000000"/>
      <name val="Tahoma"/>
      <family val="2"/>
    </font>
    <font>
      <sz val="9"/>
      <name val="Tahoma"/>
      <family val="2"/>
    </font>
    <font>
      <b/>
      <sz val="11"/>
      <color rgb="FF000000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1499679555650502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0" applyFont="1" applyFill="1" applyBorder="1"/>
    <xf numFmtId="0" fontId="0" fillId="0" borderId="0" xfId="0" applyFill="1" applyAlignment="1"/>
    <xf numFmtId="0" fontId="3" fillId="0" borderId="1" xfId="0" quotePrefix="1" applyFont="1" applyFill="1" applyBorder="1" applyAlignment="1" applyProtection="1">
      <alignment horizontal="right"/>
    </xf>
    <xf numFmtId="3" fontId="4" fillId="0" borderId="0" xfId="0" applyNumberFormat="1" applyFont="1" applyFill="1" applyBorder="1"/>
    <xf numFmtId="0" fontId="3" fillId="0" borderId="1" xfId="0" applyFont="1" applyFill="1" applyBorder="1" applyAlignment="1" applyProtection="1">
      <alignment horizontal="right"/>
    </xf>
    <xf numFmtId="0" fontId="5" fillId="2" borderId="2" xfId="0" quotePrefix="1" applyFont="1" applyFill="1" applyBorder="1" applyAlignment="1" applyProtection="1"/>
    <xf numFmtId="0" fontId="6" fillId="0" borderId="0" xfId="0" applyFont="1"/>
    <xf numFmtId="0" fontId="7" fillId="0" borderId="0" xfId="0" quotePrefix="1" applyFont="1" applyFill="1" applyAlignment="1">
      <alignment horizontal="left" vertical="top" wrapText="1"/>
    </xf>
    <xf numFmtId="0" fontId="7" fillId="0" borderId="0" xfId="0" quotePrefix="1" applyFont="1" applyFill="1" applyAlignment="1">
      <alignment horizontal="left" vertical="top"/>
    </xf>
    <xf numFmtId="0" fontId="3" fillId="0" borderId="1" xfId="0" quotePrefix="1" applyFont="1" applyFill="1" applyBorder="1" applyAlignment="1" applyProtection="1">
      <alignment horizontal="center"/>
    </xf>
    <xf numFmtId="0" fontId="8" fillId="0" borderId="0" xfId="0" applyFont="1"/>
    <xf numFmtId="0" fontId="9" fillId="0" borderId="0" xfId="0" applyFont="1" applyFill="1" applyAlignment="1">
      <alignment vertical="center"/>
    </xf>
    <xf numFmtId="0" fontId="7" fillId="0" borderId="0" xfId="0" applyFont="1" applyFill="1" applyAlignment="1"/>
    <xf numFmtId="0" fontId="10" fillId="3" borderId="0" xfId="1" applyFont="1" applyFill="1" applyBorder="1" applyAlignment="1">
      <alignment horizontal="center"/>
    </xf>
    <xf numFmtId="0" fontId="11" fillId="0" borderId="0" xfId="0" applyFont="1" applyFill="1" applyAlignment="1">
      <alignment vertical="top"/>
    </xf>
    <xf numFmtId="164" fontId="3" fillId="4" borderId="1" xfId="0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0" fontId="7" fillId="0" borderId="0" xfId="0" applyFont="1" applyFill="1" applyAlignment="1">
      <alignment vertical="top"/>
    </xf>
    <xf numFmtId="164" fontId="3" fillId="4" borderId="1" xfId="0" quotePrefix="1" applyNumberFormat="1" applyFont="1" applyFill="1" applyBorder="1" applyAlignment="1" applyProtection="1">
      <alignment horizontal="center"/>
    </xf>
    <xf numFmtId="0" fontId="12" fillId="5" borderId="0" xfId="0" applyFont="1" applyFill="1" applyAlignment="1"/>
    <xf numFmtId="0" fontId="13" fillId="0" borderId="0" xfId="0" applyNumberFormat="1" applyFont="1" applyAlignment="1"/>
    <xf numFmtId="0" fontId="14" fillId="0" borderId="0" xfId="0" applyFont="1"/>
    <xf numFmtId="0" fontId="15" fillId="0" borderId="0" xfId="1" applyFont="1"/>
    <xf numFmtId="0" fontId="16" fillId="0" borderId="0" xfId="0" applyFont="1" applyFill="1" applyAlignment="1"/>
    <xf numFmtId="0" fontId="8" fillId="0" borderId="0" xfId="0" applyFont="1" applyAlignment="1">
      <alignment horizontal="right"/>
    </xf>
    <xf numFmtId="0" fontId="3" fillId="0" borderId="3" xfId="0" applyFont="1" applyBorder="1" applyAlignment="1" applyProtection="1">
      <alignment horizontal="right"/>
    </xf>
    <xf numFmtId="0" fontId="3" fillId="6" borderId="1" xfId="0" applyFont="1" applyFill="1" applyBorder="1" applyAlignment="1" applyProtection="1">
      <alignment horizontal="right"/>
    </xf>
    <xf numFmtId="0" fontId="13" fillId="0" borderId="0" xfId="0" applyFont="1"/>
    <xf numFmtId="0" fontId="15" fillId="5" borderId="0" xfId="1" applyFont="1" applyFill="1"/>
    <xf numFmtId="0" fontId="3" fillId="0" borderId="1" xfId="0" applyFont="1" applyFill="1" applyBorder="1" applyAlignment="1" applyProtection="1">
      <alignment vertical="center"/>
    </xf>
    <xf numFmtId="0" fontId="3" fillId="0" borderId="1" xfId="0" quotePrefix="1" applyFont="1" applyBorder="1" applyAlignment="1" applyProtection="1"/>
    <xf numFmtId="3" fontId="3" fillId="6" borderId="1" xfId="0" applyNumberFormat="1" applyFont="1" applyFill="1" applyBorder="1" applyAlignment="1" applyProtection="1">
      <alignment horizontal="right"/>
    </xf>
    <xf numFmtId="0" fontId="13" fillId="0" borderId="0" xfId="0" applyFont="1" applyAlignment="1">
      <alignment horizontal="center"/>
    </xf>
    <xf numFmtId="0" fontId="17" fillId="0" borderId="0" xfId="0" applyFont="1"/>
    <xf numFmtId="0" fontId="15" fillId="7" borderId="0" xfId="1" applyFont="1" applyFill="1"/>
    <xf numFmtId="0" fontId="13" fillId="0" borderId="0" xfId="0" applyNumberFormat="1" applyFont="1"/>
    <xf numFmtId="0" fontId="0" fillId="0" borderId="0" xfId="0" applyFont="1"/>
    <xf numFmtId="0" fontId="18" fillId="0" borderId="0" xfId="0" applyFont="1"/>
    <xf numFmtId="3" fontId="13" fillId="8" borderId="0" xfId="0" applyNumberFormat="1" applyFont="1" applyFill="1" applyAlignment="1"/>
    <xf numFmtId="0" fontId="17" fillId="0" borderId="4" xfId="0" applyFont="1" applyFill="1" applyBorder="1" applyAlignment="1">
      <alignment vertical="center"/>
    </xf>
    <xf numFmtId="0" fontId="16" fillId="0" borderId="0" xfId="0" applyFont="1"/>
    <xf numFmtId="0" fontId="13" fillId="0" borderId="0" xfId="0" applyNumberFormat="1" applyFont="1" applyFill="1" applyBorder="1" applyAlignment="1"/>
    <xf numFmtId="0" fontId="10" fillId="3" borderId="5" xfId="1" applyFont="1" applyFill="1" applyBorder="1" applyAlignment="1">
      <alignment horizontal="center"/>
    </xf>
    <xf numFmtId="0" fontId="3" fillId="0" borderId="1" xfId="0" quotePrefix="1" applyFont="1" applyFill="1" applyBorder="1" applyAlignment="1" applyProtection="1">
      <alignment vertical="center"/>
    </xf>
    <xf numFmtId="2" fontId="13" fillId="0" borderId="0" xfId="0" applyNumberFormat="1" applyFont="1"/>
    <xf numFmtId="0" fontId="3" fillId="9" borderId="6" xfId="0" applyFont="1" applyFill="1" applyBorder="1" applyAlignment="1" applyProtection="1">
      <alignment horizontal="right"/>
    </xf>
    <xf numFmtId="0" fontId="6" fillId="0" borderId="0" xfId="0" applyFont="1" applyFill="1" applyBorder="1" applyAlignment="1">
      <alignment vertical="center"/>
    </xf>
    <xf numFmtId="3" fontId="17" fillId="0" borderId="4" xfId="0" applyNumberFormat="1" applyFont="1" applyFill="1" applyBorder="1" applyAlignment="1"/>
    <xf numFmtId="0" fontId="7" fillId="0" borderId="0" xfId="0" quotePrefix="1" applyFont="1" applyFill="1" applyAlignment="1"/>
    <xf numFmtId="0" fontId="3" fillId="9" borderId="1" xfId="0" applyFont="1" applyFill="1" applyBorder="1" applyAlignment="1" applyProtection="1">
      <alignment horizontal="right"/>
    </xf>
    <xf numFmtId="0" fontId="17" fillId="0" borderId="4" xfId="0" quotePrefix="1" applyFont="1" applyFill="1" applyBorder="1" applyAlignment="1"/>
    <xf numFmtId="0" fontId="13" fillId="7" borderId="0" xfId="0" applyNumberFormat="1" applyFont="1" applyFill="1" applyAlignment="1"/>
    <xf numFmtId="0" fontId="0" fillId="0" borderId="0" xfId="0" applyFill="1" applyBorder="1" applyAlignment="1"/>
    <xf numFmtId="0" fontId="19" fillId="0" borderId="0" xfId="0" applyFont="1"/>
    <xf numFmtId="164" fontId="3" fillId="10" borderId="3" xfId="0" applyNumberFormat="1" applyFont="1" applyFill="1" applyBorder="1" applyAlignment="1" applyProtection="1">
      <alignment horizontal="center"/>
    </xf>
    <xf numFmtId="3" fontId="13" fillId="7" borderId="0" xfId="0" applyNumberFormat="1" applyFont="1" applyFill="1" applyAlignment="1"/>
    <xf numFmtId="0" fontId="0" fillId="0" borderId="0" xfId="0" applyFont="1" applyFill="1" applyAlignment="1"/>
    <xf numFmtId="0" fontId="3" fillId="0" borderId="3" xfId="0" applyFont="1" applyBorder="1" applyAlignment="1" applyProtection="1">
      <alignment horizontal="center"/>
    </xf>
    <xf numFmtId="0" fontId="13" fillId="0" borderId="0" xfId="0" applyFont="1" applyFill="1" applyBorder="1" applyAlignment="1">
      <alignment vertical="center"/>
    </xf>
    <xf numFmtId="0" fontId="13" fillId="0" borderId="0" xfId="0" quotePrefix="1" applyFont="1" applyFill="1"/>
    <xf numFmtId="0" fontId="7" fillId="0" borderId="0" xfId="0" quotePrefix="1" applyFont="1" applyFill="1" applyAlignment="1">
      <alignment vertical="top"/>
    </xf>
    <xf numFmtId="3" fontId="13" fillId="0" borderId="0" xfId="0" applyNumberFormat="1" applyFont="1" applyAlignment="1"/>
    <xf numFmtId="164" fontId="3" fillId="10" borderId="3" xfId="0" applyNumberFormat="1" applyFont="1" applyFill="1" applyBorder="1" applyAlignment="1" applyProtection="1">
      <alignment horizontal="right"/>
    </xf>
    <xf numFmtId="0" fontId="13" fillId="0" borderId="0" xfId="0" quotePrefix="1" applyFont="1"/>
    <xf numFmtId="0" fontId="8" fillId="0" borderId="0" xfId="0" applyFont="1" applyAlignment="1">
      <alignment horizontal="center"/>
    </xf>
    <xf numFmtId="0" fontId="17" fillId="0" borderId="4" xfId="0" quotePrefix="1" applyFont="1" applyFill="1" applyBorder="1" applyAlignment="1">
      <alignment horizontal="right"/>
    </xf>
    <xf numFmtId="165" fontId="13" fillId="0" borderId="0" xfId="0" applyNumberFormat="1" applyFont="1"/>
    <xf numFmtId="3" fontId="6" fillId="0" borderId="0" xfId="0" applyNumberFormat="1" applyFont="1" applyFill="1" applyAlignment="1"/>
    <xf numFmtId="3" fontId="13" fillId="11" borderId="0" xfId="0" applyNumberFormat="1" applyFont="1" applyFill="1" applyAlignment="1"/>
    <xf numFmtId="0" fontId="13" fillId="7" borderId="0" xfId="0" applyFont="1" applyFill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Tabelle1!$B$10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Tabelle1!$A$12:$A$30</c:f>
              <c:strCache/>
            </c:strRef>
          </c:cat>
          <c:val>
            <c:numRef>
              <c:f>Tabelle1!$B$12:$B$30</c:f>
              <c:numCache/>
            </c:numRef>
          </c:val>
          <c:smooth val="0"/>
        </c:ser>
        <c:ser>
          <c:idx val="1"/>
          <c:order val="1"/>
          <c:tx>
            <c:strRef>
              <c:f>Tabelle1!$C$10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Tabelle1!$A$12:$A$30</c:f>
              <c:strCache/>
            </c:strRef>
          </c:cat>
          <c:val>
            <c:numRef>
              <c:f>Tabelle1!$C$12:$C$30</c:f>
              <c:numCache/>
            </c:numRef>
          </c:val>
          <c:smooth val="0"/>
        </c:ser>
        <c:ser>
          <c:idx val="2"/>
          <c:order val="2"/>
          <c:tx>
            <c:strRef>
              <c:f>Tabelle1!$D$10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Tabelle1!$A$12:$A$30</c:f>
              <c:strCache/>
            </c:strRef>
          </c:cat>
          <c:val>
            <c:numRef>
              <c:f>Tabelle1!$D$12:$D$30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Tab!$C$15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0</xdr:colOff>
      <xdr:row>15</xdr:row>
      <xdr:rowOff>0</xdr:rowOff>
    </xdr:from>
    <xdr:to>
      <xdr:col>21</xdr:col>
      <xdr:colOff>0</xdr:colOff>
      <xdr:row>42</xdr:row>
      <xdr:rowOff>6350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791472</xdr:colOff>
      <xdr:row>8</xdr:row>
      <xdr:rowOff>0</xdr:rowOff>
    </xdr:to>
    <xdr:pic>
      <xdr:nvPicPr>
        <xdr:cNvPr id="23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520825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189865</xdr:rowOff>
    </xdr:from>
    <xdr:to>
      <xdr:col>2</xdr:col>
      <xdr:colOff>791472</xdr:colOff>
      <xdr:row>8</xdr:row>
      <xdr:rowOff>189865</xdr:rowOff>
    </xdr:to>
    <xdr:pic>
      <xdr:nvPicPr>
        <xdr:cNvPr id="24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710690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189865</xdr:rowOff>
    </xdr:from>
    <xdr:to>
      <xdr:col>2</xdr:col>
      <xdr:colOff>791472</xdr:colOff>
      <xdr:row>10</xdr:row>
      <xdr:rowOff>0</xdr:rowOff>
    </xdr:to>
    <xdr:pic>
      <xdr:nvPicPr>
        <xdr:cNvPr id="25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900555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791472</xdr:colOff>
      <xdr:row>10</xdr:row>
      <xdr:rowOff>189865</xdr:rowOff>
    </xdr:to>
    <xdr:pic>
      <xdr:nvPicPr>
        <xdr:cNvPr id="26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090420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38"/>
  <sheetViews>
    <sheetView tabSelected="1" workbookViewId="0"/>
  </sheetViews>
  <sheetFormatPr defaultColWidth="11.42578125" defaultRowHeight="14.95"/>
  <cols>
    <col min="1" max="1" width="40.7109375" style="37" customWidth="1"/>
    <col min="2" max="2" width="39.85546875" customWidth="1"/>
    <col min="3" max="24" width="11.7109375" customWidth="1"/>
    <col min="25" max="25" width="7.28515625" customWidth="1"/>
    <col min="26" max="26" width="11.28515625" customWidth="1"/>
    <col min="27" max="27" width="17.140625" customWidth="1"/>
    <col min="28" max="28" width="6.7109375" customWidth="1"/>
    <col min="29" max="29" width="7.140625" customWidth="1"/>
    <col min="30" max="30" width="17.140625" customWidth="1"/>
    <col min="31" max="31" width="6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>
      <c s="12" t="s">
        <v>99</v>
      </c>
      <c s="12"/>
      <c s="12"/>
      <c s="12"/>
      <c s="12"/>
      <c s="2"/>
      <c s="2"/>
    </row>
    <row s="41" customFormat="1">
      <c s="15" t="s">
        <v>113</v>
      </c>
      <c s="15"/>
      <c s="15"/>
      <c s="15"/>
      <c s="15"/>
      <c s="24"/>
      <c s="24"/>
    </row>
    <row s="41" customFormat="1">
      <c s="9" t="s">
        <v>26</v>
      </c>
      <c s="9"/>
      <c s="9"/>
      <c s="9"/>
      <c s="9"/>
      <c s="9"/>
      <c s="9"/>
    </row>
    <row ht="28.5" customHeight="1" s="41" customFormat="1">
      <c s="8" t="s">
        <v>163</v>
      </c>
      <c s="8"/>
      <c s="8"/>
      <c s="8"/>
      <c s="8"/>
      <c s="8"/>
      <c s="8"/>
    </row>
    <row>
      <c s="49" t="s">
        <v>157</v>
      </c>
      <c s="13"/>
      <c s="13"/>
      <c s="13"/>
      <c s="13"/>
      <c s="13"/>
      <c s="2"/>
    </row>
    <row>
      <c s="61" t="s">
        <v>132</v>
      </c>
      <c s="18"/>
      <c s="18"/>
      <c s="18"/>
      <c s="18"/>
      <c s="2"/>
      <c s="2"/>
    </row>
    <row ht="16.5" customHeight="1">
      <c s="57"/>
      <c s="2"/>
      <c s="2"/>
      <c s="2"/>
      <c s="2"/>
      <c s="2"/>
      <c s="2"/>
    </row>
    <row>
      <c s="6" t="s">
        <v>0</v>
      </c>
      <c s="31" t="s">
        <v>36</v>
      </c>
      <c s="2" t="s">
        <v>44</v>
      </c>
      <c s="2"/>
      <c s="2"/>
      <c s="2"/>
      <c s="2"/>
    </row>
    <row>
      <c s="6" t="s">
        <v>15</v>
      </c>
      <c s="31" t="s">
        <v>36</v>
      </c>
      <c s="2" t="s">
        <v>44</v>
      </c>
      <c s="2"/>
      <c s="2"/>
      <c s="2"/>
      <c s="2"/>
    </row>
    <row>
      <c s="6" t="s">
        <v>133</v>
      </c>
      <c s="31" t="s">
        <v>36</v>
      </c>
      <c s="2" t="s">
        <v>44</v>
      </c>
      <c s="2"/>
      <c s="2"/>
      <c s="2"/>
      <c s="2"/>
    </row>
    <row>
      <c s="6" t="s">
        <v>87</v>
      </c>
      <c s="31" t="s">
        <v>36</v>
      </c>
      <c s="53" t="s">
        <v>44</v>
      </c>
      <c s="2"/>
      <c s="2"/>
      <c s="2"/>
      <c s="2"/>
    </row>
    <row>
      <c/>
      <c r="C12" s="2"/>
      <c s="2"/>
      <c s="2"/>
      <c s="2"/>
      <c s="2"/>
    </row>
    <row>
      <c/>
      <c r="C13" s="2"/>
      <c s="2"/>
      <c s="2"/>
      <c s="2"/>
      <c s="2"/>
    </row>
    <row>
      <c/>
      <c s="2"/>
      <c s="3" t="s">
        <v>100</v>
      </c>
      <c s="3"/>
      <c s="3"/>
      <c s="3"/>
      <c s="3"/>
    </row>
    <row ht="15" customHeight="1">
      <c s="2"/>
      <c r="C15" s="10" t="s">
        <v>16</v>
      </c>
      <c s="10"/>
      <c s="10"/>
      <c s="19" t="s">
        <v>58</v>
      </c>
      <c s="19"/>
    </row>
    <row ht="15" customHeight="1">
      <c s="6" t="s">
        <v>86</v>
      </c>
      <c s="6" t="s">
        <v>1</v>
      </c>
      <c s="5" t="s">
        <v>2</v>
      </c>
      <c s="5" t="s">
        <v>59</v>
      </c>
      <c s="27" t="s">
        <v>36</v>
      </c>
      <c s="5" t="s">
        <v>2</v>
      </c>
      <c s="5" t="s">
        <v>59</v>
      </c>
    </row>
    <row>
      <c s="44" t="s">
        <v>70</v>
      </c>
      <c s="30" t="s">
        <v>36</v>
      </c>
      <c s="17">
        <v>33365</v>
      </c>
      <c s="17">
        <v>26239</v>
      </c>
      <c s="32">
        <v>59604</v>
      </c>
      <c s="16">
        <v>0.55977786725723111</v>
      </c>
      <c s="16">
        <v>0.44022213274276895</v>
      </c>
    </row>
    <row>
      <c s="44"/>
      <c s="30" t="s">
        <v>77</v>
      </c>
      <c s="17">
        <v>5806</v>
      </c>
      <c s="17">
        <v>5078</v>
      </c>
      <c s="32">
        <v>10884</v>
      </c>
      <c s="16">
        <v>0.53344358691657479</v>
      </c>
      <c s="16">
        <v>0.46655641308342521</v>
      </c>
    </row>
    <row>
      <c s="44"/>
      <c s="30" t="s">
        <v>25</v>
      </c>
      <c s="17">
        <v>27559</v>
      </c>
      <c s="17">
        <v>21161</v>
      </c>
      <c s="32">
        <v>48720</v>
      </c>
      <c s="16">
        <v>0.5656609195402299</v>
      </c>
      <c s="16">
        <v>0.4343390804597701</v>
      </c>
    </row>
    <row>
      <c s="44" t="s">
        <v>38</v>
      </c>
      <c s="30" t="s">
        <v>36</v>
      </c>
      <c s="17">
        <v>31901</v>
      </c>
      <c s="17">
        <v>24805</v>
      </c>
      <c s="32">
        <v>56706</v>
      </c>
      <c s="16">
        <v>0.56256833492046698</v>
      </c>
      <c s="16">
        <v>0.43743166507953302</v>
      </c>
    </row>
    <row>
      <c s="44"/>
      <c s="30" t="s">
        <v>17</v>
      </c>
      <c s="17">
        <v>5487</v>
      </c>
      <c s="17">
        <v>4630</v>
      </c>
      <c s="32">
        <v>10117</v>
      </c>
      <c s="16">
        <v>0.54235445290105766</v>
      </c>
      <c s="16">
        <v>0.4576455470989424</v>
      </c>
    </row>
    <row>
      <c s="44"/>
      <c s="30" t="s">
        <v>95</v>
      </c>
      <c s="17">
        <v>26414</v>
      </c>
      <c s="17">
        <v>20175</v>
      </c>
      <c s="32">
        <v>46589</v>
      </c>
      <c s="16">
        <v>0.56695786559059003</v>
      </c>
      <c s="16">
        <v>0.43304213440940997</v>
      </c>
    </row>
    <row>
      <c s="44" t="s">
        <v>7</v>
      </c>
      <c s="30" t="s">
        <v>36</v>
      </c>
      <c s="17">
        <v>30115</v>
      </c>
      <c s="17">
        <v>23336</v>
      </c>
      <c s="32">
        <v>53451</v>
      </c>
      <c s="16">
        <v>0.56341321958429214</v>
      </c>
      <c s="16">
        <v>0.43658678041570786</v>
      </c>
    </row>
    <row>
      <c s="44"/>
      <c s="30" t="s">
        <v>98</v>
      </c>
      <c s="17">
        <v>5027</v>
      </c>
      <c s="17">
        <v>4129</v>
      </c>
      <c s="32">
        <v>9156</v>
      </c>
      <c s="16">
        <v>0.54903888160768899</v>
      </c>
      <c s="16">
        <v>0.45096111839231107</v>
      </c>
    </row>
    <row>
      <c s="44"/>
      <c s="30" t="s">
        <v>166</v>
      </c>
      <c s="17">
        <v>25088</v>
      </c>
      <c s="17">
        <v>19207</v>
      </c>
      <c s="32">
        <v>44295</v>
      </c>
      <c s="16">
        <v>0.56638446777288631</v>
      </c>
      <c s="16">
        <v>0.43361553222711369</v>
      </c>
    </row>
    <row>
      <c s="44" t="s">
        <v>151</v>
      </c>
      <c s="30" t="s">
        <v>36</v>
      </c>
      <c s="17">
        <v>30399</v>
      </c>
      <c s="17">
        <v>22958</v>
      </c>
      <c s="32">
        <v>53357</v>
      </c>
      <c s="16">
        <v>0.56972843300785281</v>
      </c>
      <c s="16">
        <v>0.43027156699214725</v>
      </c>
    </row>
    <row>
      <c s="44"/>
      <c s="30" t="s">
        <v>173</v>
      </c>
      <c s="17">
        <v>4651</v>
      </c>
      <c s="17">
        <v>3817</v>
      </c>
      <c s="32">
        <v>8468</v>
      </c>
      <c s="16">
        <v>0.54924421350968355</v>
      </c>
      <c s="16">
        <v>0.4507557864903165</v>
      </c>
    </row>
    <row>
      <c s="44"/>
      <c s="30" t="s">
        <v>67</v>
      </c>
      <c s="17">
        <v>25748</v>
      </c>
      <c s="17">
        <v>19141</v>
      </c>
      <c s="32">
        <v>44889</v>
      </c>
      <c s="16">
        <v>0.5735926396221791</v>
      </c>
      <c s="16">
        <v>0.42640736037782084</v>
      </c>
    </row>
    <row>
      <c s="44" t="s">
        <v>116</v>
      </c>
      <c s="30" t="s">
        <v>36</v>
      </c>
      <c s="17">
        <v>32324</v>
      </c>
      <c s="17">
        <v>24168</v>
      </c>
      <c s="32">
        <v>56492</v>
      </c>
      <c s="16">
        <v>0.57218721234865111</v>
      </c>
      <c s="16">
        <v>0.42781278765134884</v>
      </c>
    </row>
    <row>
      <c s="44"/>
      <c s="30" t="s">
        <v>72</v>
      </c>
      <c s="17">
        <v>4502</v>
      </c>
      <c s="17">
        <v>3686</v>
      </c>
      <c s="32">
        <v>8188</v>
      </c>
      <c s="16">
        <v>0.5498290180752321</v>
      </c>
      <c s="16">
        <v>0.45017098192476795</v>
      </c>
    </row>
    <row>
      <c s="44"/>
      <c s="30" t="s">
        <v>147</v>
      </c>
      <c s="17">
        <v>27822</v>
      </c>
      <c s="17">
        <v>20482</v>
      </c>
      <c s="32">
        <v>48304</v>
      </c>
      <c s="16">
        <v>0.57597714474991724</v>
      </c>
      <c s="16">
        <v>0.42402285525008282</v>
      </c>
    </row>
    <row>
      <c s="44" t="s">
        <v>150</v>
      </c>
      <c s="30" t="s">
        <v>36</v>
      </c>
      <c s="17">
        <v>30224</v>
      </c>
      <c s="17">
        <v>22939</v>
      </c>
      <c s="32">
        <v>53163</v>
      </c>
      <c s="16">
        <v>0.56851569700731708</v>
      </c>
      <c s="16">
        <v>0.43148430299268287</v>
      </c>
    </row>
    <row>
      <c s="44"/>
      <c s="30" t="s">
        <v>152</v>
      </c>
      <c s="17">
        <v>4508</v>
      </c>
      <c s="17">
        <v>3675</v>
      </c>
      <c s="32">
        <v>8183</v>
      </c>
      <c s="16">
        <v>0.55089820359281438</v>
      </c>
      <c s="16">
        <v>0.44910179640718562</v>
      </c>
    </row>
    <row>
      <c s="44"/>
      <c s="30" t="s">
        <v>105</v>
      </c>
      <c s="17">
        <v>25716</v>
      </c>
      <c s="17">
        <v>19264</v>
      </c>
      <c s="32">
        <v>44980</v>
      </c>
      <c s="16">
        <v>0.57172076478434863</v>
      </c>
      <c s="16">
        <v>0.42827923521565142</v>
      </c>
    </row>
    <row>
      <c s="44" t="s">
        <v>80</v>
      </c>
      <c s="30" t="s">
        <v>36</v>
      </c>
      <c s="17">
        <v>31313</v>
      </c>
      <c s="17">
        <v>23758</v>
      </c>
      <c s="32">
        <v>55071</v>
      </c>
      <c s="16">
        <v>0.56859327050534769</v>
      </c>
      <c s="16">
        <v>0.43140672949465236</v>
      </c>
    </row>
    <row>
      <c s="44"/>
      <c s="30" t="s">
        <v>125</v>
      </c>
      <c s="17">
        <v>5251</v>
      </c>
      <c s="17">
        <v>4196</v>
      </c>
      <c s="32">
        <v>9447</v>
      </c>
      <c s="16">
        <v>0.55583783211601567</v>
      </c>
      <c s="16">
        <v>0.44416216788398433</v>
      </c>
    </row>
    <row>
      <c s="44"/>
      <c s="30" t="s">
        <v>28</v>
      </c>
      <c s="17">
        <v>26062</v>
      </c>
      <c s="17">
        <v>19562</v>
      </c>
      <c s="32">
        <v>45624</v>
      </c>
      <c s="16">
        <v>0.57123443801507978</v>
      </c>
      <c s="16">
        <v>0.42876556198492022</v>
      </c>
    </row>
    <row>
      <c s="44" t="s">
        <v>47</v>
      </c>
      <c s="30" t="s">
        <v>36</v>
      </c>
      <c s="17">
        <v>31928</v>
      </c>
      <c s="17">
        <v>24717</v>
      </c>
      <c s="32">
        <v>56645</v>
      </c>
      <c s="16">
        <v>0.56365080766175302</v>
      </c>
      <c s="16">
        <v>0.43634919233824698</v>
      </c>
    </row>
    <row>
      <c s="44"/>
      <c s="30" t="s">
        <v>27</v>
      </c>
      <c s="17">
        <v>5162</v>
      </c>
      <c s="17">
        <v>4194</v>
      </c>
      <c s="32">
        <v>9356</v>
      </c>
      <c s="16">
        <v>0.55173150919196234</v>
      </c>
      <c s="16">
        <v>0.4482684908080376</v>
      </c>
    </row>
    <row>
      <c s="44"/>
      <c s="30" t="s">
        <v>103</v>
      </c>
      <c s="17">
        <v>26766</v>
      </c>
      <c s="17">
        <v>20523</v>
      </c>
      <c s="32">
        <v>47289</v>
      </c>
      <c s="16">
        <v>0.56600900843748014</v>
      </c>
      <c s="16">
        <v>0.4339909915625198</v>
      </c>
    </row>
    <row>
      <c s="44" t="s">
        <v>24</v>
      </c>
      <c s="30" t="s">
        <v>36</v>
      </c>
      <c s="17">
        <v>32387</v>
      </c>
      <c s="17">
        <v>25213</v>
      </c>
      <c s="32">
        <v>57600</v>
      </c>
      <c s="16">
        <v>0.56227430555555558</v>
      </c>
      <c s="16">
        <v>0.43772569444444442</v>
      </c>
    </row>
    <row>
      <c s="44"/>
      <c s="30" t="s">
        <v>102</v>
      </c>
      <c s="17">
        <v>5175</v>
      </c>
      <c s="17">
        <v>4160</v>
      </c>
      <c s="32">
        <v>9335</v>
      </c>
      <c s="16">
        <v>0.55436529191215855</v>
      </c>
      <c s="16">
        <v>0.44563470808784145</v>
      </c>
    </row>
    <row>
      <c s="44"/>
      <c s="30" t="s">
        <v>4</v>
      </c>
      <c s="17">
        <v>27212</v>
      </c>
      <c s="17">
        <v>21053</v>
      </c>
      <c s="32">
        <v>48265</v>
      </c>
      <c s="16">
        <v>0.56380399875686316</v>
      </c>
      <c s="16">
        <v>0.43619600124313684</v>
      </c>
    </row>
    <row>
      <c s="44" t="s">
        <v>160</v>
      </c>
      <c s="30" t="s">
        <v>36</v>
      </c>
      <c s="17">
        <v>30858</v>
      </c>
      <c s="17">
        <v>24917</v>
      </c>
      <c s="32">
        <v>55775</v>
      </c>
      <c s="16">
        <v>0.55325862841774986</v>
      </c>
      <c s="16">
        <v>0.44674137158225014</v>
      </c>
    </row>
    <row>
      <c s="44"/>
      <c s="30" t="s">
        <v>3</v>
      </c>
      <c s="17">
        <v>4858</v>
      </c>
      <c s="17">
        <v>4602</v>
      </c>
      <c s="32">
        <v>9460</v>
      </c>
      <c s="16">
        <v>0.51353065539112053</v>
      </c>
      <c s="16">
        <v>0.48646934460887947</v>
      </c>
    </row>
    <row>
      <c s="44"/>
      <c s="30" t="s">
        <v>79</v>
      </c>
      <c s="17">
        <v>26000</v>
      </c>
      <c s="17">
        <v>20315</v>
      </c>
      <c s="32">
        <v>46315</v>
      </c>
      <c s="16">
        <v>0.56137320522508904</v>
      </c>
      <c s="16">
        <v>0.43862679477491096</v>
      </c>
    </row>
    <row>
      <c s="44" t="s">
        <v>126</v>
      </c>
      <c s="30" t="s">
        <v>36</v>
      </c>
      <c s="17">
        <v>30657</v>
      </c>
      <c s="17">
        <v>24688</v>
      </c>
      <c s="32">
        <v>55345</v>
      </c>
      <c s="16">
        <v>0.55392537717951029</v>
      </c>
      <c s="16">
        <v>0.44607462282048965</v>
      </c>
    </row>
    <row>
      <c s="44"/>
      <c s="30" t="s">
        <v>76</v>
      </c>
      <c s="17">
        <v>4885</v>
      </c>
      <c s="17">
        <v>4631</v>
      </c>
      <c s="32">
        <v>9516</v>
      </c>
      <c s="16">
        <v>0.51334594367381248</v>
      </c>
      <c s="16">
        <v>0.48665405632618747</v>
      </c>
    </row>
    <row>
      <c s="44"/>
      <c s="30" t="s">
        <v>159</v>
      </c>
      <c s="17">
        <v>25772</v>
      </c>
      <c s="17">
        <v>20057</v>
      </c>
      <c s="32">
        <v>45829</v>
      </c>
      <c s="16">
        <v>0.56235134958214228</v>
      </c>
      <c s="16">
        <v>0.43764865041785767</v>
      </c>
    </row>
    <row>
      <c s="44" t="s">
        <v>89</v>
      </c>
      <c s="30" t="s">
        <v>36</v>
      </c>
      <c s="17">
        <v>30085</v>
      </c>
      <c s="17">
        <v>23597</v>
      </c>
      <c s="32">
        <v>53682</v>
      </c>
      <c s="16">
        <v>0.56042993927200924</v>
      </c>
      <c s="16">
        <v>0.43957006072799076</v>
      </c>
    </row>
    <row>
      <c s="44"/>
      <c s="30" t="s">
        <v>158</v>
      </c>
      <c s="17">
        <v>4917</v>
      </c>
      <c s="17">
        <v>4597</v>
      </c>
      <c s="32">
        <v>9514</v>
      </c>
      <c s="16">
        <v>0.51681732184149676</v>
      </c>
      <c s="16">
        <v>0.48318267815850324</v>
      </c>
    </row>
    <row>
      <c s="44"/>
      <c s="30" t="s">
        <v>60</v>
      </c>
      <c s="17">
        <v>25168</v>
      </c>
      <c s="17">
        <v>19000</v>
      </c>
      <c s="32">
        <v>44168</v>
      </c>
      <c s="16">
        <v>0.5698243071907263</v>
      </c>
      <c s="16">
        <v>0.4301756928092737</v>
      </c>
    </row>
    <row>
      <c s="44" t="s">
        <v>61</v>
      </c>
      <c s="30" t="s">
        <v>36</v>
      </c>
      <c s="17">
        <v>31196</v>
      </c>
      <c s="17">
        <v>24876</v>
      </c>
      <c s="32">
        <v>56072</v>
      </c>
      <c s="16">
        <v>0.55635611356826942</v>
      </c>
      <c s="16">
        <v>0.44364388643173064</v>
      </c>
    </row>
    <row>
      <c s="44"/>
      <c s="30" t="s">
        <v>65</v>
      </c>
      <c s="17">
        <v>5364</v>
      </c>
      <c s="17">
        <v>5075</v>
      </c>
      <c s="32">
        <v>10439</v>
      </c>
      <c s="16">
        <v>0.51384232206150016</v>
      </c>
      <c s="16">
        <v>0.48615767793849984</v>
      </c>
    </row>
    <row>
      <c s="44"/>
      <c s="30" t="s">
        <v>134</v>
      </c>
      <c s="17">
        <v>25832</v>
      </c>
      <c s="17">
        <v>19801</v>
      </c>
      <c s="32">
        <v>45633</v>
      </c>
      <c s="16">
        <v>0.56608156378059737</v>
      </c>
      <c s="16">
        <v>0.43391843621940263</v>
      </c>
    </row>
    <row>
      <c s="44" t="s">
        <v>32</v>
      </c>
      <c s="30" t="s">
        <v>36</v>
      </c>
      <c s="17">
        <v>30434</v>
      </c>
      <c s="17">
        <v>24903</v>
      </c>
      <c s="32">
        <v>55337</v>
      </c>
      <c s="16">
        <v>0.54997560402623924</v>
      </c>
      <c s="16">
        <v>0.45002439597376076</v>
      </c>
    </row>
    <row>
      <c s="44"/>
      <c s="30" t="s">
        <v>136</v>
      </c>
      <c s="17">
        <v>5299</v>
      </c>
      <c s="17">
        <v>5153</v>
      </c>
      <c s="32">
        <v>10452</v>
      </c>
      <c s="16">
        <v>0.50698430922311521</v>
      </c>
      <c s="16">
        <v>0.49301569077688479</v>
      </c>
    </row>
    <row>
      <c s="44"/>
      <c s="30" t="s">
        <v>39</v>
      </c>
      <c s="17">
        <v>25135</v>
      </c>
      <c s="17">
        <v>19750</v>
      </c>
      <c s="32">
        <v>44885</v>
      </c>
      <c s="16">
        <v>0.55998663250529135</v>
      </c>
      <c s="16">
        <v>0.44001336749470871</v>
      </c>
    </row>
    <row>
      <c s="44" t="s">
        <v>167</v>
      </c>
      <c s="30" t="s">
        <v>36</v>
      </c>
      <c s="17">
        <v>31087</v>
      </c>
      <c s="17">
        <v>24676</v>
      </c>
      <c s="32">
        <v>55763</v>
      </c>
      <c s="16">
        <v>0.55748435342431357</v>
      </c>
      <c s="16">
        <v>0.44251564657568637</v>
      </c>
    </row>
    <row>
      <c s="44"/>
      <c s="30" t="s">
        <v>42</v>
      </c>
      <c s="17">
        <v>5259</v>
      </c>
      <c s="17">
        <v>5399</v>
      </c>
      <c s="32">
        <v>10658</v>
      </c>
      <c s="16">
        <v>0.49343216363295178</v>
      </c>
      <c s="16">
        <v>0.50656783636704827</v>
      </c>
    </row>
    <row>
      <c s="44"/>
      <c s="30" t="s">
        <v>117</v>
      </c>
      <c s="17">
        <v>25828</v>
      </c>
      <c s="17">
        <v>19277</v>
      </c>
      <c s="32">
        <v>45105</v>
      </c>
      <c s="16">
        <v>0.57261944352067395</v>
      </c>
      <c s="16">
        <v>0.42738055647932599</v>
      </c>
    </row>
    <row>
      <c s="44" t="s">
        <v>31</v>
      </c>
      <c s="30" t="s">
        <v>36</v>
      </c>
      <c s="17">
        <v>31545</v>
      </c>
      <c s="17">
        <v>24746</v>
      </c>
      <c s="32">
        <v>56291</v>
      </c>
      <c s="16">
        <v>0.56039153683537335</v>
      </c>
      <c s="16">
        <v>0.43960846316462665</v>
      </c>
    </row>
    <row>
      <c s="44"/>
      <c s="30" t="s">
        <v>114</v>
      </c>
      <c s="17">
        <v>5192</v>
      </c>
      <c s="17">
        <v>5040</v>
      </c>
      <c s="32">
        <v>10232</v>
      </c>
      <c s="16">
        <v>0.50742767787333853</v>
      </c>
      <c s="16">
        <v>0.49257232212666147</v>
      </c>
    </row>
    <row>
      <c s="44"/>
      <c s="30" t="s">
        <v>71</v>
      </c>
      <c s="17">
        <v>26353</v>
      </c>
      <c s="17">
        <v>19706</v>
      </c>
      <c s="32">
        <v>46059</v>
      </c>
      <c s="16">
        <v>0.57215745022688291</v>
      </c>
      <c s="16">
        <v>0.42784254977311709</v>
      </c>
    </row>
    <row>
      <c s="44" t="s">
        <v>135</v>
      </c>
      <c s="30" t="s">
        <v>36</v>
      </c>
      <c s="17">
        <v>27867</v>
      </c>
      <c s="17">
        <v>21919</v>
      </c>
      <c s="32">
        <v>49786</v>
      </c>
      <c s="16">
        <v>0.55973566866187285</v>
      </c>
      <c s="16">
        <v>0.4402643313381272</v>
      </c>
    </row>
    <row>
      <c s="44"/>
      <c s="30" t="s">
        <v>88</v>
      </c>
      <c s="17">
        <v>5553</v>
      </c>
      <c s="17">
        <v>5440</v>
      </c>
      <c s="32">
        <v>10993</v>
      </c>
      <c s="16">
        <v>0.50513963431274445</v>
      </c>
      <c s="16">
        <v>0.4948603656872555</v>
      </c>
    </row>
    <row>
      <c s="44"/>
      <c s="30" t="s">
        <v>174</v>
      </c>
      <c s="17">
        <v>22314</v>
      </c>
      <c s="17">
        <v>16479</v>
      </c>
      <c s="32">
        <v>38793</v>
      </c>
      <c s="16">
        <v>0.5752068672183126</v>
      </c>
      <c s="16">
        <v>0.4247931327816874</v>
      </c>
    </row>
    <row>
      <c s="44" t="s">
        <v>106</v>
      </c>
      <c s="30" t="s">
        <v>36</v>
      </c>
      <c s="17">
        <v>25817</v>
      </c>
      <c s="17">
        <v>20135</v>
      </c>
      <c s="32">
        <v>45952</v>
      </c>
      <c s="16">
        <v>0.56182538300835649</v>
      </c>
      <c s="16">
        <v>0.43817461699164345</v>
      </c>
    </row>
    <row>
      <c s="44"/>
      <c s="30" t="s">
        <v>165</v>
      </c>
      <c s="17">
        <v>4178</v>
      </c>
      <c s="17">
        <v>4133</v>
      </c>
      <c s="32">
        <v>8311</v>
      </c>
      <c s="16">
        <v>0.50270725544459149</v>
      </c>
      <c s="16">
        <v>0.49729274455540851</v>
      </c>
    </row>
    <row>
      <c s="44"/>
      <c s="30" t="s">
        <v>69</v>
      </c>
      <c s="17">
        <v>21639</v>
      </c>
      <c s="17">
        <v>16002</v>
      </c>
      <c s="32">
        <v>37641</v>
      </c>
      <c s="16">
        <v>0.57487845700167373</v>
      </c>
      <c s="16">
        <v>0.42512154299832627</v>
      </c>
    </row>
    <row>
      <c s="44" t="s">
        <v>68</v>
      </c>
      <c s="30" t="s">
        <v>36</v>
      </c>
      <c s="17">
        <v>24693</v>
      </c>
      <c s="17">
        <v>19995</v>
      </c>
      <c s="32">
        <v>44688</v>
      </c>
      <c s="16">
        <v>0.55256444683136408</v>
      </c>
      <c s="16">
        <v>0.44743555316863587</v>
      </c>
    </row>
    <row>
      <c s="44"/>
      <c s="30" t="s">
        <v>74</v>
      </c>
      <c s="17">
        <v>3911</v>
      </c>
      <c s="17">
        <v>4320</v>
      </c>
      <c s="32">
        <v>8231</v>
      </c>
      <c s="16">
        <v>0.47515490219900375</v>
      </c>
      <c s="16">
        <v>0.5248450978009962</v>
      </c>
    </row>
    <row>
      <c s="44"/>
      <c s="30" t="s">
        <v>148</v>
      </c>
      <c s="17">
        <v>20782</v>
      </c>
      <c s="17">
        <v>15675</v>
      </c>
      <c s="32">
        <v>36457</v>
      </c>
      <c s="16">
        <v>0.57004141865759661</v>
      </c>
      <c s="16">
        <v>0.42995858134240339</v>
      </c>
    </row>
    <row>
      <c s="44" t="s">
        <v>37</v>
      </c>
      <c s="30" t="s">
        <v>36</v>
      </c>
      <c s="17">
        <v>24708</v>
      </c>
      <c s="17">
        <v>19601</v>
      </c>
      <c s="32">
        <v>44309</v>
      </c>
      <c s="16">
        <v>0.55762937552190295</v>
      </c>
      <c s="16">
        <v>0.442370624478097</v>
      </c>
    </row>
    <row>
      <c s="44"/>
      <c s="30" t="s">
        <v>146</v>
      </c>
      <c s="17">
        <v>3910</v>
      </c>
      <c s="17">
        <v>3598</v>
      </c>
      <c s="32">
        <v>7508</v>
      </c>
      <c s="16">
        <v>0.52077783697389446</v>
      </c>
      <c s="16">
        <v>0.47922216302610549</v>
      </c>
    </row>
    <row>
      <c s="44"/>
      <c s="30" t="s">
        <v>48</v>
      </c>
      <c s="17">
        <v>20798</v>
      </c>
      <c s="17">
        <v>16003</v>
      </c>
      <c s="32">
        <v>36801</v>
      </c>
      <c s="16">
        <v>0.56514768620417921</v>
      </c>
      <c s="16">
        <v>0.43485231379582079</v>
      </c>
    </row>
    <row>
      <c s="44" t="s">
        <v>6</v>
      </c>
      <c s="30" t="s">
        <v>36</v>
      </c>
      <c s="17">
        <v>22909</v>
      </c>
      <c s="17">
        <v>17870</v>
      </c>
      <c s="32">
        <v>40779</v>
      </c>
      <c s="16">
        <v>0.56178425169817803</v>
      </c>
      <c s="16">
        <v>0.43821574830182203</v>
      </c>
    </row>
    <row>
      <c s="44"/>
      <c s="30" t="s">
        <v>45</v>
      </c>
      <c s="17">
        <v>3624</v>
      </c>
      <c s="17">
        <v>3194</v>
      </c>
      <c s="32">
        <v>6818</v>
      </c>
      <c s="16">
        <v>0.53153417424464655</v>
      </c>
      <c s="16">
        <v>0.46846582575535345</v>
      </c>
    </row>
    <row>
      <c s="44"/>
      <c s="30" t="s">
        <v>123</v>
      </c>
      <c s="17">
        <v>19285</v>
      </c>
      <c s="17">
        <v>14676</v>
      </c>
      <c s="32">
        <v>33961</v>
      </c>
      <c s="16">
        <v>0.56785724801978743</v>
      </c>
      <c s="16">
        <v>0.43214275198021257</v>
      </c>
    </row>
    <row>
      <c s="44" t="s">
        <v>149</v>
      </c>
      <c s="30" t="s">
        <v>36</v>
      </c>
      <c s="17">
        <v>21444</v>
      </c>
      <c s="17">
        <v>17205</v>
      </c>
      <c s="32">
        <v>38649</v>
      </c>
      <c s="16">
        <v>0.5548397112473803</v>
      </c>
      <c s="16">
        <v>0.4451602887526197</v>
      </c>
    </row>
    <row>
      <c s="44"/>
      <c s="30" t="s">
        <v>124</v>
      </c>
      <c s="17">
        <v>3148</v>
      </c>
      <c s="17">
        <v>3164</v>
      </c>
      <c s="32">
        <v>6312</v>
      </c>
      <c s="16">
        <v>0.49873257287705958</v>
      </c>
      <c s="16">
        <v>0.50126742712294048</v>
      </c>
    </row>
    <row>
      <c s="44"/>
      <c s="30" t="s">
        <v>30</v>
      </c>
      <c s="17">
        <v>18296</v>
      </c>
      <c s="17">
        <v>14041</v>
      </c>
      <c s="32">
        <v>32337</v>
      </c>
      <c s="16">
        <v>0.56579150817948476</v>
      </c>
      <c s="16">
        <v>0.43420849182051519</v>
      </c>
    </row>
    <row>
      <c s="44" t="s">
        <v>115</v>
      </c>
      <c s="30" t="s">
        <v>36</v>
      </c>
      <c s="17">
        <v>19807</v>
      </c>
      <c s="17">
        <v>16284</v>
      </c>
      <c s="32">
        <v>36091</v>
      </c>
      <c s="16">
        <v>0.5488071818458895</v>
      </c>
      <c s="16">
        <v>0.45119281815411044</v>
      </c>
    </row>
    <row>
      <c s="44"/>
      <c s="30" t="s">
        <v>29</v>
      </c>
      <c s="17">
        <v>2806</v>
      </c>
      <c s="17">
        <v>2866</v>
      </c>
      <c s="32">
        <v>5672</v>
      </c>
      <c s="16">
        <v>0.49471086036671369</v>
      </c>
      <c s="16">
        <v>0.50528913963328637</v>
      </c>
    </row>
    <row>
      <c s="44"/>
      <c s="30" t="s">
        <v>101</v>
      </c>
      <c s="17">
        <v>17001</v>
      </c>
      <c s="17">
        <v>13418</v>
      </c>
      <c s="32">
        <v>30419</v>
      </c>
      <c s="16">
        <v>0.55889411223248631</v>
      </c>
      <c s="16">
        <v>0.44110588776751375</v>
      </c>
    </row>
    <row>
      <c s="44" t="s">
        <v>78</v>
      </c>
      <c s="30" t="s">
        <v>36</v>
      </c>
      <c s="17">
        <v>18397</v>
      </c>
      <c s="17">
        <v>14390</v>
      </c>
      <c s="32">
        <v>32787</v>
      </c>
      <c s="16">
        <v>0.56110653612712358</v>
      </c>
      <c s="16">
        <v>0.43889346387287642</v>
      </c>
    </row>
    <row>
      <c s="44"/>
      <c s="30" t="s">
        <v>104</v>
      </c>
      <c s="17">
        <v>2577</v>
      </c>
      <c s="17">
        <v>2489</v>
      </c>
      <c s="32">
        <v>5066</v>
      </c>
      <c s="16">
        <v>0.50868535333596521</v>
      </c>
      <c s="16">
        <v>0.49131464666403474</v>
      </c>
    </row>
    <row>
      <c s="44"/>
      <c s="30" t="s">
        <v>5</v>
      </c>
      <c s="17">
        <v>15820</v>
      </c>
      <c s="17">
        <v>11901</v>
      </c>
      <c s="32">
        <v>27721</v>
      </c>
      <c s="16">
        <v>0.57068648317160275</v>
      </c>
      <c s="16">
        <v>0.42931351682839725</v>
      </c>
    </row>
    <row>
      <c s="44" t="s">
        <v>46</v>
      </c>
      <c s="30" t="s">
        <v>36</v>
      </c>
      <c s="17">
        <v>21381</v>
      </c>
      <c s="17">
        <v>17353</v>
      </c>
      <c s="32">
        <v>38734</v>
      </c>
      <c s="16">
        <v>0.55199566272525424</v>
      </c>
      <c s="16">
        <v>0.4480043372747457</v>
      </c>
    </row>
    <row>
      <c s="44"/>
      <c s="30" t="s">
        <v>13</v>
      </c>
      <c s="17">
        <v>2899</v>
      </c>
      <c s="17">
        <v>3169</v>
      </c>
      <c s="32">
        <v>6068</v>
      </c>
      <c s="16">
        <v>0.47775214238628871</v>
      </c>
      <c s="16">
        <v>0.52224785761371129</v>
      </c>
    </row>
    <row>
      <c s="44"/>
      <c s="30" t="s">
        <v>75</v>
      </c>
      <c s="17">
        <v>18482</v>
      </c>
      <c s="17">
        <v>14184</v>
      </c>
      <c s="32">
        <v>32666</v>
      </c>
      <c s="16">
        <v>0.56578705687871178</v>
      </c>
      <c s="16">
        <v>0.43421294312128816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47"/>
      <c s="4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0">
    <mergeCell ref="A3:G3"/>
    <mergeCell ref="A4:G4"/>
    <mergeCell ref="C14:G14"/>
    <mergeCell ref="C15:E15"/>
    <mergeCell ref="F15:G15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</mergeCells>
  <pageMargins left="0.70866141732283472" right="0.70866141732283472" top="0.78740157480314965" bottom="0.78740157480314965" header="0.31496062992125984" footer="0.31496062992125984"/>
  <pageSetup paperSize="9" scale="74" fitToWidth="2" fitToHeight="0" orientation="landscape"/>
  <headerFooter>
    <oddHeader>&amp;L&amp;"Tahoma,Standard"&amp;10unidata.gv.at&amp;R&amp;"Tahoma,Standard"&amp;10&amp;D</oddHeader>
    <oddFooter>&amp;R&amp;"Tahoma,Standard"&amp;10&amp;P/&amp;N</oddFooter>
  </headerFooter>
  <rowBreaks count="1" manualBreakCount="1">
    <brk id="43" max="16383" man="1"/>
  </rowBreaks>
  <colBreaks count="1" manualBreakCount="1">
    <brk id="8" max="104857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0"/>
  <sheetViews>
    <sheetView workbookViewId="0">
      <selection activeCell="E27" sqref="E27:E29"/>
    </sheetView>
  </sheetViews>
  <sheetFormatPr defaultColWidth="9.140625" defaultRowHeight="13.6"/>
  <cols>
    <col min="1" max="1" width="13.5703125" style="28" customWidth="1"/>
    <col min="2" max="2" width="40.85546875" style="28" customWidth="1"/>
    <col min="3" max="3" width="28.140625" style="28" customWidth="1"/>
    <col min="4" max="4" width="16.28515625" style="28" customWidth="1"/>
    <col min="5" max="5" width="19.42578125" style="28" customWidth="1"/>
    <col min="6" max="6" width="11.140625" style="28" customWidth="1"/>
    <col min="7" max="7" width="9.140625" style="28" customWidth="1"/>
    <col min="8" max="8" width="17.28515625" style="28" customWidth="1"/>
    <col min="9" max="9" width="19.5703125" style="28" customWidth="1"/>
    <col min="10" max="12" width="12.42578125" style="28" customWidth="1"/>
    <col min="13" max="13" width="16" style="28" customWidth="1"/>
    <col min="14" max="14" width="14.28515625" style="28" customWidth="1"/>
    <col min="15" max="15" width="18.28515625" style="28" customWidth="1"/>
    <col min="16" max="25" width="9.140625" style="28" customWidth="1"/>
    <col min="26" max="26" width="9.140625" style="28" hidden="1" customWidth="1"/>
    <col min="27" max="27" width="9.140625" style="28" customWidth="1"/>
    <col min="28" max="16384" width="9.140625" style="28"/>
  </cols>
  <sheetData>
    <row>
      <c s="36"/>
      <c r="H1" s="67">
        <v>129806172700000000</v>
      </c>
      <c r="Z1" s="45" t="b">
        <f>0=1</f>
        <v>0</v>
      </c>
    </row>
    <row>
      <c r="Z2" s="45" t="b">
        <f>1=1</f>
        <v>1</v>
      </c>
    </row>
    <row>
      <c r="Z3" s="45"/>
    </row>
    <row>
      <c r="I4" s="28" t="s">
        <v>62</v>
      </c>
      <c s="43" t="s">
        <v>127</v>
      </c>
      <c s="14"/>
      <c s="14"/>
      <c s="14"/>
      <c s="14"/>
      <c s="14"/>
    </row>
    <row>
      <c r="J5" s="29" t="s">
        <v>49</v>
      </c>
      <c s="23" t="s">
        <v>90</v>
      </c>
      <c s="23" t="s">
        <v>118</v>
      </c>
      <c s="29" t="s">
        <v>168</v>
      </c>
      <c s="35" t="s">
        <v>137</v>
      </c>
      <c s="23" t="s">
        <v>8</v>
      </c>
    </row>
    <row>
      <c r="B6" s="25" t="s">
        <v>138</v>
      </c>
      <c s="20" t="s">
        <v>153</v>
      </c>
      <c s="51" t="s">
        <v>18</v>
      </c>
      <c s="11" t="s">
        <v>91</v>
      </c>
    </row>
    <row>
      <c r="C7" s="22"/>
      <c s="34" t="s">
        <v>19</v>
      </c>
      <c s="11" t="s">
        <v>107</v>
      </c>
    </row>
    <row>
      <c r="C8" s="34" t="s">
        <v>9</v>
      </c>
      <c s="22"/>
    </row>
    <row>
      <c r="C9" s="22"/>
      <c s="20" t="s">
        <v>50</v>
      </c>
      <c s="54"/>
    </row>
    <row>
      <c r="C10" s="20" t="s">
        <v>81</v>
      </c>
      <c s="66" t="s">
        <v>119</v>
      </c>
      <c s="11" t="s">
        <v>33</v>
      </c>
    </row>
    <row>
      <c r="B11" s="25" t="s">
        <v>92</v>
      </c>
      <c s="40" t="s">
        <v>82</v>
      </c>
      <c s="48">
        <v>60398</v>
      </c>
      <c s="11" t="s">
        <v>51</v>
      </c>
    </row>
    <row>
      <c r="B12" s="25"/>
      <c s="59"/>
      <c s="42"/>
      <c s="65" t="s">
        <v>128</v>
      </c>
    </row>
    <row>
      <c r="B13" s="25" t="s">
        <v>83</v>
      </c>
      <c s="70" t="s">
        <v>40</v>
      </c>
      <c s="56">
        <v>1212</v>
      </c>
      <c s="28" t="b">
        <v>0</v>
      </c>
      <c s="11" t="s">
        <v>120</v>
      </c>
    </row>
    <row ht="12.75" hidden="1">
      <c r="B14" s="25"/>
      <c s="70"/>
      <c s="52"/>
      <c s="28" t="b">
        <v>0</v>
      </c>
    </row>
    <row>
      <c r="B15" s="25" t="s">
        <v>154</v>
      </c>
      <c s="28" t="s">
        <v>161</v>
      </c>
      <c s="62">
        <v>1212</v>
      </c>
      <c s="28" t="b">
        <v>0</v>
      </c>
      <c s="11" t="s">
        <v>41</v>
      </c>
    </row>
    <row ht="12.75" hidden="1">
      <c r="B16" s="25"/>
      <c r="D16" s="21"/>
      <c s="28" t="b">
        <v>0</v>
      </c>
      <c s="11"/>
    </row>
    <row>
      <c r="B17" s="25"/>
      <c s="28" t="s">
        <v>52</v>
      </c>
      <c s="69">
        <v>3434</v>
      </c>
      <c s="28" t="b">
        <v>0</v>
      </c>
      <c s="11" t="s">
        <v>121</v>
      </c>
    </row>
    <row>
      <c r="B18" s="25"/>
      <c r="D18" s="21"/>
      <c s="28" t="b">
        <v>0</v>
      </c>
      <c s="11"/>
    </row>
    <row>
      <c r="B19" s="25"/>
      <c s="28" t="s">
        <v>10</v>
      </c>
      <c s="39">
        <v>3434</v>
      </c>
      <c s="28" t="b">
        <v>0</v>
      </c>
      <c s="11" t="s">
        <v>139</v>
      </c>
    </row>
    <row>
      <c r="B20" s="25"/>
      <c r="D20" s="21"/>
      <c s="28" t="b">
        <v>0</v>
      </c>
      <c s="11"/>
    </row>
    <row>
      <c r="B21" s="25"/>
      <c s="28" t="s">
        <v>140</v>
      </c>
      <c s="68">
        <v>5656</v>
      </c>
      <c s="28" t="b">
        <v>0</v>
      </c>
      <c s="11" t="s">
        <v>169</v>
      </c>
    </row>
    <row>
      <c r="B22" s="25"/>
      <c r="E22" s="11"/>
      <c r="I22" s="38"/>
    </row>
    <row>
      <c r="B23" s="33" t="s">
        <v>11</v>
      </c>
      <c s="33"/>
    </row>
    <row>
      <c r="B24" s="7" t="s">
        <v>93</v>
      </c>
      <c s="7" t="s">
        <v>53</v>
      </c>
      <c s="7" t="s">
        <v>20</v>
      </c>
      <c s="7" t="s">
        <v>141</v>
      </c>
      <c s="7"/>
      <c s="7"/>
      <c s="7" t="s">
        <v>170</v>
      </c>
    </row>
    <row>
      <c s="28" t="s">
        <v>108</v>
      </c>
      <c r="C25" s="60" t="s">
        <v>94</v>
      </c>
      <c s="26" t="s">
        <v>54</v>
      </c>
      <c s="26">
        <v>1234.5599999999999</v>
      </c>
      <c s="11" t="s">
        <v>129</v>
      </c>
      <c r="H25" s="28" t="s">
        <v>142</v>
      </c>
    </row>
    <row>
      <c s="28" t="s">
        <v>155</v>
      </c>
      <c r="C26" s="60" t="s">
        <v>94</v>
      </c>
      <c s="26" t="s">
        <v>54</v>
      </c>
      <c s="26">
        <v>1234.5599999999999</v>
      </c>
      <c s="11" t="s">
        <v>109</v>
      </c>
      <c r="H26" s="28" t="s">
        <v>171</v>
      </c>
    </row>
    <row>
      <c r="C27" s="60" t="s">
        <v>94</v>
      </c>
      <c s="58" t="s">
        <v>54</v>
      </c>
      <c s="26">
        <v>1234.5599999999999</v>
      </c>
      <c r="H27" s="28" t="s">
        <v>110</v>
      </c>
    </row>
    <row>
      <c r="C28" s="64" t="s">
        <v>12</v>
      </c>
      <c s="58" t="s">
        <v>16</v>
      </c>
      <c s="26">
        <v>1234.5599999999999</v>
      </c>
      <c r="H28" s="28" t="s">
        <v>55</v>
      </c>
    </row>
    <row>
      <c r="C29" s="64" t="s">
        <v>12</v>
      </c>
      <c s="55" t="s">
        <v>58</v>
      </c>
      <c s="63">
        <v>1234.5599999999999</v>
      </c>
      <c r="H29" s="28" t="s">
        <v>172</v>
      </c>
    </row>
    <row>
      <c r="C30" s="64" t="s">
        <v>143</v>
      </c>
      <c s="46" t="s">
        <v>36</v>
      </c>
      <c s="50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F35"/>
  <sheetViews>
    <sheetView workbookViewId="0">
      <selection activeCell="A35" sqref="A35"/>
    </sheetView>
  </sheetViews>
  <sheetFormatPr defaultColWidth="11.42578125" defaultRowHeight="15"/>
  <cols>
    <col min="1" max="1" width="40.140625" customWidth="1"/>
  </cols>
  <sheetData>
    <row ht="14.95">
      <c s="6" t="s">
        <v>0</v>
      </c>
      <c s="31" t="s">
        <v>36</v>
      </c>
    </row>
    <row ht="14.95">
      <c s="6" t="s">
        <v>15</v>
      </c>
      <c s="31" t="s">
        <v>36</v>
      </c>
    </row>
    <row ht="14.95">
      <c s="6" t="s">
        <v>133</v>
      </c>
      <c s="31" t="s">
        <v>36</v>
      </c>
    </row>
    <row ht="14.95">
      <c s="6" t="s">
        <v>87</v>
      </c>
      <c s="31" t="s">
        <v>36</v>
      </c>
    </row>
    <row r="7" ht="14.95">
      <c r="B7" s="6" t="s">
        <v>66</v>
      </c>
      <c s="6" t="s">
        <v>57</v>
      </c>
      <c s="6" t="s">
        <v>164</v>
      </c>
    </row>
    <row ht="14.95">
      <c r="B8" s="3" t="s">
        <v>100</v>
      </c>
      <c s="3"/>
      <c s="3"/>
      <c s="3"/>
      <c s="3"/>
    </row>
    <row ht="14.95">
      <c r="B9" s="10" t="s">
        <v>16</v>
      </c>
      <c s="10"/>
      <c s="10"/>
      <c s="19" t="s">
        <v>58</v>
      </c>
      <c s="19"/>
    </row>
    <row ht="14.95">
      <c s="6" t="s">
        <v>23</v>
      </c>
      <c s="5" t="s">
        <v>2</v>
      </c>
      <c s="5" t="s">
        <v>59</v>
      </c>
      <c s="27" t="s">
        <v>36</v>
      </c>
      <c s="5" t="s">
        <v>2</v>
      </c>
      <c s="5" t="s">
        <v>59</v>
      </c>
    </row>
    <row ht="14.95">
      <c s="30" t="s">
        <v>122</v>
      </c>
      <c s="17">
        <v>33365</v>
      </c>
      <c s="17">
        <v>26239</v>
      </c>
      <c s="32">
        <v>59604</v>
      </c>
      <c s="16">
        <v>0.55977786725723111</v>
      </c>
      <c s="16">
        <v>0.44022213274276895</v>
      </c>
    </row>
    <row ht="14.95">
      <c s="30" t="s">
        <v>85</v>
      </c>
      <c s="17">
        <v>31901</v>
      </c>
      <c s="17">
        <v>24805</v>
      </c>
      <c s="32">
        <v>56706</v>
      </c>
      <c s="16">
        <v>0.56256833492046698</v>
      </c>
      <c s="16">
        <v>0.43743166507953302</v>
      </c>
    </row>
    <row ht="14.95">
      <c s="30" t="s">
        <v>56</v>
      </c>
      <c s="17">
        <v>30115</v>
      </c>
      <c s="17">
        <v>23336</v>
      </c>
      <c s="32">
        <v>53451</v>
      </c>
      <c s="16">
        <v>0.56341321958429214</v>
      </c>
      <c s="16">
        <v>0.43658678041570786</v>
      </c>
    </row>
    <row ht="14.95">
      <c s="30" t="s">
        <v>22</v>
      </c>
      <c s="17">
        <v>30399</v>
      </c>
      <c s="17">
        <v>22958</v>
      </c>
      <c s="32">
        <v>53357</v>
      </c>
      <c s="16">
        <v>0.56972843300785281</v>
      </c>
      <c s="16">
        <v>0.43027156699214725</v>
      </c>
    </row>
    <row ht="14.95">
      <c s="30" t="s">
        <v>162</v>
      </c>
      <c s="17">
        <v>32324</v>
      </c>
      <c s="17">
        <v>24168</v>
      </c>
      <c s="32">
        <v>56492</v>
      </c>
      <c s="16">
        <v>0.57218721234865111</v>
      </c>
      <c s="16">
        <v>0.42781278765134884</v>
      </c>
    </row>
    <row ht="14.95">
      <c s="30" t="s">
        <v>21</v>
      </c>
      <c s="17">
        <v>30224</v>
      </c>
      <c s="17">
        <v>22939</v>
      </c>
      <c s="32">
        <v>53163</v>
      </c>
      <c s="16">
        <v>0.56851569700731708</v>
      </c>
      <c s="16">
        <v>0.43148430299268287</v>
      </c>
    </row>
    <row ht="14.95">
      <c s="30" t="s">
        <v>131</v>
      </c>
      <c s="17">
        <v>31313</v>
      </c>
      <c s="17">
        <v>23758</v>
      </c>
      <c s="32">
        <v>55071</v>
      </c>
      <c s="16">
        <v>0.56859327050534769</v>
      </c>
      <c s="16">
        <v>0.43140672949465236</v>
      </c>
    </row>
    <row ht="14.95">
      <c s="30" t="s">
        <v>97</v>
      </c>
      <c s="17">
        <v>31928</v>
      </c>
      <c s="17">
        <v>24717</v>
      </c>
      <c s="32">
        <v>56645</v>
      </c>
      <c s="16">
        <v>0.56365080766175302</v>
      </c>
      <c s="16">
        <v>0.43634919233824698</v>
      </c>
    </row>
    <row ht="14.95">
      <c s="30" t="s">
        <v>64</v>
      </c>
      <c s="17">
        <v>32387</v>
      </c>
      <c s="17">
        <v>25213</v>
      </c>
      <c s="32">
        <v>57600</v>
      </c>
      <c s="16">
        <v>0.56227430555555558</v>
      </c>
      <c s="16">
        <v>0.43772569444444442</v>
      </c>
    </row>
    <row ht="14.95">
      <c s="30" t="s">
        <v>35</v>
      </c>
      <c s="17">
        <v>30858</v>
      </c>
      <c s="17">
        <v>24917</v>
      </c>
      <c s="32">
        <v>55775</v>
      </c>
      <c s="16">
        <v>0.55325862841774986</v>
      </c>
      <c s="16">
        <v>0.44674137158225014</v>
      </c>
    </row>
    <row ht="14.95">
      <c s="30" t="s">
        <v>176</v>
      </c>
      <c s="17">
        <v>30657</v>
      </c>
      <c s="17">
        <v>24688</v>
      </c>
      <c s="32">
        <v>55345</v>
      </c>
      <c s="16">
        <v>0.55392537717951029</v>
      </c>
      <c s="16">
        <v>0.44607462282048965</v>
      </c>
    </row>
    <row ht="14.95">
      <c s="30" t="s">
        <v>145</v>
      </c>
      <c s="17">
        <v>30085</v>
      </c>
      <c s="17">
        <v>23597</v>
      </c>
      <c s="32">
        <v>53682</v>
      </c>
      <c s="16">
        <v>0.56042993927200924</v>
      </c>
      <c s="16">
        <v>0.43957006072799076</v>
      </c>
    </row>
    <row ht="14.95">
      <c s="30" t="s">
        <v>112</v>
      </c>
      <c s="17">
        <v>31196</v>
      </c>
      <c s="17">
        <v>24876</v>
      </c>
      <c s="32">
        <v>56072</v>
      </c>
      <c s="16">
        <v>0.55635611356826942</v>
      </c>
      <c s="16">
        <v>0.44364388643173064</v>
      </c>
    </row>
    <row ht="14.95">
      <c s="30" t="s">
        <v>73</v>
      </c>
      <c s="17">
        <v>30434</v>
      </c>
      <c s="17">
        <v>24903</v>
      </c>
      <c s="32">
        <v>55337</v>
      </c>
      <c s="16">
        <v>0.54997560402623924</v>
      </c>
      <c s="16">
        <v>0.45002439597376076</v>
      </c>
    </row>
    <row ht="14.95">
      <c s="30" t="s">
        <v>43</v>
      </c>
      <c s="17">
        <v>31087</v>
      </c>
      <c s="17">
        <v>24676</v>
      </c>
      <c s="32">
        <v>55763</v>
      </c>
      <c s="16">
        <v>0.55748435342431357</v>
      </c>
      <c s="16">
        <v>0.44251564657568637</v>
      </c>
    </row>
    <row ht="14.95">
      <c s="30" t="s">
        <v>84</v>
      </c>
      <c s="17">
        <v>31545</v>
      </c>
      <c s="17">
        <v>24746</v>
      </c>
      <c s="32">
        <v>56291</v>
      </c>
      <c s="16">
        <v>0.56039153683537335</v>
      </c>
      <c s="16">
        <v>0.43960846316462665</v>
      </c>
    </row>
    <row ht="14.95">
      <c s="30" t="s">
        <v>14</v>
      </c>
      <c s="17">
        <v>27867</v>
      </c>
      <c s="17">
        <v>21919</v>
      </c>
      <c s="32">
        <v>49786</v>
      </c>
      <c s="16">
        <v>0.55973566866187285</v>
      </c>
      <c s="16">
        <v>0.4402643313381272</v>
      </c>
    </row>
    <row ht="14.95">
      <c s="30" t="s">
        <v>156</v>
      </c>
      <c s="17">
        <v>25817</v>
      </c>
      <c s="17">
        <v>20135</v>
      </c>
      <c s="32">
        <v>45952</v>
      </c>
      <c s="16">
        <v>0.56182538300835649</v>
      </c>
      <c s="16">
        <v>0.43817461699164345</v>
      </c>
    </row>
    <row ht="14.95">
      <c s="30" t="s">
        <v>130</v>
      </c>
      <c s="17">
        <v>24693</v>
      </c>
      <c s="17">
        <v>19995</v>
      </c>
      <c s="32">
        <v>44688</v>
      </c>
      <c s="16">
        <v>0.55256444683136408</v>
      </c>
      <c s="16">
        <v>0.44743555316863587</v>
      </c>
    </row>
    <row ht="14.95">
      <c s="30" t="s">
        <v>96</v>
      </c>
      <c s="17">
        <v>24708</v>
      </c>
      <c s="17">
        <v>19601</v>
      </c>
      <c s="32">
        <v>44309</v>
      </c>
      <c s="16">
        <v>0.55762937552190295</v>
      </c>
      <c s="16">
        <v>0.442370624478097</v>
      </c>
    </row>
    <row ht="14.95">
      <c s="30" t="s">
        <v>63</v>
      </c>
      <c s="17">
        <v>22909</v>
      </c>
      <c s="17">
        <v>17870</v>
      </c>
      <c s="32">
        <v>40779</v>
      </c>
      <c s="16">
        <v>0.56178425169817803</v>
      </c>
      <c s="16">
        <v>0.43821574830182203</v>
      </c>
    </row>
    <row ht="14.95">
      <c s="30" t="s">
        <v>34</v>
      </c>
      <c s="17">
        <v>21444</v>
      </c>
      <c s="17">
        <v>17205</v>
      </c>
      <c s="32">
        <v>38649</v>
      </c>
      <c s="16">
        <v>0.5548397112473803</v>
      </c>
      <c s="16">
        <v>0.4451602887526197</v>
      </c>
    </row>
    <row ht="14.95">
      <c s="30" t="s">
        <v>175</v>
      </c>
      <c s="17">
        <v>19807</v>
      </c>
      <c s="17">
        <v>16284</v>
      </c>
      <c s="32">
        <v>36091</v>
      </c>
      <c s="16">
        <v>0.5488071818458895</v>
      </c>
      <c s="16">
        <v>0.45119281815411044</v>
      </c>
    </row>
    <row ht="14.95">
      <c s="30" t="s">
        <v>144</v>
      </c>
      <c s="17">
        <v>18397</v>
      </c>
      <c s="17">
        <v>14390</v>
      </c>
      <c s="32">
        <v>32787</v>
      </c>
      <c s="16">
        <v>0.56110653612712358</v>
      </c>
      <c s="16">
        <v>0.43889346387287642</v>
      </c>
    </row>
    <row ht="14.95">
      <c s="30" t="s">
        <v>111</v>
      </c>
      <c s="17">
        <v>21381</v>
      </c>
      <c s="17">
        <v>17353</v>
      </c>
      <c s="32">
        <v>38734</v>
      </c>
      <c s="16">
        <v>0.55199566272525424</v>
      </c>
      <c s="16">
        <v>0.4480043372747457</v>
      </c>
    </row>
  </sheetData>
  <mergeCells count="3">
    <mergeCell ref="B8:F8"/>
    <mergeCell ref="B9:D9"/>
    <mergeCell ref="E9:F9"/>
  </mergeCells>
  <pageMargins left="0.7" right="0.7" top="0.787401575" bottom="0.787401575" header="0.3" footer="0.3"/>
  <pageSetup paperSize="9" fitToWidth="0" fitToHeight="0" orientation="portrait"/>
</worksheet>
</file>
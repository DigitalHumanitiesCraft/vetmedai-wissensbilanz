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Tab (2)" sheetId="2" state="hidden" r:id="rId2"/>
    <sheet name="XLCubedFormats" sheetId="3" state="hidden" r:id="rId3"/>
  </sheets>
  <definedNames>
    <definedName name="_xlnm.Print_Area" localSheetId="0">Tab!$A$1:$U$42</definedName>
    <definedName name="_xlnm.Print_Area" localSheetId="1">'Tab (2)'!$A$1:$U$42</definedName>
    <definedName name="XL3DisableCameraObjects" hidden="1">XLCubedFormats!A1</definedName>
    <definedName name="XL3ObjLocation28aa2a92_106e_4a02_b1c0_ca294d6d3273">'Tab (2)'!$A$8</definedName>
    <definedName name="XL3ObjLocationa138bc9c_88a6_4292_b387_c4d5acd85897">Tab!$A$8</definedName>
  </definedNames>
  <calcPr calcId="40001"/>
</workbook>
</file>

<file path=xl/sharedStrings.xml><?xml version="1.0" encoding="utf-8"?>
<sst xmlns="http://schemas.openxmlformats.org/spreadsheetml/2006/main" uniqueCount="127">
  <si>
    <t>Universität</t>
  </si>
  <si>
    <t>Semester und Datenstichtag</t>
  </si>
  <si>
    <t>Frauen</t>
  </si>
  <si>
    <t>Wintersemester 2001 (Stichtag: 28.02.2002)</t>
  </si>
  <si>
    <t>Wintersemester 2016 (Stichtag: 28.02.2017)</t>
  </si>
  <si>
    <t>Slicer Button Background</t>
  </si>
  <si>
    <t>Grid Title</t>
  </si>
  <si>
    <t>Oth Written Member</t>
  </si>
  <si>
    <t>Fill in Grid Name, Dimension or Both</t>
  </si>
  <si>
    <t>[ALLG Wertart].[Wertart]</t>
  </si>
  <si>
    <t>Staatengruppe (Ö, EU, andere)</t>
  </si>
  <si>
    <t>J</t>
  </si>
  <si>
    <t>Absolutwert</t>
  </si>
  <si>
    <t>All Marital Status</t>
  </si>
  <si>
    <t>Male</t>
  </si>
  <si>
    <t>Member1 Name</t>
  </si>
  <si>
    <t>WS 2003</t>
  </si>
  <si>
    <t>WS 2010</t>
  </si>
  <si>
    <t>WS 2021</t>
  </si>
  <si>
    <t>Wintersemester 2024 (Stichtag: 28.02.2025)</t>
  </si>
  <si>
    <t>Anmerkung: Ab dem WS 2016 erfolgt die zähltechnische Abbildung der Studierenden auf Basis des Verteilungsschlüssels gemäß § 22 Abs. 2 UHSBV.</t>
  </si>
  <si>
    <t>Wintersemester 2003 (Stichtag: 28.02.2004)</t>
  </si>
  <si>
    <t>Wintersemester 2018 (Stichtag: 28.02.2019)</t>
  </si>
  <si>
    <t>&lt;-- default Column Member Format</t>
  </si>
  <si>
    <t>WS 2007</t>
  </si>
  <si>
    <t>WS 2014</t>
  </si>
  <si>
    <t>WS 2018</t>
  </si>
  <si>
    <t>Gesamt</t>
  </si>
  <si>
    <t>Wintersemester 2011 (Stichtag: 28.02.2012)</t>
  </si>
  <si>
    <t>Alternate Rows</t>
  </si>
  <si>
    <t>&lt;--  writeable cell format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</si>
  <si>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</si>
  <si>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</si>
  <si>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</si>
  <si>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</si>
  <si>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</si>
  <si>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</si>
  <si>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</si>
  <si>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Wertart</t>
  </si>
  <si>
    <t>Männer</t>
  </si>
  <si>
    <t>Wintersemester 2013 (Stichtag: 28.02.2014)</t>
  </si>
  <si>
    <t>Slice Name (Optional)</t>
  </si>
  <si>
    <t>WS 2000</t>
  </si>
  <si>
    <t>WS 2004</t>
  </si>
  <si>
    <t>WS 2011</t>
  </si>
  <si>
    <t>Measures</t>
  </si>
  <si>
    <t>Wintersemester 2009 (Stichtag: 28.02.2010)</t>
  </si>
  <si>
    <t>Wintersemester 2021 (Stichtag: 28.02.2022)</t>
  </si>
  <si>
    <t>Wintersemester 2007 (Stichtag: 28.02.2008)</t>
  </si>
  <si>
    <t>WS 2008</t>
  </si>
  <si>
    <t>WS 2015</t>
  </si>
  <si>
    <t>WS 2019</t>
  </si>
  <si>
    <t>WS 2022</t>
  </si>
  <si>
    <t>Senioren-Studierende an Universitäten - Zeitreihe Wintersemester</t>
  </si>
  <si>
    <t>Wintersemester 2000 (Stichtag: 28.02.2001)</t>
  </si>
  <si>
    <t>Wintersemester 2015 (Stichtag: 28.02.2016)</t>
  </si>
  <si>
    <t>Customer</t>
  </si>
  <si>
    <t>-All Customer</t>
  </si>
  <si>
    <t>Default Alternate Row Member Format --&gt;</t>
  </si>
  <si>
    <t>ALLG Semester.Semester (Kurzbezeichnung)</t>
  </si>
  <si>
    <t>Bundesland Universität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</si>
  <si>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</si>
  <si>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</si>
  <si>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</si>
  <si>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</si>
  <si>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</si>
  <si>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</si>
  <si>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Studierende Universitäten</t>
  </si>
  <si>
    <t xml:space="preserve">Senioren-Studierende </t>
  </si>
  <si>
    <t>Wintersemester 2002 (Stichtag: 28.02.2003)</t>
  </si>
  <si>
    <t>Wintersemester 2017 (Stichtag: 28.02.2018)</t>
  </si>
  <si>
    <t>Wintersemester 2019 (Stichtag: 28.02.2020)</t>
  </si>
  <si>
    <t>&lt;-- writeable Slicer Member Format</t>
  </si>
  <si>
    <t>Slice Format 1</t>
  </si>
  <si>
    <t>&lt;-- Gesamtzeile</t>
  </si>
  <si>
    <t>3) Formatierung der Gesamtspalte und -zeile (siehe E25:E26)</t>
  </si>
  <si>
    <t>WS 2001</t>
  </si>
  <si>
    <t>WS 2012</t>
  </si>
  <si>
    <t>Frauen-/Männeranteil in %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</si>
  <si>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</si>
  <si>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</si>
  <si>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</si>
  <si>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</si>
  <si>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</si>
  <si>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WS 2005</t>
  </si>
  <si>
    <t>WS 2009</t>
  </si>
  <si>
    <t>WS 2016</t>
  </si>
  <si>
    <t>WS 2023</t>
  </si>
  <si>
    <t>Insgesamt (bereinigt)</t>
  </si>
  <si>
    <t>Flag Senioren-Studierende</t>
  </si>
  <si>
    <t>Wintersemester 2004 (Stichtag: 28.02.2005)</t>
  </si>
  <si>
    <t>Display Formats For:</t>
  </si>
  <si>
    <t>Enabled?</t>
  </si>
  <si>
    <t>&lt;-- Gesamtspalte</t>
  </si>
  <si>
    <t>Datenprüfung und -aufbereitung: bmfwf, Abt. I/10</t>
  </si>
  <si>
    <t>Bundesland</t>
  </si>
  <si>
    <t>Wintersemester 2012 (Stichtag: 28.02.2013)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</si>
  <si>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</si>
  <si>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</si>
  <si>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</si>
  <si>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</si>
  <si>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</si>
  <si>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</si>
  <si>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</si>
  <si>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Wintersemester 2006 (Stichtag: 28.02.2007)</t>
  </si>
  <si>
    <t>Wintersemester 2020 (Stichtag: 28.02.2021)</t>
  </si>
  <si>
    <t>Marital Status</t>
  </si>
  <si>
    <t>Default Writeable Member Format --&gt;</t>
  </si>
  <si>
    <t>Slice Format 2</t>
  </si>
  <si>
    <t>WS 2002</t>
  </si>
  <si>
    <t>WS 2013</t>
  </si>
  <si>
    <t>WS 2020</t>
  </si>
  <si>
    <t>Quelle: Datenmeldungen der Universitäten auf Basis UHSBV zum jeweiligen Stichtag</t>
  </si>
  <si>
    <t>Anmerkung: Frauen ab 55 Jahre und Männer ab 60 Jahre;</t>
  </si>
  <si>
    <t>Wintersemester 2014 (Stichtag: 28.02.2015)</t>
  </si>
  <si>
    <t>Writeable Member</t>
  </si>
  <si>
    <t>WS 2017</t>
  </si>
  <si>
    <t>WS 2024</t>
  </si>
  <si>
    <t>WS 2006</t>
  </si>
  <si>
    <t>Geschlecht</t>
  </si>
  <si>
    <t>Wintersemester 2022 (Stichtag: 28.02.2023)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</si>
  <si>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</si>
  <si>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</si>
  <si>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</si>
  <si>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</si>
  <si>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</si>
  <si>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Wintersemester 2008 (Stichtag: 28.02.2009)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</si>
</sst>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sz val="10"/>
      <color rgb="FF262626"/>
      <name val="Tahoma"/>
      <family val="2"/>
    </font>
    <font>
      <sz val="11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0" fillId="0" borderId="0" xfId="0" applyFill="1" applyAlignment="1"/>
    <xf numFmtId="0" fontId="4" fillId="0" borderId="0" xfId="0" quotePrefix="1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/>
    <xf numFmtId="0" fontId="5" fillId="0" borderId="0" xfId="0" applyFont="1" applyFill="1" applyAlignment="1">
      <alignment vertical="top"/>
    </xf>
    <xf numFmtId="0" fontId="6" fillId="0" borderId="1" xfId="0" quotePrefix="1" applyFont="1" applyFill="1" applyBorder="1" applyAlignment="1" applyProtection="1">
      <alignment horizontal="center"/>
    </xf>
    <xf numFmtId="0" fontId="7" fillId="0" borderId="0" xfId="0" applyFont="1" applyFill="1" applyAlignment="1">
      <alignment vertical="center"/>
    </xf>
    <xf numFmtId="0" fontId="6" fillId="0" borderId="1" xfId="0" applyFont="1" applyFill="1" applyBorder="1" applyAlignment="1" applyProtection="1">
      <alignment horizontal="right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0" fontId="8" fillId="0" borderId="0" xfId="0" applyFont="1"/>
    <xf numFmtId="0" fontId="9" fillId="2" borderId="2" xfId="0" quotePrefix="1" applyFont="1" applyFill="1" applyBorder="1" applyAlignment="1" applyProtection="1"/>
    <xf numFmtId="0" fontId="10" fillId="0" borderId="0" xfId="0" applyFont="1"/>
    <xf numFmtId="0" fontId="11" fillId="3" borderId="0" xfId="1" applyFont="1" applyFill="1" applyBorder="1" applyAlignment="1">
      <alignment horizontal="center"/>
    </xf>
    <xf numFmtId="164" fontId="6" fillId="4" borderId="1" xfId="0" quotePrefix="1" applyNumberFormat="1" applyFont="1" applyFill="1" applyBorder="1" applyAlignment="1" applyProtection="1">
      <alignment horizontal="center"/>
    </xf>
    <xf numFmtId="0" fontId="12" fillId="0" borderId="0" xfId="0" applyFont="1" applyFill="1" applyAlignment="1"/>
    <xf numFmtId="164" fontId="6" fillId="4" borderId="1" xfId="0" applyNumberFormat="1" applyFont="1" applyFill="1" applyBorder="1" applyAlignment="1" applyProtection="1">
      <alignment horizontal="right"/>
    </xf>
    <xf numFmtId="3" fontId="6" fillId="0" borderId="1" xfId="0" applyNumberFormat="1" applyFont="1" applyFill="1" applyBorder="1" applyAlignment="1" applyProtection="1">
      <alignment horizontal="right"/>
    </xf>
    <xf numFmtId="0" fontId="13" fillId="0" borderId="0" xfId="0" applyNumberFormat="1" applyFont="1" applyAlignment="1"/>
    <xf numFmtId="0" fontId="14" fillId="0" borderId="0" xfId="0" applyFont="1"/>
    <xf numFmtId="0" fontId="15" fillId="5" borderId="0" xfId="0" applyFont="1" applyFill="1" applyAlignment="1"/>
    <xf numFmtId="0" fontId="16" fillId="0" borderId="0" xfId="1" applyFont="1"/>
    <xf numFmtId="0" fontId="17" fillId="0" borderId="0" xfId="0" applyFont="1"/>
    <xf numFmtId="0" fontId="0" fillId="0" borderId="0" xfId="0" applyFont="1" applyFill="1" applyAlignment="1"/>
    <xf numFmtId="0" fontId="6" fillId="0" borderId="1" xfId="0" quotePrefix="1" applyFont="1" applyBorder="1" applyAlignment="1" applyProtection="1"/>
    <xf numFmtId="3" fontId="6" fillId="6" borderId="1" xfId="0" applyNumberFormat="1" applyFont="1" applyFill="1" applyBorder="1" applyAlignment="1" applyProtection="1">
      <alignment horizontal="right"/>
    </xf>
    <xf numFmtId="0" fontId="4" fillId="0" borderId="0" xfId="0" quotePrefix="1" applyFont="1" applyFill="1" applyAlignment="1"/>
    <xf numFmtId="0" fontId="6" fillId="6" borderId="1" xfId="0" applyFont="1" applyFill="1" applyBorder="1" applyAlignment="1" applyProtection="1">
      <alignment horizontal="right"/>
    </xf>
    <xf numFmtId="0" fontId="4" fillId="0" borderId="0" xfId="0" quotePrefix="1" applyFont="1" applyFill="1" applyAlignment="1">
      <alignment vertical="top"/>
    </xf>
    <xf numFmtId="0" fontId="12" fillId="0" borderId="0" xfId="0" applyFont="1"/>
    <xf numFmtId="0" fontId="16" fillId="5" borderId="0" xfId="1" applyFont="1" applyFill="1"/>
    <xf numFmtId="0" fontId="0" fillId="0" borderId="0" xfId="0" applyAlignment="1">
      <alignment horizontal="center" vertical="top"/>
    </xf>
    <xf numFmtId="0" fontId="0" fillId="0" borderId="0" xfId="0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6" fillId="0" borderId="1" xfId="0" applyFont="1" applyFill="1" applyBorder="1" applyAlignment="1" applyProtection="1">
      <alignment vertical="center"/>
    </xf>
    <xf numFmtId="0" fontId="8" fillId="0" borderId="0" xfId="0" applyFont="1" applyFill="1" applyBorder="1" applyAlignment="1">
      <alignment vertical="center"/>
    </xf>
    <xf numFmtId="0" fontId="6" fillId="0" borderId="3" xfId="0" applyFont="1" applyBorder="1" applyAlignment="1" applyProtection="1">
      <alignment horizontal="right"/>
    </xf>
    <xf numFmtId="0" fontId="13" fillId="0" borderId="0" xfId="0" applyFont="1"/>
    <xf numFmtId="0" fontId="6" fillId="0" borderId="3" xfId="0" applyFont="1" applyBorder="1" applyAlignment="1" applyProtection="1">
      <alignment horizontal="center"/>
    </xf>
    <xf numFmtId="3" fontId="13" fillId="7" borderId="0" xfId="0" applyNumberFormat="1" applyFont="1" applyFill="1" applyAlignment="1"/>
    <xf numFmtId="3" fontId="17" fillId="0" borderId="4" xfId="0" applyNumberFormat="1" applyFont="1" applyFill="1" applyBorder="1" applyAlignment="1"/>
    <xf numFmtId="0" fontId="13" fillId="8" borderId="0" xfId="0" applyNumberFormat="1" applyFont="1" applyFill="1" applyAlignment="1"/>
    <xf numFmtId="3" fontId="13" fillId="8" borderId="0" xfId="0" applyNumberFormat="1" applyFont="1" applyFill="1" applyAlignment="1"/>
    <xf numFmtId="0" fontId="17" fillId="0" borderId="4" xfId="0" quotePrefix="1" applyFont="1" applyFill="1" applyBorder="1" applyAlignment="1">
      <alignment horizontal="right"/>
    </xf>
    <xf numFmtId="0" fontId="13" fillId="8" borderId="0" xfId="0" applyFont="1" applyFill="1"/>
    <xf numFmtId="0" fontId="18" fillId="0" borderId="0" xfId="0" applyFont="1"/>
    <xf numFmtId="0" fontId="17" fillId="0" borderId="4" xfId="0" applyFont="1" applyFill="1" applyBorder="1" applyAlignment="1">
      <alignment vertical="center"/>
    </xf>
    <xf numFmtId="165" fontId="13" fillId="0" borderId="0" xfId="0" applyNumberFormat="1" applyFont="1"/>
    <xf numFmtId="0" fontId="10" fillId="0" borderId="0" xfId="0" applyFont="1" applyAlignment="1">
      <alignment horizontal="center"/>
    </xf>
    <xf numFmtId="0" fontId="13" fillId="0" borderId="0" xfId="0" applyNumberFormat="1" applyFont="1"/>
    <xf numFmtId="0" fontId="6" fillId="9" borderId="1" xfId="0" applyFont="1" applyFill="1" applyBorder="1" applyAlignment="1" applyProtection="1">
      <alignment horizontal="right"/>
    </xf>
    <xf numFmtId="0" fontId="13" fillId="0" borderId="0" xfId="0" quotePrefix="1" applyFont="1"/>
    <xf numFmtId="3" fontId="13" fillId="0" borderId="0" xfId="0" applyNumberFormat="1" applyFont="1" applyAlignment="1"/>
    <xf numFmtId="3" fontId="13" fillId="10" borderId="0" xfId="0" applyNumberFormat="1" applyFont="1" applyFill="1" applyAlignment="1"/>
    <xf numFmtId="2" fontId="13" fillId="0" borderId="0" xfId="0" applyNumberFormat="1" applyFont="1"/>
    <xf numFmtId="0" fontId="13" fillId="0" borderId="0" xfId="0" applyFont="1" applyFill="1" applyBorder="1" applyAlignment="1">
      <alignment vertical="center"/>
    </xf>
    <xf numFmtId="0" fontId="19" fillId="0" borderId="0" xfId="0" applyFont="1"/>
    <xf numFmtId="164" fontId="6" fillId="11" borderId="3" xfId="0" applyNumberFormat="1" applyFont="1" applyFill="1" applyBorder="1" applyAlignment="1" applyProtection="1">
      <alignment horizontal="right"/>
    </xf>
    <xf numFmtId="0" fontId="13" fillId="0" borderId="0" xfId="0" applyNumberFormat="1" applyFont="1" applyFill="1" applyBorder="1" applyAlignment="1"/>
    <xf numFmtId="0" fontId="16" fillId="8" borderId="0" xfId="1" applyFont="1" applyFill="1"/>
    <xf numFmtId="3" fontId="8" fillId="0" borderId="0" xfId="0" applyNumberFormat="1" applyFont="1" applyFill="1" applyAlignment="1"/>
    <xf numFmtId="0" fontId="13" fillId="0" borderId="0" xfId="0" quotePrefix="1" applyFont="1" applyFill="1"/>
    <xf numFmtId="164" fontId="6" fillId="11" borderId="3" xfId="0" applyNumberFormat="1" applyFont="1" applyFill="1" applyBorder="1" applyAlignment="1" applyProtection="1">
      <alignment horizontal="center"/>
    </xf>
    <xf numFmtId="0" fontId="6" fillId="9" borderId="5" xfId="0" applyFont="1" applyFill="1" applyBorder="1" applyAlignment="1" applyProtection="1">
      <alignment horizontal="right"/>
    </xf>
    <xf numFmtId="0" fontId="17" fillId="0" borderId="4" xfId="0" quotePrefix="1" applyFont="1" applyFill="1" applyBorder="1" applyAlignment="1"/>
    <xf numFmtId="0" fontId="11" fillId="3" borderId="6" xfId="1" applyFont="1" applyFill="1" applyBorder="1" applyAlignment="1">
      <alignment horizont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'Tab (2)'!$B$18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'Tab (2)'!$A$19:$A$38</c:f>
              <c:strCache/>
            </c:strRef>
          </c:cat>
          <c:val>
            <c:numRef>
              <c:f>'Tab (2)'!$B$19:$B$38</c:f>
              <c:numCache/>
            </c:numRef>
          </c:val>
          <c:smooth val="0"/>
        </c:ser>
        <c:ser>
          <c:idx val="1"/>
          <c:order val="1"/>
          <c:tx>
            <c:strRef>
              <c:f>'Tab (2)'!$C$18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'Tab (2)'!$A$19:$A$38</c:f>
              <c:strCache/>
            </c:strRef>
          </c:cat>
          <c:val>
            <c:numRef>
              <c:f>'Tab (2)'!$C$19:$C$38</c:f>
              <c:numCache/>
            </c:numRef>
          </c:val>
          <c:smooth val="0"/>
        </c:ser>
        <c:ser>
          <c:idx val="2"/>
          <c:order val="2"/>
          <c:tx>
            <c:strRef>
              <c:f>'Tab (2)'!$D$18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'Tab (2)'!$A$19:$A$38</c:f>
              <c:strCache/>
            </c:strRef>
          </c:cat>
          <c:val>
            <c:numRef>
              <c:f>'Tab (2)'!$D$19:$D$38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Tab!$B$15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2.png" /><Relationship Id="rId3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20</xdr:col>
      <xdr:colOff>0</xdr:colOff>
      <xdr:row>42</xdr:row>
      <xdr:rowOff>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26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9509" y="149225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189865</xdr:rowOff>
    </xdr:from>
    <xdr:to>
      <xdr:col>5</xdr:col>
      <xdr:colOff>187454</xdr:colOff>
      <xdr:row>8</xdr:row>
      <xdr:rowOff>189865</xdr:rowOff>
    </xdr:to>
    <xdr:pic>
      <xdr:nvPicPr>
        <xdr:cNvPr id="27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9509" y="168211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189865</xdr:rowOff>
    </xdr:from>
    <xdr:to>
      <xdr:col>5</xdr:col>
      <xdr:colOff>187454</xdr:colOff>
      <xdr:row>10</xdr:row>
      <xdr:rowOff>0</xdr:rowOff>
    </xdr:to>
    <xdr:pic>
      <xdr:nvPicPr>
        <xdr:cNvPr id="28" name="Picture 5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9509" y="187198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38"/>
  <sheetViews>
    <sheetView tabSelected="1" workbookViewId="0"/>
  </sheetViews>
  <sheetFormatPr defaultColWidth="11.42578125" defaultRowHeight="14.95"/>
  <cols>
    <col min="1" max="1" width="44.42578125" style="35" customWidth="1"/>
    <col min="2" max="25" width="11.7109375" customWidth="1"/>
    <col min="26" max="26" width="11.28515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9" t="s">
        <v>67</v>
      </c>
      <c s="9"/>
      <c s="9"/>
      <c s="9"/>
      <c s="9"/>
      <c s="3"/>
      <c s="3"/>
    </row>
    <row s="32" customFormat="1">
      <c s="7" t="s">
        <v>53</v>
      </c>
      <c s="7"/>
      <c s="7"/>
      <c s="7"/>
      <c s="7"/>
      <c s="18"/>
      <c s="18"/>
    </row>
    <row s="32" customFormat="1">
      <c s="5" t="s">
        <v>113</v>
      </c>
      <c s="5"/>
      <c s="5"/>
      <c s="5"/>
      <c s="5"/>
      <c s="5"/>
      <c s="5"/>
    </row>
    <row ht="26.25" customHeight="1" s="32" customFormat="1">
      <c s="4" t="s">
        <v>20</v>
      </c>
      <c s="4"/>
      <c s="4"/>
      <c s="4"/>
      <c s="4"/>
      <c s="4"/>
      <c s="4"/>
      <c s="12"/>
      <c s="12"/>
      <c s="12"/>
      <c s="12"/>
    </row>
    <row>
      <c s="29" t="s">
        <v>112</v>
      </c>
      <c s="6"/>
      <c s="6"/>
      <c s="6"/>
      <c s="6"/>
      <c s="6"/>
      <c s="6"/>
    </row>
    <row>
      <c s="31" t="s">
        <v>94</v>
      </c>
      <c s="11"/>
      <c s="11"/>
      <c s="11"/>
      <c s="11"/>
      <c s="3"/>
      <c s="3"/>
    </row>
    <row ht="16.5" customHeight="1">
      <c s="26"/>
      <c s="3"/>
      <c s="3"/>
      <c s="3"/>
      <c s="3"/>
      <c s="3"/>
      <c s="3"/>
      <c r="J7" s="34"/>
    </row>
    <row>
      <c s="14" t="s">
        <v>0</v>
      </c>
      <c s="27" t="s">
        <v>88</v>
      </c>
    </row>
    <row>
      <c s="14" t="s">
        <v>10</v>
      </c>
      <c s="27" t="s">
        <v>27</v>
      </c>
    </row>
    <row>
      <c s="14" t="s">
        <v>95</v>
      </c>
      <c s="27" t="s">
        <v>27</v>
      </c>
    </row>
    <row ht="15" hidden="1">
      <c s="14" t="s">
        <v>89</v>
      </c>
      <c s="27" t="s">
        <v>11</v>
      </c>
    </row>
    <row>
      <c/>
    </row>
    <row>
      <c/>
    </row>
    <row>
      <c/>
      <c s="8" t="s">
        <v>68</v>
      </c>
      <c s="8"/>
      <c s="8"/>
      <c s="8"/>
      <c s="8"/>
    </row>
    <row ht="15" customHeight="1">
      <c/>
      <c s="8" t="s">
        <v>12</v>
      </c>
      <c s="8"/>
      <c s="8"/>
      <c s="17" t="s">
        <v>78</v>
      </c>
      <c s="17"/>
    </row>
    <row ht="15" customHeight="1">
      <c s="14" t="s">
        <v>1</v>
      </c>
      <c s="10" t="s">
        <v>2</v>
      </c>
      <c s="10" t="s">
        <v>39</v>
      </c>
      <c s="30" t="s">
        <v>27</v>
      </c>
      <c s="10" t="s">
        <v>2</v>
      </c>
      <c s="10" t="s">
        <v>39</v>
      </c>
    </row>
    <row ht="15" customHeight="1">
      <c s="38" t="s">
        <v>19</v>
      </c>
      <c s="20">
        <v>3363</v>
      </c>
      <c s="20">
        <v>2126</v>
      </c>
      <c s="28">
        <v>5489</v>
      </c>
      <c s="19">
        <v>0.61267990526507565</v>
      </c>
      <c s="19">
        <v>0.3873200947349244</v>
      </c>
    </row>
    <row ht="15" customHeight="1">
      <c s="38" t="s">
        <v>66</v>
      </c>
      <c s="20">
        <v>3235</v>
      </c>
      <c s="20">
        <v>1990</v>
      </c>
      <c s="28">
        <v>5225</v>
      </c>
      <c s="19">
        <v>0.61913875598086121</v>
      </c>
      <c s="19">
        <v>0.38086124401913873</v>
      </c>
    </row>
    <row>
      <c s="38" t="s">
        <v>120</v>
      </c>
      <c s="20">
        <v>3044</v>
      </c>
      <c s="20">
        <v>1826</v>
      </c>
      <c s="28">
        <v>4870</v>
      </c>
      <c s="19">
        <v>0.62505133470225871</v>
      </c>
      <c s="19">
        <v>0.37494866529774129</v>
      </c>
    </row>
    <row>
      <c s="38" t="s">
        <v>47</v>
      </c>
      <c s="20">
        <v>2921</v>
      </c>
      <c s="20">
        <v>1781</v>
      </c>
      <c s="28">
        <v>4702</v>
      </c>
      <c s="19">
        <v>0.62122501063377289</v>
      </c>
      <c s="19">
        <v>0.37877498936622711</v>
      </c>
    </row>
    <row>
      <c s="38" t="s">
        <v>105</v>
      </c>
      <c s="20">
        <v>2841</v>
      </c>
      <c s="20">
        <v>1721</v>
      </c>
      <c s="28">
        <v>4562</v>
      </c>
      <c s="19">
        <v>0.62275317843051292</v>
      </c>
      <c s="19">
        <v>0.37724682156948708</v>
      </c>
    </row>
    <row>
      <c s="38" t="s">
        <v>71</v>
      </c>
      <c s="20">
        <v>2987</v>
      </c>
      <c s="20">
        <v>1832</v>
      </c>
      <c s="28">
        <v>4819</v>
      </c>
      <c s="19">
        <v>0.61983814069308985</v>
      </c>
      <c s="19">
        <v>0.38016185930691015</v>
      </c>
    </row>
    <row>
      <c s="38" t="s">
        <v>22</v>
      </c>
      <c s="20">
        <v>2736</v>
      </c>
      <c s="20">
        <v>1655</v>
      </c>
      <c s="28">
        <v>4391</v>
      </c>
      <c s="19">
        <v>0.62309268959234798</v>
      </c>
      <c s="19">
        <v>0.37690731040765202</v>
      </c>
    </row>
    <row>
      <c s="38" t="s">
        <v>70</v>
      </c>
      <c s="20">
        <v>2652</v>
      </c>
      <c s="20">
        <v>1653</v>
      </c>
      <c s="28">
        <v>4305</v>
      </c>
      <c s="19">
        <v>0.61602787456445995</v>
      </c>
      <c s="19">
        <v>0.38397212543554005</v>
      </c>
    </row>
    <row>
      <c s="38" t="s">
        <v>4</v>
      </c>
      <c s="20">
        <v>2602</v>
      </c>
      <c s="20">
        <v>1630</v>
      </c>
      <c s="28">
        <v>4232</v>
      </c>
      <c s="19">
        <v>0.61483931947069947</v>
      </c>
      <c s="19">
        <v>0.38516068052930058</v>
      </c>
    </row>
    <row>
      <c s="38" t="s">
        <v>55</v>
      </c>
      <c s="20">
        <v>2585</v>
      </c>
      <c s="20">
        <v>1555</v>
      </c>
      <c s="28">
        <v>4140</v>
      </c>
      <c s="19">
        <v>0.62439613526570048</v>
      </c>
      <c s="19">
        <v>0.37560386473429952</v>
      </c>
    </row>
    <row>
      <c s="38" t="s">
        <v>114</v>
      </c>
      <c s="20">
        <v>2421</v>
      </c>
      <c s="20">
        <v>1509</v>
      </c>
      <c s="28">
        <v>3930</v>
      </c>
      <c s="19">
        <v>0.61603053435114508</v>
      </c>
      <c s="19">
        <v>0.38396946564885498</v>
      </c>
    </row>
    <row>
      <c s="38" t="s">
        <v>40</v>
      </c>
      <c s="20">
        <v>2289</v>
      </c>
      <c s="20">
        <v>1474</v>
      </c>
      <c s="28">
        <v>3763</v>
      </c>
      <c s="19">
        <v>0.60829125697581721</v>
      </c>
      <c s="19">
        <v>0.39170874302418285</v>
      </c>
    </row>
    <row>
      <c s="38" t="s">
        <v>96</v>
      </c>
      <c s="20">
        <v>2405</v>
      </c>
      <c s="20">
        <v>1563</v>
      </c>
      <c s="28">
        <v>3968</v>
      </c>
      <c s="19">
        <v>0.60609879032258063</v>
      </c>
      <c s="19">
        <v>0.39390120967741937</v>
      </c>
    </row>
    <row>
      <c s="38" t="s">
        <v>28</v>
      </c>
      <c s="20">
        <v>1958</v>
      </c>
      <c s="20">
        <v>1395</v>
      </c>
      <c s="28">
        <v>3353</v>
      </c>
      <c s="19">
        <v>0.58395466746197433</v>
      </c>
      <c s="19">
        <v>0.41604533253802567</v>
      </c>
    </row>
    <row>
      <c s="38" t="s">
        <v>79</v>
      </c>
      <c s="20">
        <v>1786</v>
      </c>
      <c s="20">
        <v>1321</v>
      </c>
      <c s="28">
        <v>3107</v>
      </c>
      <c s="19">
        <v>0.57483102671387187</v>
      </c>
      <c s="19">
        <v>0.42516897328612807</v>
      </c>
    </row>
    <row>
      <c s="38" t="s">
        <v>46</v>
      </c>
      <c s="20">
        <v>1715</v>
      </c>
      <c s="20">
        <v>1253</v>
      </c>
      <c s="28">
        <v>2968</v>
      </c>
      <c s="19">
        <v>0.57783018867924529</v>
      </c>
      <c s="19">
        <v>0.42216981132075471</v>
      </c>
    </row>
    <row>
      <c s="38" t="s">
        <v>126</v>
      </c>
      <c s="20">
        <v>1448</v>
      </c>
      <c s="20">
        <v>1006</v>
      </c>
      <c s="28">
        <v>2454</v>
      </c>
      <c s="19">
        <v>0.59005704971475148</v>
      </c>
      <c s="19">
        <v>0.40994295028524858</v>
      </c>
    </row>
    <row>
      <c s="38" t="s">
        <v>48</v>
      </c>
      <c s="20">
        <v>1395</v>
      </c>
      <c s="20">
        <v>982</v>
      </c>
      <c s="28">
        <v>2377</v>
      </c>
      <c s="19">
        <v>0.58687421119057637</v>
      </c>
      <c s="19">
        <v>0.41312578880942363</v>
      </c>
    </row>
    <row>
      <c s="38" t="s">
        <v>104</v>
      </c>
      <c s="20">
        <v>1306</v>
      </c>
      <c s="20">
        <v>919</v>
      </c>
      <c s="28">
        <v>2225</v>
      </c>
      <c s="19">
        <v>0.58696629213483142</v>
      </c>
      <c s="19">
        <v>0.41303370786516852</v>
      </c>
    </row>
    <row>
      <c s="38" t="s">
        <v>31</v>
      </c>
      <c s="20">
        <v>1307</v>
      </c>
      <c s="20">
        <v>915</v>
      </c>
      <c s="28">
        <v>2222</v>
      </c>
      <c s="19">
        <v>0.58820882088208826</v>
      </c>
      <c s="19">
        <v>0.4117911791179118</v>
      </c>
    </row>
    <row>
      <c s="38" t="s">
        <v>90</v>
      </c>
      <c s="20">
        <v>1278</v>
      </c>
      <c s="20">
        <v>879</v>
      </c>
      <c s="28">
        <v>2157</v>
      </c>
      <c s="19">
        <v>0.59248956884561887</v>
      </c>
      <c s="19">
        <v>0.40751043115438107</v>
      </c>
    </row>
    <row>
      <c s="38" t="s">
        <v>21</v>
      </c>
      <c s="20">
        <v>1287</v>
      </c>
      <c s="20">
        <v>853</v>
      </c>
      <c s="28">
        <v>2140</v>
      </c>
      <c s="19">
        <v>0.6014018691588785</v>
      </c>
      <c s="19">
        <v>0.3985981308411215</v>
      </c>
    </row>
    <row>
      <c s="38" t="s">
        <v>69</v>
      </c>
      <c s="20">
        <v>1324</v>
      </c>
      <c s="20">
        <v>872</v>
      </c>
      <c s="28">
        <v>2196</v>
      </c>
      <c s="19">
        <v>0.60291438979963574</v>
      </c>
      <c s="19">
        <v>0.39708561020036431</v>
      </c>
    </row>
    <row>
      <c s="38" t="s">
        <v>3</v>
      </c>
      <c s="20">
        <v>1399</v>
      </c>
      <c s="20">
        <v>910</v>
      </c>
      <c s="28">
        <v>2309</v>
      </c>
      <c s="19">
        <v>0.60588999566912083</v>
      </c>
      <c s="19">
        <v>0.39411000433087917</v>
      </c>
    </row>
    <row>
      <c s="38" t="s">
        <v>54</v>
      </c>
      <c s="20">
        <v>2755</v>
      </c>
      <c s="20">
        <v>1731</v>
      </c>
      <c s="28">
        <v>4486</v>
      </c>
      <c s="19">
        <v>0.61413285777975923</v>
      </c>
      <c s="19">
        <v>0.38586714222024077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39"/>
      <c s="2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3:F3"/>
    <mergeCell ref="A4:G4"/>
    <mergeCell ref="B14:F14"/>
    <mergeCell ref="B15:D15"/>
    <mergeCell ref="E15:F15"/>
  </mergeCells>
  <pageMargins left="0.70866141732283472" right="0.70866141732283472" top="0.78740157480314965" bottom="0.78740157480314965" header="0.31496062992125984" footer="0.31496062992125984"/>
  <pageSetup paperSize="9" scale="79" fitToWidth="2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7" max="41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L638"/>
  <sheetViews>
    <sheetView workbookViewId="0">
      <selection activeCell="A43" sqref="A43"/>
    </sheetView>
  </sheetViews>
  <sheetFormatPr defaultColWidth="11.42578125" defaultRowHeight="15"/>
  <cols>
    <col min="1" max="1" width="44.42578125" style="35" customWidth="1"/>
    <col min="2" max="25" width="11.7109375" customWidth="1"/>
    <col min="26" max="26" width="11.28515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 ht="14.95">
      <c s="9" t="s">
        <v>67</v>
      </c>
      <c s="9"/>
      <c s="9"/>
      <c s="9"/>
      <c s="9"/>
      <c s="3"/>
      <c s="3"/>
    </row>
    <row ht="14.95" s="32" customFormat="1">
      <c s="7" t="s">
        <v>53</v>
      </c>
      <c s="7"/>
      <c s="7"/>
      <c s="7"/>
      <c s="7"/>
      <c s="18"/>
      <c s="18"/>
    </row>
    <row ht="14.95" s="32" customFormat="1">
      <c s="5" t="s">
        <v>113</v>
      </c>
      <c s="5"/>
      <c s="5"/>
      <c s="5"/>
      <c s="5"/>
      <c s="5"/>
      <c s="5"/>
    </row>
    <row ht="26.25" customHeight="1" s="32" customFormat="1">
      <c s="4" t="s">
        <v>20</v>
      </c>
      <c s="4"/>
      <c s="4"/>
      <c s="4"/>
      <c s="4"/>
      <c s="4"/>
      <c s="4"/>
      <c s="12"/>
      <c s="12"/>
      <c s="12"/>
      <c s="12"/>
    </row>
    <row ht="14.95">
      <c s="29" t="s">
        <v>112</v>
      </c>
      <c s="6"/>
      <c s="6"/>
      <c s="6"/>
      <c s="6"/>
      <c s="6"/>
      <c s="6"/>
    </row>
    <row ht="14.95">
      <c s="31" t="s">
        <v>94</v>
      </c>
      <c s="11"/>
      <c s="11"/>
      <c s="11"/>
      <c s="11"/>
      <c s="3"/>
      <c s="3"/>
    </row>
    <row ht="16.5" customHeight="1">
      <c s="26"/>
      <c s="3"/>
      <c s="3"/>
      <c s="3"/>
      <c s="3"/>
      <c s="3"/>
      <c s="3"/>
      <c r="J7" s="34"/>
    </row>
    <row ht="14.95">
      <c s="14" t="s">
        <v>0</v>
      </c>
      <c s="27" t="s">
        <v>88</v>
      </c>
    </row>
    <row ht="14.95">
      <c s="14" t="s">
        <v>10</v>
      </c>
      <c s="27" t="s">
        <v>27</v>
      </c>
    </row>
    <row ht="14.95">
      <c s="14" t="s">
        <v>95</v>
      </c>
      <c s="27" t="s">
        <v>27</v>
      </c>
    </row>
    <row ht="14.95">
      <c s="14" t="s">
        <v>60</v>
      </c>
      <c s="27" t="s">
        <v>27</v>
      </c>
    </row>
    <row hidden="1">
      <c s="14" t="s">
        <v>89</v>
      </c>
      <c s="27" t="s">
        <v>11</v>
      </c>
    </row>
    <row ht="14.95">
      <c/>
    </row>
    <row ht="14.95">
      <c/>
    </row>
    <row ht="15" hidden="1" customHeight="1">
      <c/>
      <c s="14" t="s">
        <v>45</v>
      </c>
      <c s="14" t="s">
        <v>38</v>
      </c>
      <c s="14" t="s">
        <v>119</v>
      </c>
    </row>
    <row ht="15" customHeight="1">
      <c/>
      <c s="8" t="s">
        <v>68</v>
      </c>
      <c s="8"/>
      <c s="8"/>
      <c s="8"/>
      <c s="8"/>
    </row>
    <row ht="15" customHeight="1">
      <c/>
      <c s="8" t="s">
        <v>12</v>
      </c>
      <c s="8"/>
      <c s="8"/>
      <c s="17" t="s">
        <v>78</v>
      </c>
      <c s="17"/>
    </row>
    <row ht="15" customHeight="1">
      <c s="14" t="s">
        <v>59</v>
      </c>
      <c s="10" t="s">
        <v>2</v>
      </c>
      <c s="10" t="s">
        <v>39</v>
      </c>
      <c s="30" t="s">
        <v>27</v>
      </c>
      <c s="10" t="s">
        <v>2</v>
      </c>
      <c s="10" t="s">
        <v>39</v>
      </c>
    </row>
    <row ht="14.95">
      <c s="38" t="s">
        <v>117</v>
      </c>
      <c s="20">
        <v>3363</v>
      </c>
      <c s="20">
        <v>2126</v>
      </c>
      <c s="28">
        <v>5489</v>
      </c>
      <c s="19">
        <v>0.61267990526507565</v>
      </c>
      <c s="19">
        <v>0.3873200947349244</v>
      </c>
    </row>
    <row ht="14.95">
      <c s="38" t="s">
        <v>87</v>
      </c>
      <c s="20">
        <v>3235</v>
      </c>
      <c s="20">
        <v>1990</v>
      </c>
      <c s="28">
        <v>5225</v>
      </c>
      <c s="19">
        <v>0.61913875598086121</v>
      </c>
      <c s="19">
        <v>0.38086124401913873</v>
      </c>
    </row>
    <row ht="14.95">
      <c s="38" t="s">
        <v>52</v>
      </c>
      <c s="20">
        <v>3044</v>
      </c>
      <c s="20">
        <v>1826</v>
      </c>
      <c s="28">
        <v>4870</v>
      </c>
      <c s="19">
        <v>0.62505133470225871</v>
      </c>
      <c s="19">
        <v>0.37494866529774129</v>
      </c>
    </row>
    <row ht="14.95">
      <c s="38" t="s">
        <v>18</v>
      </c>
      <c s="20">
        <v>2921</v>
      </c>
      <c s="20">
        <v>1781</v>
      </c>
      <c s="28">
        <v>4702</v>
      </c>
      <c s="19">
        <v>0.62122501063377289</v>
      </c>
      <c s="19">
        <v>0.37877498936622711</v>
      </c>
    </row>
    <row ht="14.95">
      <c s="38" t="s">
        <v>111</v>
      </c>
      <c s="20">
        <v>2841</v>
      </c>
      <c s="20">
        <v>1721</v>
      </c>
      <c s="28">
        <v>4562</v>
      </c>
      <c s="19">
        <v>0.62275317843051292</v>
      </c>
      <c s="19">
        <v>0.37724682156948708</v>
      </c>
    </row>
    <row ht="14.95">
      <c s="38" t="s">
        <v>51</v>
      </c>
      <c s="20">
        <v>2987</v>
      </c>
      <c s="20">
        <v>1832</v>
      </c>
      <c s="28">
        <v>4819</v>
      </c>
      <c s="19">
        <v>0.61983814069308985</v>
      </c>
      <c s="19">
        <v>0.38016185930691015</v>
      </c>
    </row>
    <row ht="14.95">
      <c s="38" t="s">
        <v>26</v>
      </c>
      <c s="20">
        <v>2736</v>
      </c>
      <c s="20">
        <v>1655</v>
      </c>
      <c s="28">
        <v>4391</v>
      </c>
      <c s="19">
        <v>0.62309268959234798</v>
      </c>
      <c s="19">
        <v>0.37690731040765202</v>
      </c>
    </row>
    <row ht="14.95">
      <c s="38" t="s">
        <v>116</v>
      </c>
      <c s="20">
        <v>2652</v>
      </c>
      <c s="20">
        <v>1653</v>
      </c>
      <c s="28">
        <v>4305</v>
      </c>
      <c s="19">
        <v>0.61602787456445995</v>
      </c>
      <c s="19">
        <v>0.38397212543554005</v>
      </c>
    </row>
    <row ht="14.95">
      <c s="38" t="s">
        <v>86</v>
      </c>
      <c s="20">
        <v>2602</v>
      </c>
      <c s="20">
        <v>1630</v>
      </c>
      <c s="28">
        <v>4232</v>
      </c>
      <c s="19">
        <v>0.61483931947069947</v>
      </c>
      <c s="19">
        <v>0.38516068052930058</v>
      </c>
    </row>
    <row ht="14.95">
      <c s="38" t="s">
        <v>50</v>
      </c>
      <c s="20">
        <v>2585</v>
      </c>
      <c s="20">
        <v>1555</v>
      </c>
      <c s="28">
        <v>4140</v>
      </c>
      <c s="19">
        <v>0.62439613526570048</v>
      </c>
      <c s="19">
        <v>0.37560386473429952</v>
      </c>
    </row>
    <row ht="14.95">
      <c s="38" t="s">
        <v>25</v>
      </c>
      <c s="20">
        <v>2421</v>
      </c>
      <c s="20">
        <v>1509</v>
      </c>
      <c s="28">
        <v>3930</v>
      </c>
      <c s="19">
        <v>0.61603053435114508</v>
      </c>
      <c s="19">
        <v>0.38396946564885498</v>
      </c>
    </row>
    <row ht="14.95">
      <c s="38" t="s">
        <v>110</v>
      </c>
      <c s="20">
        <v>2289</v>
      </c>
      <c s="20">
        <v>1474</v>
      </c>
      <c s="28">
        <v>3763</v>
      </c>
      <c s="19">
        <v>0.60829125697581721</v>
      </c>
      <c s="19">
        <v>0.39170874302418285</v>
      </c>
    </row>
    <row ht="14.95">
      <c s="38" t="s">
        <v>77</v>
      </c>
      <c s="20">
        <v>2405</v>
      </c>
      <c s="20">
        <v>1563</v>
      </c>
      <c s="28">
        <v>3968</v>
      </c>
      <c s="19">
        <v>0.60609879032258063</v>
      </c>
      <c s="19">
        <v>0.39390120967741937</v>
      </c>
    </row>
    <row ht="14.95">
      <c s="38" t="s">
        <v>44</v>
      </c>
      <c s="20">
        <v>1958</v>
      </c>
      <c s="20">
        <v>1395</v>
      </c>
      <c s="28">
        <v>3353</v>
      </c>
      <c s="19">
        <v>0.58395466746197433</v>
      </c>
      <c s="19">
        <v>0.41604533253802567</v>
      </c>
    </row>
    <row ht="14.95">
      <c s="38" t="s">
        <v>17</v>
      </c>
      <c s="20">
        <v>1786</v>
      </c>
      <c s="20">
        <v>1321</v>
      </c>
      <c s="28">
        <v>3107</v>
      </c>
      <c s="19">
        <v>0.57483102671387187</v>
      </c>
      <c s="19">
        <v>0.42516897328612807</v>
      </c>
    </row>
    <row ht="14.95">
      <c s="38" t="s">
        <v>85</v>
      </c>
      <c s="20">
        <v>1715</v>
      </c>
      <c s="20">
        <v>1253</v>
      </c>
      <c s="28">
        <v>2968</v>
      </c>
      <c s="19">
        <v>0.57783018867924529</v>
      </c>
      <c s="19">
        <v>0.42216981132075471</v>
      </c>
    </row>
    <row ht="14.95">
      <c s="38" t="s">
        <v>49</v>
      </c>
      <c s="20">
        <v>1448</v>
      </c>
      <c s="20">
        <v>1006</v>
      </c>
      <c s="28">
        <v>2454</v>
      </c>
      <c s="19">
        <v>0.59005704971475148</v>
      </c>
      <c s="19">
        <v>0.40994295028524858</v>
      </c>
    </row>
    <row ht="14.95">
      <c s="38" t="s">
        <v>24</v>
      </c>
      <c s="20">
        <v>1395</v>
      </c>
      <c s="20">
        <v>982</v>
      </c>
      <c s="28">
        <v>2377</v>
      </c>
      <c s="19">
        <v>0.58687421119057637</v>
      </c>
      <c s="19">
        <v>0.41312578880942363</v>
      </c>
    </row>
    <row ht="14.95">
      <c s="38" t="s">
        <v>118</v>
      </c>
      <c s="20">
        <v>1306</v>
      </c>
      <c s="20">
        <v>919</v>
      </c>
      <c s="28">
        <v>2225</v>
      </c>
      <c s="19">
        <v>0.58696629213483142</v>
      </c>
      <c s="19">
        <v>0.41303370786516852</v>
      </c>
    </row>
    <row ht="14.95">
      <c s="38" t="s">
        <v>84</v>
      </c>
      <c s="20">
        <v>1307</v>
      </c>
      <c s="20">
        <v>915</v>
      </c>
      <c s="28">
        <v>2222</v>
      </c>
      <c s="19">
        <v>0.58820882088208826</v>
      </c>
      <c s="19">
        <v>0.4117911791179118</v>
      </c>
    </row>
    <row ht="14.95">
      <c s="38" t="s">
        <v>43</v>
      </c>
      <c s="20">
        <v>1278</v>
      </c>
      <c s="20">
        <v>879</v>
      </c>
      <c s="28">
        <v>2157</v>
      </c>
      <c s="19">
        <v>0.59248956884561887</v>
      </c>
      <c s="19">
        <v>0.40751043115438107</v>
      </c>
    </row>
    <row ht="14.95">
      <c s="38" t="s">
        <v>16</v>
      </c>
      <c s="20">
        <v>1287</v>
      </c>
      <c s="20">
        <v>853</v>
      </c>
      <c s="28">
        <v>2140</v>
      </c>
      <c s="19">
        <v>0.6014018691588785</v>
      </c>
      <c s="19">
        <v>0.3985981308411215</v>
      </c>
    </row>
    <row ht="14.95">
      <c s="38" t="s">
        <v>109</v>
      </c>
      <c s="20">
        <v>1324</v>
      </c>
      <c s="20">
        <v>872</v>
      </c>
      <c s="28">
        <v>2196</v>
      </c>
      <c s="19">
        <v>0.60291438979963574</v>
      </c>
      <c s="19">
        <v>0.39708561020036431</v>
      </c>
    </row>
    <row ht="14.95">
      <c s="38" t="s">
        <v>76</v>
      </c>
      <c s="20">
        <v>1399</v>
      </c>
      <c s="20">
        <v>910</v>
      </c>
      <c s="28">
        <v>2309</v>
      </c>
      <c s="19">
        <v>0.60588999566912083</v>
      </c>
      <c s="19">
        <v>0.39411000433087917</v>
      </c>
    </row>
    <row ht="14.95">
      <c s="38" t="s">
        <v>42</v>
      </c>
      <c s="20">
        <v>2755</v>
      </c>
      <c s="20">
        <v>1731</v>
      </c>
      <c s="28">
        <v>4486</v>
      </c>
      <c s="19">
        <v>0.61413285777975923</v>
      </c>
      <c s="19">
        <v>0.38586714222024077</v>
      </c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39"/>
      <c s="2"/>
      <c s="2"/>
      <c s="2"/>
      <c s="2"/>
      <c s="2"/>
      <c s="2"/>
      <c s="2"/>
      <c s="2"/>
      <c s="2"/>
      <c s="2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</sheetData>
  <mergeCells count="5">
    <mergeCell ref="A3:F3"/>
    <mergeCell ref="A4:G4"/>
    <mergeCell ref="B16:F16"/>
    <mergeCell ref="B17:D17"/>
    <mergeCell ref="E17:F17"/>
  </mergeCells>
  <pageMargins left="0.70866141732283472" right="0.70866141732283472" top="0.78740157480314965" bottom="0.78740157480314965" header="0.31496062992125984" footer="0.31496062992125984"/>
  <pageSetup paperSize="9" scale="79" fitToWidth="2" orientation="landscape"/>
  <headerFooter>
    <oddHeader>&amp;L&amp;"Tahoma,Standard"&amp;10bmbwf, Abt. IV/10&amp;R&amp;"Tahoma,Standard"&amp;10unidata/&amp;D</oddHeader>
    <oddFooter>&amp;R&amp;"Tahoma,Standard"&amp;10&amp;P/&amp;N</oddFooter>
  </headerFooter>
  <colBreaks count="1" manualBreakCount="1">
    <brk id="7" max="41" man="1"/>
  </colBreaks>
</worksheet>
</file>

<file path=xl/worksheets/sheet3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E27" sqref="E27:E29"/>
    </sheetView>
  </sheetViews>
  <sheetFormatPr defaultColWidth="9.140625" defaultRowHeight="13.6"/>
  <cols>
    <col min="1" max="1" width="13.5703125" style="41" customWidth="1"/>
    <col min="2" max="2" width="40.85546875" style="41" customWidth="1"/>
    <col min="3" max="3" width="28.140625" style="41" customWidth="1"/>
    <col min="4" max="4" width="16.28515625" style="41" customWidth="1"/>
    <col min="5" max="5" width="19.42578125" style="41" customWidth="1"/>
    <col min="6" max="6" width="11.140625" style="41" customWidth="1"/>
    <col min="7" max="7" width="9.140625" style="41" customWidth="1"/>
    <col min="8" max="8" width="17.28515625" style="41" customWidth="1"/>
    <col min="9" max="9" width="19.5703125" style="41" customWidth="1"/>
    <col min="10" max="12" width="12.42578125" style="41" customWidth="1"/>
    <col min="13" max="13" width="16" style="41" customWidth="1"/>
    <col min="14" max="14" width="14.28515625" style="41" customWidth="1"/>
    <col min="15" max="15" width="18.28515625" style="41" customWidth="1"/>
    <col min="16" max="25" width="9.140625" style="41" customWidth="1"/>
    <col min="26" max="26" width="9.140625" style="41" hidden="1" customWidth="1"/>
    <col min="27" max="27" width="9.140625" style="41" customWidth="1"/>
    <col min="28" max="16384" width="9.140625" style="41"/>
  </cols>
  <sheetData>
    <row>
      <c s="53"/>
      <c r="H1" s="51">
        <v>129806172700000000</v>
      </c>
      <c r="Z1" s="58" t="b">
        <f>0=1</f>
        <v>0</v>
      </c>
    </row>
    <row>
      <c r="Z2" s="58" t="b">
        <f>1=1</f>
        <v>1</v>
      </c>
    </row>
    <row>
      <c r="Z3" s="58"/>
    </row>
    <row>
      <c r="I4" s="41" t="s">
        <v>41</v>
      </c>
      <c s="69" t="s">
        <v>91</v>
      </c>
      <c s="16"/>
      <c s="16"/>
      <c s="16"/>
      <c s="16"/>
      <c s="16"/>
    </row>
    <row>
      <c r="J5" s="33" t="s">
        <v>32</v>
      </c>
      <c s="24" t="s">
        <v>61</v>
      </c>
      <c s="24" t="s">
        <v>80</v>
      </c>
      <c s="33" t="s">
        <v>121</v>
      </c>
      <c s="63" t="s">
        <v>97</v>
      </c>
      <c s="24" t="s">
        <v>5</v>
      </c>
    </row>
    <row>
      <c r="B6" s="37" t="s">
        <v>98</v>
      </c>
      <c s="23" t="s">
        <v>106</v>
      </c>
      <c s="68" t="s">
        <v>13</v>
      </c>
      <c s="15" t="s">
        <v>62</v>
      </c>
    </row>
    <row>
      <c r="C7" s="22"/>
      <c s="25" t="s">
        <v>14</v>
      </c>
      <c s="15" t="s">
        <v>72</v>
      </c>
    </row>
    <row>
      <c r="C8" s="25" t="s">
        <v>6</v>
      </c>
      <c s="22"/>
    </row>
    <row>
      <c r="C9" s="22"/>
      <c s="23" t="s">
        <v>33</v>
      </c>
      <c s="60"/>
    </row>
    <row>
      <c r="C10" s="23" t="s">
        <v>56</v>
      </c>
      <c s="47" t="s">
        <v>81</v>
      </c>
      <c s="15" t="s">
        <v>23</v>
      </c>
    </row>
    <row>
      <c r="B11" s="37" t="s">
        <v>63</v>
      </c>
      <c s="50" t="s">
        <v>57</v>
      </c>
      <c s="44">
        <v>60398</v>
      </c>
      <c s="15" t="s">
        <v>34</v>
      </c>
    </row>
    <row>
      <c r="B12" s="37"/>
      <c s="59"/>
      <c s="62"/>
      <c s="52" t="s">
        <v>92</v>
      </c>
    </row>
    <row>
      <c r="B13" s="37" t="s">
        <v>58</v>
      </c>
      <c s="48" t="s">
        <v>29</v>
      </c>
      <c s="46">
        <v>1212</v>
      </c>
      <c s="41" t="b">
        <v>0</v>
      </c>
      <c s="15" t="s">
        <v>82</v>
      </c>
    </row>
    <row ht="12.75" hidden="1">
      <c r="B14" s="37"/>
      <c s="48"/>
      <c s="45"/>
      <c s="41" t="b">
        <v>0</v>
      </c>
    </row>
    <row>
      <c r="B15" s="37" t="s">
        <v>107</v>
      </c>
      <c s="41" t="s">
        <v>115</v>
      </c>
      <c s="56">
        <v>1212</v>
      </c>
      <c s="41" t="b">
        <v>0</v>
      </c>
      <c s="15" t="s">
        <v>30</v>
      </c>
    </row>
    <row ht="12.75" hidden="1">
      <c r="B16" s="37"/>
      <c r="D16" s="21"/>
      <c s="41" t="b">
        <v>0</v>
      </c>
      <c s="15"/>
    </row>
    <row>
      <c r="B17" s="37"/>
      <c s="41" t="s">
        <v>35</v>
      </c>
      <c s="43">
        <v>3434</v>
      </c>
      <c s="41" t="b">
        <v>0</v>
      </c>
      <c s="15" t="s">
        <v>83</v>
      </c>
    </row>
    <row>
      <c r="B18" s="37"/>
      <c r="D18" s="21"/>
      <c s="41" t="b">
        <v>0</v>
      </c>
      <c s="15"/>
    </row>
    <row>
      <c r="B19" s="37"/>
      <c s="41" t="s">
        <v>7</v>
      </c>
      <c s="57">
        <v>3434</v>
      </c>
      <c s="41" t="b">
        <v>0</v>
      </c>
      <c s="15" t="s">
        <v>99</v>
      </c>
    </row>
    <row>
      <c r="B20" s="37"/>
      <c r="D20" s="21"/>
      <c s="41" t="b">
        <v>0</v>
      </c>
      <c s="15"/>
    </row>
    <row>
      <c r="B21" s="37"/>
      <c s="41" t="s">
        <v>100</v>
      </c>
      <c s="64">
        <v>5656</v>
      </c>
      <c s="41" t="b">
        <v>0</v>
      </c>
      <c s="15" t="s">
        <v>122</v>
      </c>
    </row>
    <row>
      <c r="B22" s="37"/>
      <c r="E22" s="15"/>
      <c r="I22" s="49"/>
    </row>
    <row>
      <c r="B23" s="36" t="s">
        <v>8</v>
      </c>
      <c s="36"/>
    </row>
    <row>
      <c r="B24" s="13" t="s">
        <v>64</v>
      </c>
      <c s="13" t="s">
        <v>36</v>
      </c>
      <c s="13" t="s">
        <v>15</v>
      </c>
      <c s="13" t="s">
        <v>101</v>
      </c>
      <c s="13"/>
      <c s="13"/>
      <c s="13" t="s">
        <v>123</v>
      </c>
    </row>
    <row>
      <c s="41" t="s">
        <v>73</v>
      </c>
      <c r="C25" s="65" t="s">
        <v>65</v>
      </c>
      <c s="40" t="s">
        <v>68</v>
      </c>
      <c s="40">
        <v>1234.5599999999999</v>
      </c>
      <c s="15" t="s">
        <v>93</v>
      </c>
      <c r="H25" s="41" t="s">
        <v>102</v>
      </c>
    </row>
    <row>
      <c s="41" t="s">
        <v>108</v>
      </c>
      <c r="C26" s="65" t="s">
        <v>65</v>
      </c>
      <c s="40" t="s">
        <v>68</v>
      </c>
      <c s="40">
        <v>1234.5599999999999</v>
      </c>
      <c s="15" t="s">
        <v>74</v>
      </c>
      <c r="H26" s="41" t="s">
        <v>124</v>
      </c>
    </row>
    <row>
      <c r="C27" s="65" t="s">
        <v>65</v>
      </c>
      <c s="42" t="s">
        <v>68</v>
      </c>
      <c s="40">
        <v>1234.5599999999999</v>
      </c>
      <c r="H27" s="41" t="s">
        <v>75</v>
      </c>
    </row>
    <row>
      <c r="C28" s="55" t="s">
        <v>9</v>
      </c>
      <c s="42" t="s">
        <v>12</v>
      </c>
      <c s="40">
        <v>1234.5599999999999</v>
      </c>
      <c r="H28" s="41" t="s">
        <v>37</v>
      </c>
    </row>
    <row>
      <c r="C29" s="55" t="s">
        <v>9</v>
      </c>
      <c s="66" t="s">
        <v>78</v>
      </c>
      <c s="61">
        <v>1234.5599999999999</v>
      </c>
      <c r="H29" s="41" t="s">
        <v>125</v>
      </c>
    </row>
    <row>
      <c r="C30" s="55" t="s">
        <v>103</v>
      </c>
      <c s="67" t="s">
        <v>27</v>
      </c>
      <c s="5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
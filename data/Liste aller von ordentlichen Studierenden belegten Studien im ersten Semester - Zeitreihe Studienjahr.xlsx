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0725" windowHeight="8370"/>
  </bookViews>
  <sheets>
    <sheet name="Tab" sheetId="1" r:id="rId1"/>
    <sheet name="Tabelle1" sheetId="2" state="hidden" r:id="rId2"/>
    <sheet name="XLCubedFormats" sheetId="3" state="hidden" r:id="rId3"/>
  </sheets>
  <definedNames>
    <definedName name="_xlnm.Print_Area" localSheetId="0">Tab!$A$1:$V$45</definedName>
    <definedName name="_xlnm.Print_Titles" localSheetId="0">Tab!$17:$20</definedName>
    <definedName name="XL3DisableCameraObjects" hidden="1">XLCubedFormats!A1</definedName>
    <definedName name="XL3ObjLocation9d1b78e0_2877_4fa3_9ac7_d56aa8ddafa0">Tab!$A$10</definedName>
    <definedName name="XL3ObjLocationa030cb8f_e100_4de8_a5ce_dfe2abd46f74">Tabelle1!$A$1</definedName>
  </definedNames>
  <calcPr calcId="40001"/>
</workbook>
</file>

<file path=xl/sharedStrings.xml><?xml version="1.0" encoding="utf-8"?>
<sst xmlns="http://schemas.openxmlformats.org/spreadsheetml/2006/main" uniqueCount="191">
  <si>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</si>
  <si>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</si>
  <si>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</si>
  <si>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</si>
  <si>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</si>
  <si>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</si>
  <si>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</si>
  <si>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</si>
  <si>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</si>
  <si>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</si>
  <si>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</si>
  <si>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</si>
  <si>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>[ALLG Wertart].[Wertart]</t>
  </si>
  <si>
    <t>Sommersemester 2001 (Stichtag: 30.09.2001)</t>
  </si>
  <si>
    <t>2008/09</t>
  </si>
  <si>
    <t>Staatengruppe (Ö, EU, andere)</t>
  </si>
  <si>
    <t>Absolutwert</t>
  </si>
  <si>
    <t>Sommersemester 2024 (Stichtag: 30.09.2024)</t>
  </si>
  <si>
    <t>All Marital Status</t>
  </si>
  <si>
    <t>Male</t>
  </si>
  <si>
    <t>Member1 Name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</si>
  <si>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</si>
  <si>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</si>
  <si>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</si>
  <si>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</si>
  <si>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</si>
  <si>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Studien Universitäten</t>
  </si>
  <si>
    <t>ord. Studium</t>
  </si>
  <si>
    <t>Begonnene Studien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</si>
  <si>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</si>
  <si>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</si>
  <si>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</si>
  <si>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</si>
  <si>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</si>
  <si>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</si>
  <si>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</si>
  <si>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</si>
  <si>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</si>
  <si>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Liste aller von ordentlichen Studierenden belegten Studien im ersten Semester - Zeitreihe Studienjahr</t>
  </si>
  <si>
    <t>Gesamt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</si>
  <si>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</si>
  <si>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</si>
  <si>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</si>
  <si>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</si>
  <si>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</si>
  <si>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2010/11</t>
  </si>
  <si>
    <t>Sommersemester 2011 (Stichtag: 30.09.2011)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</si>
  <si>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</si>
  <si>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</si>
  <si>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</si>
  <si>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</si>
  <si>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</si>
  <si>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</si>
  <si>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</si>
  <si>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</si>
  <si>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</si>
  <si>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</si>
  <si>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</si>
  <si>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2022/23</t>
  </si>
  <si>
    <t>Dadurch sind Studien auf ganze Zahlen zu runden und es kann zu Abweichungen zwischen der Gesamtsumme und den addierten Detailergebnissen kommen.</t>
  </si>
  <si>
    <t>Wertart</t>
  </si>
  <si>
    <t>Männer</t>
  </si>
  <si>
    <t>Wintersemester 2013 (Stichtag: 28.02.2014)</t>
  </si>
  <si>
    <t>Studienjahr 2012/13</t>
  </si>
  <si>
    <t>Slice Name (Optional)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</si>
  <si>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</si>
  <si>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</si>
  <si>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</si>
  <si>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</si>
  <si>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</si>
  <si>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</si>
  <si>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</si>
  <si>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</si>
  <si>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Sommersemester 2021 (Stichtag: 30.09.2021)</t>
  </si>
  <si>
    <t>Wintersemester 2009 (Stichtag: 28.02.2010)</t>
  </si>
  <si>
    <t>2011/12</t>
  </si>
  <si>
    <t>Sommersemester 2007 (Stichtag: 30.09.2007)</t>
  </si>
  <si>
    <t>Lehramtsstudien</t>
  </si>
  <si>
    <t>(Members of Universität (Codex)) - (!, ?, ~, Unknown)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</si>
  <si>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</si>
  <si>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</si>
  <si>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</si>
  <si>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</si>
  <si>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</si>
  <si>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</si>
  <si>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</si>
  <si>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</si>
  <si>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</si>
  <si>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Studien von Erstzugelassenen</t>
  </si>
  <si>
    <t>2009/10</t>
  </si>
  <si>
    <t>2023/24</t>
  </si>
  <si>
    <t>ALLG Semester.Studienjahr (Langbezeichnung)</t>
  </si>
  <si>
    <t>Bundesland Universität</t>
  </si>
  <si>
    <t>Studientyp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</si>
  <si>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</si>
  <si>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</si>
  <si>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</si>
  <si>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</si>
  <si>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</si>
  <si>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</si>
  <si>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</si>
  <si>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</si>
  <si>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</si>
  <si>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</si>
  <si>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</si>
  <si>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ISCED2013 3.Ebene (Code, Langtext)</t>
  </si>
  <si>
    <t>(ohne Erweiterungsstudien; bei kombinationspflichtigen Studien bis STJ 2015/16 nur Erstfach gezählt)</t>
  </si>
  <si>
    <t>Wintersemester 2002 (Stichtag: 28.02.2003)</t>
  </si>
  <si>
    <t>Sommersemester 2017 (Stichtag: 30.09.2017)</t>
  </si>
  <si>
    <t>Wintersemester 2017 (Stichtag: 28.02.2018)</t>
  </si>
  <si>
    <t>Sommersemester 2002 (Stichtag: 30.09.2002)</t>
  </si>
  <si>
    <t>Wintersemester 2019 (Stichtag: 28.02.2020)</t>
  </si>
  <si>
    <t>Studienjahr 2007/08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</si>
  <si>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</si>
  <si>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</si>
  <si>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</si>
  <si>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</si>
  <si>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</si>
  <si>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</si>
  <si>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Studienfamilie (Kurztext)</t>
  </si>
  <si>
    <t>Studienfach (Fachcode)</t>
  </si>
  <si>
    <t>Frauen-/Männeranteil in %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</si>
  <si>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</si>
  <si>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</si>
  <si>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</si>
  <si>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</si>
  <si>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</si>
  <si>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</si>
  <si>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</si>
  <si>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</si>
  <si>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</si>
  <si>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(UA, UB, UC, UD, UE, UF, UG, UH, UI, UJ, UK, UL, UM, UN, UO, UQ, UR, US, UT, UU, UV, UW, UZ) - (!, ?, ~, Unknown)</t>
  </si>
  <si>
    <t>Studienart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</si>
  <si>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</si>
  <si>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</si>
  <si>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</si>
  <si>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</si>
  <si>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</si>
  <si>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</si>
  <si>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Ordentliche Studien</t>
  </si>
  <si>
    <t>&lt;-- Gesamtspalte</t>
  </si>
  <si>
    <t>2006/07</t>
  </si>
  <si>
    <t>2018/19</t>
  </si>
  <si>
    <t>(Members of Studienfach (Fachcode)) - (Keine Angabe, Keine Angabe, Erweiterungsstudium, Zweitfach)</t>
  </si>
  <si>
    <t>Datenprüfung und -aufbereitung: bmfwf, Abt. I/10</t>
  </si>
  <si>
    <t>Universität-Ausrichtung</t>
  </si>
  <si>
    <t>Wintersemester 2012 (Stichtag: 28.02.2013)</t>
  </si>
  <si>
    <t>Studienjahr 2008/09</t>
  </si>
  <si>
    <t>Sommersemester 2012 (Stichtag: 30.09.2012)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</si>
  <si>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</si>
  <si>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</si>
  <si>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</si>
  <si>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</si>
  <si>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</si>
  <si>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</si>
  <si>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</si>
  <si>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</si>
  <si>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</si>
  <si>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Universität (Codex)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</si>
  <si>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</si>
  <si>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</si>
  <si>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</si>
  <si>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</si>
  <si>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</si>
  <si>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</si>
  <si>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</si>
  <si>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</si>
  <si>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</si>
  <si>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>Sommersemester 2006 (Stichtag: 30.09.2006)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</si>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</sst>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262626"/>
      <name val="Tahoma"/>
      <family val="2"/>
    </font>
    <font>
      <sz val="10"/>
      <color theme="1"/>
      <name val="Tahoma"/>
      <family val="2"/>
    </font>
    <font>
      <sz val="10"/>
      <color rgb="FF595959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000000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 tint="0.34998626667073579"/>
      <name val="+mn-lt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0" fontId="0" fillId="0" borderId="0" xfId="0" applyFill="1" applyAlignment="1"/>
    <xf numFmtId="3" fontId="3" fillId="0" borderId="0" xfId="0" applyNumberFormat="1" applyFont="1" applyFill="1" applyBorder="1"/>
    <xf numFmtId="0" fontId="4" fillId="0" borderId="1" xfId="0" quotePrefix="1" applyFont="1" applyFill="1" applyBorder="1" applyAlignment="1" applyProtection="1">
      <alignment horizontal="center"/>
    </xf>
    <xf numFmtId="0" fontId="5" fillId="0" borderId="0" xfId="0" quotePrefix="1" applyFont="1" applyAlignment="1">
      <alignment horizontal="left" vertical="top" wrapText="1"/>
    </xf>
    <xf numFmtId="0" fontId="6" fillId="2" borderId="2" xfId="0" quotePrefix="1" applyFont="1" applyFill="1" applyBorder="1" applyAlignment="1" applyProtection="1"/>
    <xf numFmtId="0" fontId="4" fillId="0" borderId="1" xfId="0" applyFont="1" applyFill="1" applyBorder="1" applyAlignment="1" applyProtection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Fill="1" applyAlignment="1"/>
    <xf numFmtId="0" fontId="10" fillId="3" borderId="0" xfId="1" applyFont="1" applyFill="1" applyBorder="1" applyAlignment="1">
      <alignment horizontal="center"/>
    </xf>
    <xf numFmtId="0" fontId="11" fillId="0" borderId="0" xfId="0" applyFont="1" applyFill="1" applyAlignment="1">
      <alignment vertical="top"/>
    </xf>
    <xf numFmtId="0" fontId="12" fillId="0" borderId="0" xfId="0" applyFont="1" applyFill="1" applyAlignment="1">
      <alignment vertical="center"/>
    </xf>
    <xf numFmtId="164" fontId="4" fillId="4" borderId="1" xfId="0" applyNumberFormat="1" applyFont="1" applyFill="1" applyBorder="1" applyAlignment="1" applyProtection="1">
      <alignment horizontal="right"/>
    </xf>
    <xf numFmtId="3" fontId="4" fillId="0" borderId="1" xfId="0" applyNumberFormat="1" applyFont="1" applyFill="1" applyBorder="1" applyAlignment="1" applyProtection="1">
      <alignment horizontal="right"/>
    </xf>
    <xf numFmtId="0" fontId="13" fillId="0" borderId="0" xfId="0" applyFont="1" applyFill="1" applyAlignment="1"/>
    <xf numFmtId="0" fontId="9" fillId="0" borderId="0" xfId="0" applyFont="1" applyFill="1" applyAlignment="1">
      <alignment vertical="top"/>
    </xf>
    <xf numFmtId="164" fontId="4" fillId="4" borderId="1" xfId="0" quotePrefix="1" applyNumberFormat="1" applyFont="1" applyFill="1" applyBorder="1" applyAlignment="1" applyProtection="1">
      <alignment horizontal="center"/>
    </xf>
    <xf numFmtId="0" fontId="14" fillId="5" borderId="0" xfId="0" applyFont="1" applyFill="1" applyAlignme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15" fillId="0" borderId="0" xfId="0" applyNumberFormat="1" applyFont="1" applyAlignment="1"/>
    <xf numFmtId="0" fontId="5" fillId="0" borderId="0" xfId="0" applyFont="1" applyAlignment="1">
      <alignment horizontal="left" vertical="top"/>
    </xf>
    <xf numFmtId="0" fontId="16" fillId="0" borderId="0" xfId="1" applyFont="1"/>
    <xf numFmtId="0" fontId="17" fillId="0" borderId="0" xfId="0" applyFont="1"/>
    <xf numFmtId="0" fontId="4" fillId="0" borderId="3" xfId="0" applyFont="1" applyBorder="1" applyAlignment="1" applyProtection="1">
      <alignment horizontal="right"/>
    </xf>
    <xf numFmtId="0" fontId="8" fillId="0" borderId="0" xfId="0" applyFont="1" applyAlignment="1">
      <alignment horizontal="right"/>
    </xf>
    <xf numFmtId="0" fontId="4" fillId="0" borderId="1" xfId="0" quotePrefix="1" applyFont="1" applyBorder="1" applyAlignment="1" applyProtection="1"/>
    <xf numFmtId="0" fontId="15" fillId="0" borderId="0" xfId="0" applyFont="1" applyAlignment="1">
      <alignment horizontal="center"/>
    </xf>
    <xf numFmtId="0" fontId="16" fillId="5" borderId="0" xfId="1" applyFont="1" applyFill="1"/>
    <xf numFmtId="0" fontId="4" fillId="6" borderId="1" xfId="0" applyFont="1" applyFill="1" applyBorder="1" applyAlignment="1" applyProtection="1">
      <alignment horizontal="right"/>
    </xf>
    <xf numFmtId="3" fontId="4" fillId="6" borderId="1" xfId="0" applyNumberFormat="1" applyFont="1" applyFill="1" applyBorder="1" applyAlignment="1" applyProtection="1">
      <alignment horizontal="right"/>
    </xf>
    <xf numFmtId="0" fontId="15" fillId="0" borderId="0" xfId="0" applyFont="1"/>
    <xf numFmtId="0" fontId="18" fillId="0" borderId="0" xfId="0" applyFont="1"/>
    <xf numFmtId="0" fontId="9" fillId="0" borderId="0" xfId="0" quotePrefix="1" applyFont="1" applyFill="1" applyAlignment="1">
      <alignment vertical="top"/>
    </xf>
    <xf numFmtId="0" fontId="4" fillId="0" borderId="1" xfId="0" applyFont="1" applyFill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19" fillId="0" borderId="0" xfId="0" applyFont="1"/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3" fontId="15" fillId="7" borderId="0" xfId="0" applyNumberFormat="1" applyFont="1" applyFill="1" applyAlignment="1"/>
    <xf numFmtId="0" fontId="4" fillId="0" borderId="4" xfId="0" quotePrefix="1" applyFont="1" applyBorder="1" applyAlignment="1" applyProtection="1">
      <alignment horizontal="center"/>
    </xf>
    <xf numFmtId="2" fontId="15" fillId="0" borderId="0" xfId="0" applyNumberFormat="1" applyFont="1"/>
    <xf numFmtId="0" fontId="18" fillId="0" borderId="5" xfId="0" quotePrefix="1" applyFont="1" applyFill="1" applyBorder="1" applyAlignment="1"/>
    <xf numFmtId="0" fontId="4" fillId="0" borderId="3" xfId="0" applyFont="1" applyBorder="1" applyAlignment="1" applyProtection="1">
      <alignment horizontal="center"/>
    </xf>
    <xf numFmtId="0" fontId="4" fillId="8" borderId="1" xfId="0" applyFont="1" applyFill="1" applyBorder="1" applyAlignment="1" applyProtection="1">
      <alignment horizontal="right"/>
    </xf>
    <xf numFmtId="0" fontId="15" fillId="0" borderId="0" xfId="0" quotePrefix="1" applyFont="1"/>
    <xf numFmtId="0" fontId="0" fillId="0" borderId="0" xfId="0" applyFont="1" applyFill="1" applyAlignment="1"/>
    <xf numFmtId="0" fontId="15" fillId="7" borderId="0" xfId="0" applyFont="1" applyFill="1"/>
    <xf numFmtId="0" fontId="15" fillId="7" borderId="0" xfId="0" applyNumberFormat="1" applyFont="1" applyFill="1" applyAlignment="1"/>
    <xf numFmtId="0" fontId="4" fillId="8" borderId="6" xfId="0" applyFont="1" applyFill="1" applyBorder="1" applyAlignment="1" applyProtection="1">
      <alignment horizontal="right"/>
    </xf>
    <xf numFmtId="165" fontId="15" fillId="0" borderId="0" xfId="0" applyNumberFormat="1" applyFont="1"/>
    <xf numFmtId="0" fontId="18" fillId="0" borderId="5" xfId="0" applyFont="1" applyFill="1" applyBorder="1" applyAlignment="1">
      <alignment vertical="center"/>
    </xf>
    <xf numFmtId="0" fontId="0" fillId="0" borderId="0" xfId="0" applyFont="1"/>
    <xf numFmtId="0" fontId="18" fillId="0" borderId="5" xfId="0" quotePrefix="1" applyFont="1" applyFill="1" applyBorder="1" applyAlignment="1">
      <alignment horizontal="right"/>
    </xf>
    <xf numFmtId="0" fontId="15" fillId="0" borderId="0" xfId="0" applyNumberFormat="1" applyFont="1"/>
    <xf numFmtId="0" fontId="20" fillId="0" borderId="0" xfId="0" applyFont="1"/>
    <xf numFmtId="0" fontId="10" fillId="3" borderId="7" xfId="1" applyFont="1" applyFill="1" applyBorder="1" applyAlignment="1">
      <alignment horizontal="center"/>
    </xf>
    <xf numFmtId="3" fontId="7" fillId="0" borderId="0" xfId="0" applyNumberFormat="1" applyFont="1" applyFill="1" applyAlignment="1"/>
    <xf numFmtId="0" fontId="4" fillId="0" borderId="1" xfId="0" quotePrefix="1" applyFont="1" applyFill="1" applyBorder="1" applyAlignment="1" applyProtection="1">
      <alignment vertical="center"/>
    </xf>
    <xf numFmtId="3" fontId="18" fillId="0" borderId="5" xfId="0" applyNumberFormat="1" applyFont="1" applyFill="1" applyBorder="1" applyAlignment="1"/>
    <xf numFmtId="164" fontId="4" fillId="9" borderId="3" xfId="0" applyNumberFormat="1" applyFont="1" applyFill="1" applyBorder="1" applyAlignment="1" applyProtection="1">
      <alignment horizontal="center"/>
    </xf>
    <xf numFmtId="0" fontId="13" fillId="0" borderId="0" xfId="0" applyFont="1"/>
    <xf numFmtId="3" fontId="15" fillId="10" borderId="0" xfId="0" applyNumberFormat="1" applyFont="1" applyFill="1" applyAlignment="1"/>
    <xf numFmtId="164" fontId="4" fillId="9" borderId="3" xfId="0" applyNumberFormat="1" applyFont="1" applyFill="1" applyBorder="1" applyAlignment="1" applyProtection="1">
      <alignment horizontal="right"/>
    </xf>
    <xf numFmtId="0" fontId="16" fillId="7" borderId="0" xfId="1" applyFont="1" applyFill="1"/>
    <xf numFmtId="3" fontId="15" fillId="0" borderId="0" xfId="0" applyNumberFormat="1" applyFont="1" applyAlignment="1"/>
    <xf numFmtId="0" fontId="9" fillId="0" borderId="0" xfId="0" quotePrefix="1" applyFont="1" applyFill="1" applyAlignment="1"/>
    <xf numFmtId="0" fontId="15" fillId="0" borderId="0" xfId="0" quotePrefix="1" applyFont="1" applyFill="1"/>
    <xf numFmtId="3" fontId="15" fillId="11" borderId="0" xfId="0" applyNumberFormat="1" applyFont="1" applyFill="1" applyAlignment="1"/>
    <xf numFmtId="0" fontId="15" fillId="0" borderId="0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Tabelle1!$B$17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Tabelle1!$A$19:$A$33</c:f>
              <c:strCache/>
            </c:strRef>
          </c:cat>
          <c:val>
            <c:numRef>
              <c:f>Tabelle1!$B$19:$B$33</c:f>
              <c:numCache/>
            </c:numRef>
          </c:val>
          <c:smooth val="0"/>
        </c:ser>
        <c:ser>
          <c:idx val="1"/>
          <c:order val="1"/>
          <c:tx>
            <c:strRef>
              <c:f>Tabelle1!$C$17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Tabelle1!$A$19:$A$33</c:f>
              <c:strCache/>
            </c:strRef>
          </c:cat>
          <c:val>
            <c:numRef>
              <c:f>Tabelle1!$C$19:$C$33</c:f>
              <c:numCache/>
            </c:numRef>
          </c:val>
          <c:smooth val="0"/>
        </c:ser>
        <c:ser>
          <c:idx val="2"/>
          <c:order val="2"/>
          <c:tx>
            <c:strRef>
              <c:f>Tabelle1!$D$17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Tabelle1!$A$19:$A$33</c:f>
              <c:strCache/>
            </c:strRef>
          </c:cat>
          <c:val>
            <c:numRef>
              <c:f>Tabelle1!$D$19:$D$33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Tab!$C$24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21</xdr:col>
      <xdr:colOff>0</xdr:colOff>
      <xdr:row>51</xdr:row>
      <xdr:rowOff>12700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8</xdr:row>
      <xdr:rowOff>209550</xdr:rowOff>
    </xdr:from>
    <xdr:to>
      <xdr:col>2</xdr:col>
      <xdr:colOff>0</xdr:colOff>
      <xdr:row>9</xdr:row>
      <xdr:rowOff>189865</xdr:rowOff>
    </xdr:to>
    <xdr:pic>
      <xdr:nvPicPr>
        <xdr:cNvPr id="37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891665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189865</xdr:rowOff>
    </xdr:to>
    <xdr:pic>
      <xdr:nvPicPr>
        <xdr:cNvPr id="38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71395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39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651125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189865</xdr:rowOff>
    </xdr:from>
    <xdr:to>
      <xdr:col>2</xdr:col>
      <xdr:colOff>0</xdr:colOff>
      <xdr:row>15</xdr:row>
      <xdr:rowOff>0</xdr:rowOff>
    </xdr:to>
    <xdr:pic>
      <xdr:nvPicPr>
        <xdr:cNvPr id="40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840990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41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461260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189865</xdr:rowOff>
    </xdr:from>
    <xdr:to>
      <xdr:col>2</xdr:col>
      <xdr:colOff>0</xdr:colOff>
      <xdr:row>16</xdr:row>
      <xdr:rowOff>0</xdr:rowOff>
    </xdr:to>
    <xdr:pic>
      <xdr:nvPicPr>
        <xdr:cNvPr id="42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3030855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2</xdr:col>
      <xdr:colOff>0</xdr:colOff>
      <xdr:row>11</xdr:row>
      <xdr:rowOff>0</xdr:rowOff>
    </xdr:to>
    <xdr:pic>
      <xdr:nvPicPr>
        <xdr:cNvPr id="43" name="Picture 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081530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44" name="Picture 10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3220720"/>
          <a:ext cx="369782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40"/>
  <sheetViews>
    <sheetView tabSelected="1" workbookViewId="0"/>
  </sheetViews>
  <sheetFormatPr defaultColWidth="11.42578125" defaultRowHeight="14.95"/>
  <cols>
    <col min="1" max="1" width="40.7109375" style="54" customWidth="1"/>
    <col min="2" max="2" width="50.7109375" customWidth="1"/>
    <col min="3" max="33" width="11.7109375" customWidth="1"/>
    <col min="34" max="34" width="17.140625" customWidth="1"/>
    <col min="35" max="35" width="6.7109375" customWidth="1"/>
    <col min="36" max="36" width="7.140625" customWidth="1"/>
  </cols>
  <sheetData>
    <row>
      <c s="13" t="s">
        <v>26</v>
      </c>
      <c s="13"/>
      <c s="13"/>
      <c s="13"/>
      <c s="13"/>
      <c s="2"/>
      <c s="2"/>
      <c s="2"/>
      <c s="2"/>
    </row>
    <row s="63" customFormat="1">
      <c s="12" t="s">
        <v>38</v>
      </c>
      <c s="12"/>
      <c s="12"/>
      <c s="12"/>
      <c s="12"/>
      <c s="16"/>
      <c s="16"/>
      <c s="16"/>
      <c s="16"/>
    </row>
    <row s="63" customFormat="1">
      <c s="35" t="s">
        <v>106</v>
      </c>
      <c s="12"/>
      <c s="12"/>
      <c s="12"/>
      <c s="12"/>
      <c s="16"/>
      <c s="16"/>
      <c s="16"/>
      <c s="16"/>
    </row>
    <row s="63" customFormat="1">
      <c s="5" t="s">
        <v>190</v>
      </c>
      <c s="5"/>
      <c s="5"/>
      <c s="5"/>
      <c s="5"/>
      <c s="5"/>
      <c s="5"/>
      <c s="5"/>
      <c s="5"/>
      <c s="20"/>
      <c s="20"/>
      <c s="20"/>
    </row>
    <row s="63" customFormat="1">
      <c s="5" t="s">
        <v>59</v>
      </c>
      <c s="5"/>
      <c s="5"/>
      <c s="5"/>
      <c s="5"/>
      <c s="5"/>
      <c s="5"/>
      <c s="5"/>
      <c s="5"/>
      <c s="23"/>
      <c s="23"/>
      <c s="23"/>
    </row>
    <row ht="27.75" customHeight="1" s="63" customFormat="1">
      <c s="5" t="s">
        <v>176</v>
      </c>
      <c s="5"/>
      <c s="5"/>
      <c s="5"/>
      <c s="5"/>
      <c s="5"/>
      <c s="21"/>
      <c s="21"/>
      <c s="21"/>
      <c s="23"/>
      <c s="23"/>
      <c s="23"/>
    </row>
    <row ht="15" customHeight="1">
      <c s="68" t="s">
        <v>170</v>
      </c>
      <c s="10"/>
      <c s="10"/>
      <c s="10"/>
      <c s="10"/>
      <c s="10"/>
      <c s="2"/>
      <c s="2"/>
      <c s="2"/>
    </row>
    <row>
      <c s="35" t="s">
        <v>144</v>
      </c>
      <c s="17"/>
      <c s="17"/>
      <c s="17"/>
      <c s="17"/>
      <c s="2"/>
      <c s="2"/>
      <c s="2"/>
      <c s="2"/>
    </row>
    <row ht="16.5" customHeight="1">
      <c s="48"/>
      <c s="2"/>
      <c s="2"/>
      <c s="2"/>
      <c s="2"/>
      <c s="2"/>
      <c s="2"/>
      <c s="2"/>
      <c s="2"/>
    </row>
    <row>
      <c s="6" t="s">
        <v>0</v>
      </c>
      <c s="28" t="s">
        <v>39</v>
      </c>
      <c t="s">
        <v>47</v>
      </c>
    </row>
    <row>
      <c s="6" t="s">
        <v>119</v>
      </c>
      <c s="28" t="s">
        <v>39</v>
      </c>
      <c t="s">
        <v>47</v>
      </c>
    </row>
    <row>
      <c s="6" t="s">
        <v>105</v>
      </c>
      <c s="28" t="s">
        <v>39</v>
      </c>
      <c t="s">
        <v>47</v>
      </c>
    </row>
    <row>
      <c s="6" t="s">
        <v>15</v>
      </c>
      <c s="28" t="s">
        <v>39</v>
      </c>
      <c t="s">
        <v>47</v>
      </c>
    </row>
    <row>
      <c s="6" t="s">
        <v>132</v>
      </c>
      <c s="28" t="s">
        <v>39</v>
      </c>
      <c t="s">
        <v>47</v>
      </c>
    </row>
    <row>
      <c s="6" t="s">
        <v>92</v>
      </c>
      <c s="28" t="s">
        <v>39</v>
      </c>
      <c t="s">
        <v>47</v>
      </c>
    </row>
    <row>
      <c s="6" t="s">
        <v>145</v>
      </c>
      <c s="28" t="s">
        <v>39</v>
      </c>
      <c t="s">
        <v>47</v>
      </c>
    </row>
    <row>
      <c s="6" t="s">
        <v>77</v>
      </c>
      <c s="28" t="s">
        <v>39</v>
      </c>
    </row>
    <row ht="17.25" hidden="1" customHeight="1">
      <c s="6" t="s">
        <v>93</v>
      </c>
      <c s="28" t="s">
        <v>27</v>
      </c>
    </row>
    <row ht="15" hidden="1">
      <c s="6" t="s">
        <v>158</v>
      </c>
      <c s="28" t="s">
        <v>131</v>
      </c>
    </row>
    <row ht="15" hidden="1">
      <c s="6" t="s">
        <v>120</v>
      </c>
      <c s="28" t="s">
        <v>143</v>
      </c>
    </row>
    <row>
      <c/>
    </row>
    <row>
      <c/>
    </row>
    <row ht="15" customHeight="1">
      <c/>
      <c r="C23" s="4" t="s">
        <v>28</v>
      </c>
      <c s="4"/>
      <c s="4"/>
      <c s="4"/>
      <c s="4"/>
    </row>
    <row>
      <c/>
      <c r="C24" s="4" t="s">
        <v>16</v>
      </c>
      <c s="4"/>
      <c s="4"/>
      <c s="18" t="s">
        <v>121</v>
      </c>
      <c s="18"/>
    </row>
    <row>
      <c s="6" t="s">
        <v>91</v>
      </c>
      <c s="6" t="s">
        <v>1</v>
      </c>
      <c s="7" t="s">
        <v>2</v>
      </c>
      <c s="7" t="s">
        <v>61</v>
      </c>
      <c s="31" t="s">
        <v>39</v>
      </c>
      <c s="7" t="s">
        <v>2</v>
      </c>
      <c s="7" t="s">
        <v>61</v>
      </c>
    </row>
    <row>
      <c s="60" t="s">
        <v>72</v>
      </c>
      <c s="36" t="s">
        <v>39</v>
      </c>
      <c s="15">
        <v>47367.650499999989</v>
      </c>
      <c s="15">
        <v>37429.602620000005</v>
      </c>
      <c s="32">
        <v>84797.253120000008</v>
      </c>
      <c s="14">
        <v>0.5585988785859386</v>
      </c>
      <c s="14">
        <v>0.44140112141406124</v>
      </c>
    </row>
    <row>
      <c s="60"/>
      <c s="36" t="s">
        <v>81</v>
      </c>
      <c s="15">
        <v>10989.884550000001</v>
      </c>
      <c s="15">
        <v>9498.7727700000032</v>
      </c>
      <c s="32">
        <v>20488.657319999984</v>
      </c>
      <c s="14">
        <v>0.53638871392866894</v>
      </c>
      <c s="14">
        <v>0.46361128607133201</v>
      </c>
    </row>
    <row>
      <c s="60"/>
      <c s="36" t="s">
        <v>25</v>
      </c>
      <c s="15">
        <v>36377.765949999986</v>
      </c>
      <c s="15">
        <v>27930.829849999998</v>
      </c>
      <c s="32">
        <v>64308.595800000032</v>
      </c>
      <c s="14">
        <v>0.56567501587400493</v>
      </c>
      <c s="14">
        <v>0.4343249841259943</v>
      </c>
    </row>
    <row>
      <c s="60" t="s">
        <v>41</v>
      </c>
      <c s="36" t="s">
        <v>39</v>
      </c>
      <c s="15">
        <v>45320.353149999988</v>
      </c>
      <c s="15">
        <v>35454.213600000003</v>
      </c>
      <c s="32">
        <v>80774.566750000013</v>
      </c>
      <c s="14">
        <v>0.56107206727914738</v>
      </c>
      <c s="14">
        <v>0.43892793272085234</v>
      </c>
    </row>
    <row>
      <c s="60"/>
      <c s="36" t="s">
        <v>17</v>
      </c>
      <c s="15">
        <v>10598.410799999998</v>
      </c>
      <c s="15">
        <v>8692.3261999999995</v>
      </c>
      <c s="32">
        <v>19290.737000000012</v>
      </c>
      <c s="14">
        <v>0.54940414147992334</v>
      </c>
      <c s="14">
        <v>0.45059585852007594</v>
      </c>
    </row>
    <row>
      <c s="60"/>
      <c s="36" t="s">
        <v>101</v>
      </c>
      <c s="15">
        <v>34721.94234999999</v>
      </c>
      <c s="15">
        <v>26761.887400000003</v>
      </c>
      <c s="32">
        <v>61483.829750000004</v>
      </c>
      <c s="14">
        <v>0.56473291418545679</v>
      </c>
      <c s="14">
        <v>0.43526708581454299</v>
      </c>
    </row>
    <row>
      <c s="60" t="s">
        <v>7</v>
      </c>
      <c s="36" t="s">
        <v>39</v>
      </c>
      <c s="15">
        <v>44147.593500000032</v>
      </c>
      <c s="15">
        <v>34468.500900000006</v>
      </c>
      <c s="32">
        <v>78616.09440000006</v>
      </c>
      <c s="14">
        <v>0.56155923080299952</v>
      </c>
      <c s="14">
        <v>0.4384407691970002</v>
      </c>
    </row>
    <row>
      <c s="60"/>
      <c s="36" t="s">
        <v>104</v>
      </c>
      <c s="15">
        <v>10056.168500000003</v>
      </c>
      <c s="15">
        <v>8335.7115500000018</v>
      </c>
      <c s="32">
        <v>18391.880050000003</v>
      </c>
      <c s="14">
        <v>0.54677218819725837</v>
      </c>
      <c s="14">
        <v>0.45322781180274174</v>
      </c>
    </row>
    <row>
      <c s="60"/>
      <c s="36" t="s">
        <v>179</v>
      </c>
      <c s="15">
        <v>34091.425000000025</v>
      </c>
      <c s="15">
        <v>26132.789350000003</v>
      </c>
      <c s="32">
        <v>60224.214350000053</v>
      </c>
      <c s="14">
        <v>0.56607504751948656</v>
      </c>
      <c s="14">
        <v>0.43392495248051299</v>
      </c>
    </row>
    <row>
      <c s="60" t="s">
        <v>163</v>
      </c>
      <c s="36" t="s">
        <v>39</v>
      </c>
      <c s="15">
        <v>45174.843300000037</v>
      </c>
      <c s="15">
        <v>34322.78325</v>
      </c>
      <c s="32">
        <v>79497.626550000103</v>
      </c>
      <c s="14">
        <v>0.56825398770348545</v>
      </c>
      <c s="14">
        <v>0.43174601229651371</v>
      </c>
    </row>
    <row>
      <c s="60"/>
      <c s="36" t="s">
        <v>186</v>
      </c>
      <c s="15">
        <v>9619.02765</v>
      </c>
      <c s="15">
        <v>7783.2443999999996</v>
      </c>
      <c s="32">
        <v>17402.272049999992</v>
      </c>
      <c s="14">
        <v>0.55274550486067153</v>
      </c>
      <c s="14">
        <v>0.44725449513932886</v>
      </c>
    </row>
    <row>
      <c s="60"/>
      <c s="36" t="s">
        <v>69</v>
      </c>
      <c s="15">
        <v>35555.815650000033</v>
      </c>
      <c s="15">
        <v>26539.538850000001</v>
      </c>
      <c s="32">
        <v>62095.354500000118</v>
      </c>
      <c s="14">
        <v>0.57260025224592226</v>
      </c>
      <c s="14">
        <v>0.42739974775407635</v>
      </c>
    </row>
    <row>
      <c s="60" t="s">
        <v>124</v>
      </c>
      <c s="36" t="s">
        <v>39</v>
      </c>
      <c s="15">
        <v>49023.584449999973</v>
      </c>
      <c s="15">
        <v>37231.289949999977</v>
      </c>
      <c s="32">
        <v>86254.874399999986</v>
      </c>
      <c s="14">
        <v>0.56835726434029776</v>
      </c>
      <c s="14">
        <v>0.43164273565970185</v>
      </c>
    </row>
    <row>
      <c s="60"/>
      <c s="36" t="s">
        <v>73</v>
      </c>
      <c s="15">
        <v>10573.383900000001</v>
      </c>
      <c s="15">
        <v>8551.3954499999945</v>
      </c>
      <c s="32">
        <v>19124.779350000012</v>
      </c>
      <c s="14">
        <v>0.5528630530317723</v>
      </c>
      <c s="14">
        <v>0.44713694696822681</v>
      </c>
    </row>
    <row>
      <c s="60"/>
      <c s="36" t="s">
        <v>159</v>
      </c>
      <c s="15">
        <v>38450.200549999972</v>
      </c>
      <c s="15">
        <v>28679.894499999984</v>
      </c>
      <c s="32">
        <v>67130.095049999974</v>
      </c>
      <c s="14">
        <v>0.57277143018137266</v>
      </c>
      <c s="14">
        <v>0.42722856981862706</v>
      </c>
    </row>
    <row>
      <c s="60" t="s">
        <v>162</v>
      </c>
      <c s="36" t="s">
        <v>39</v>
      </c>
      <c s="15">
        <v>46271.642600000006</v>
      </c>
      <c s="15">
        <v>35804.542000000001</v>
      </c>
      <c s="32">
        <v>82076.184600000124</v>
      </c>
      <c s="14">
        <v>0.56376454175478252</v>
      </c>
      <c s="14">
        <v>0.43623545824521609</v>
      </c>
    </row>
    <row>
      <c s="60"/>
      <c s="36" t="s">
        <v>164</v>
      </c>
      <c s="15">
        <v>10062.298200000005</v>
      </c>
      <c s="15">
        <v>8195.5582499999982</v>
      </c>
      <c s="32">
        <v>18257.85645000001</v>
      </c>
      <c s="14">
        <v>0.55112155293564047</v>
      </c>
      <c s="14">
        <v>0.44887844706435914</v>
      </c>
    </row>
    <row>
      <c s="60"/>
      <c s="36" t="s">
        <v>111</v>
      </c>
      <c s="15">
        <v>36209.344400000002</v>
      </c>
      <c s="15">
        <v>27608.983750000007</v>
      </c>
      <c s="32">
        <v>63818.32815000011</v>
      </c>
      <c s="14">
        <v>0.56738158848180265</v>
      </c>
      <c s="14">
        <v>0.4326184115181958</v>
      </c>
    </row>
    <row>
      <c s="60" t="s">
        <v>84</v>
      </c>
      <c s="36" t="s">
        <v>39</v>
      </c>
      <c s="15">
        <v>47542.067650000019</v>
      </c>
      <c s="15">
        <v>37078.648149999994</v>
      </c>
      <c s="32">
        <v>84620.71580000002</v>
      </c>
      <c s="14">
        <v>0.56182540174163842</v>
      </c>
      <c s="14">
        <v>0.43817459825836153</v>
      </c>
    </row>
    <row>
      <c s="60"/>
      <c s="36" t="s">
        <v>135</v>
      </c>
      <c s="15">
        <v>11595.7217</v>
      </c>
      <c s="15">
        <v>9236.3584999999948</v>
      </c>
      <c s="32">
        <v>20832.0802</v>
      </c>
      <c s="14">
        <v>0.55662812300424991</v>
      </c>
      <c s="14">
        <v>0.44337187699574981</v>
      </c>
    </row>
    <row>
      <c s="60"/>
      <c s="36" t="s">
        <v>30</v>
      </c>
      <c s="15">
        <v>35946.345950000017</v>
      </c>
      <c s="15">
        <v>27842.289649999999</v>
      </c>
      <c s="32">
        <v>63788.635600000023</v>
      </c>
      <c s="14">
        <v>0.56352272802022441</v>
      </c>
      <c s="14">
        <v>0.43647727197977548</v>
      </c>
    </row>
    <row>
      <c s="60" t="s">
        <v>50</v>
      </c>
      <c s="36" t="s">
        <v>39</v>
      </c>
      <c s="15">
        <v>49520.787250000074</v>
      </c>
      <c s="15">
        <v>38599.103300000002</v>
      </c>
      <c s="32">
        <v>88119.890549999982</v>
      </c>
      <c s="14">
        <v>0.56197059416343187</v>
      </c>
      <c s="14">
        <v>0.43802940583656924</v>
      </c>
    </row>
    <row>
      <c s="60"/>
      <c s="36" t="s">
        <v>29</v>
      </c>
      <c s="15">
        <v>11256.920699999997</v>
      </c>
      <c s="15">
        <v>9206.5315499999961</v>
      </c>
      <c s="32">
        <v>20463.452250000006</v>
      </c>
      <c s="14">
        <v>0.55009880847450821</v>
      </c>
      <c s="14">
        <v>0.44990119152549118</v>
      </c>
    </row>
    <row>
      <c s="60"/>
      <c s="36" t="s">
        <v>109</v>
      </c>
      <c s="15">
        <v>38263.866550000079</v>
      </c>
      <c s="15">
        <v>29392.571750000003</v>
      </c>
      <c s="32">
        <v>67656.43829999998</v>
      </c>
      <c s="14">
        <v>0.56556134953973902</v>
      </c>
      <c s="14">
        <v>0.43443865046026242</v>
      </c>
    </row>
    <row>
      <c s="60" t="s">
        <v>24</v>
      </c>
      <c s="36" t="s">
        <v>39</v>
      </c>
      <c s="15">
        <v>50573.065924999988</v>
      </c>
      <c s="15">
        <v>39590.990860000049</v>
      </c>
      <c s="32">
        <v>90164.056785000605</v>
      </c>
      <c s="14">
        <v>0.56090051544146091</v>
      </c>
      <c s="14">
        <v>0.43909948455853282</v>
      </c>
    </row>
    <row>
      <c s="60"/>
      <c s="36" t="s">
        <v>108</v>
      </c>
      <c s="15">
        <v>11679.587364999998</v>
      </c>
      <c s="15">
        <v>9447.1156950000004</v>
      </c>
      <c s="32">
        <v>21126.703059999989</v>
      </c>
      <c s="14">
        <v>0.55283530666521341</v>
      </c>
      <c s="14">
        <v>0.44716469333478698</v>
      </c>
    </row>
    <row>
      <c s="60"/>
      <c s="36" t="s">
        <v>4</v>
      </c>
      <c s="15">
        <v>38893.478559999989</v>
      </c>
      <c s="15">
        <v>30143.875165000052</v>
      </c>
      <c s="32">
        <v>69037.353725000619</v>
      </c>
      <c s="14">
        <v>0.56336861802273031</v>
      </c>
      <c s="14">
        <v>0.43663138197726137</v>
      </c>
    </row>
    <row>
      <c s="60" t="s">
        <v>173</v>
      </c>
      <c s="36" t="s">
        <v>39</v>
      </c>
      <c s="15">
        <v>52762</v>
      </c>
      <c s="15">
        <v>42175</v>
      </c>
      <c s="32">
        <v>94937</v>
      </c>
      <c s="14">
        <v>0.55575802900871107</v>
      </c>
      <c s="14">
        <v>0.44424197099128898</v>
      </c>
    </row>
    <row>
      <c s="60"/>
      <c s="36" t="s">
        <v>3</v>
      </c>
      <c s="15">
        <v>11814</v>
      </c>
      <c s="15">
        <v>10376</v>
      </c>
      <c s="32">
        <v>22190</v>
      </c>
      <c s="14">
        <v>0.53240198287516904</v>
      </c>
      <c s="14">
        <v>0.46759801712483101</v>
      </c>
    </row>
    <row>
      <c s="60"/>
      <c s="36" t="s">
        <v>83</v>
      </c>
      <c s="15">
        <v>40948</v>
      </c>
      <c s="15">
        <v>31799</v>
      </c>
      <c s="32">
        <v>72747</v>
      </c>
      <c s="14">
        <v>0.56288231817119605</v>
      </c>
      <c s="14">
        <v>0.43711768182880395</v>
      </c>
    </row>
    <row>
      <c s="60" t="s">
        <v>136</v>
      </c>
      <c s="36" t="s">
        <v>39</v>
      </c>
      <c s="15">
        <v>52541</v>
      </c>
      <c s="15">
        <v>41506</v>
      </c>
      <c s="32">
        <v>94047</v>
      </c>
      <c s="14">
        <v>0.55866747477325163</v>
      </c>
      <c s="14">
        <v>0.44133252522674832</v>
      </c>
    </row>
    <row>
      <c s="60"/>
      <c s="36" t="s">
        <v>80</v>
      </c>
      <c s="15">
        <v>12093</v>
      </c>
      <c s="15">
        <v>10531</v>
      </c>
      <c s="32">
        <v>22624</v>
      </c>
      <c s="14">
        <v>0.53452086280056577</v>
      </c>
      <c s="14">
        <v>0.46547913719943423</v>
      </c>
    </row>
    <row>
      <c s="60"/>
      <c s="36" t="s">
        <v>172</v>
      </c>
      <c s="15">
        <v>40448</v>
      </c>
      <c s="15">
        <v>30975</v>
      </c>
      <c s="32">
        <v>71423</v>
      </c>
      <c s="14">
        <v>0.56631617266146761</v>
      </c>
      <c s="14">
        <v>0.43368382733853239</v>
      </c>
    </row>
    <row>
      <c s="60" t="s">
        <v>95</v>
      </c>
      <c s="36" t="s">
        <v>39</v>
      </c>
      <c s="15">
        <v>52345</v>
      </c>
      <c s="15">
        <v>39949</v>
      </c>
      <c s="32">
        <v>92294</v>
      </c>
      <c s="14">
        <v>0.56715496131926235</v>
      </c>
      <c s="14">
        <v>0.43284503868073765</v>
      </c>
    </row>
    <row>
      <c s="60"/>
      <c s="36" t="s">
        <v>171</v>
      </c>
      <c s="15">
        <v>12827</v>
      </c>
      <c s="15">
        <v>10665</v>
      </c>
      <c s="32">
        <v>23492</v>
      </c>
      <c s="14">
        <v>0.54601566490720244</v>
      </c>
      <c s="14">
        <v>0.45398433509279756</v>
      </c>
    </row>
    <row>
      <c s="60"/>
      <c s="36" t="s">
        <v>62</v>
      </c>
      <c s="15">
        <v>39518</v>
      </c>
      <c s="15">
        <v>29284</v>
      </c>
      <c s="32">
        <v>68802</v>
      </c>
      <c s="14">
        <v>0.57437283799889538</v>
      </c>
      <c s="14">
        <v>0.42562716200110462</v>
      </c>
    </row>
    <row>
      <c s="60" t="s">
        <v>63</v>
      </c>
      <c s="36" t="s">
        <v>39</v>
      </c>
      <c s="15">
        <v>53999</v>
      </c>
      <c s="15">
        <v>42689</v>
      </c>
      <c s="32">
        <v>96688</v>
      </c>
      <c s="14">
        <v>0.5584870925037233</v>
      </c>
      <c s="14">
        <v>0.4415129074962767</v>
      </c>
    </row>
    <row>
      <c s="60"/>
      <c s="36" t="s">
        <v>67</v>
      </c>
      <c s="15">
        <v>14061</v>
      </c>
      <c s="15">
        <v>11925</v>
      </c>
      <c s="32">
        <v>25986</v>
      </c>
      <c s="14">
        <v>0.54109905333641195</v>
      </c>
      <c s="14">
        <v>0.45890094666358811</v>
      </c>
    </row>
    <row>
      <c s="60"/>
      <c s="36" t="s">
        <v>146</v>
      </c>
      <c s="15">
        <v>39938</v>
      </c>
      <c s="15">
        <v>30764</v>
      </c>
      <c s="32">
        <v>70702</v>
      </c>
      <c s="14">
        <v>0.5648779383892959</v>
      </c>
      <c s="14">
        <v>0.4351220616107041</v>
      </c>
    </row>
    <row>
      <c s="60" t="s">
        <v>34</v>
      </c>
      <c s="36" t="s">
        <v>39</v>
      </c>
      <c s="15">
        <v>51339</v>
      </c>
      <c s="15">
        <v>41701</v>
      </c>
      <c s="32">
        <v>93040</v>
      </c>
      <c s="14">
        <v>0.55179492691315568</v>
      </c>
      <c s="14">
        <v>0.44820507308684437</v>
      </c>
    </row>
    <row>
      <c s="60"/>
      <c s="36" t="s">
        <v>148</v>
      </c>
      <c s="15">
        <v>12900</v>
      </c>
      <c s="15">
        <v>11544</v>
      </c>
      <c s="32">
        <v>24444</v>
      </c>
      <c s="14">
        <v>0.52773686794305352</v>
      </c>
      <c s="14">
        <v>0.47226313205694648</v>
      </c>
    </row>
    <row>
      <c s="60"/>
      <c s="36" t="s">
        <v>42</v>
      </c>
      <c s="15">
        <v>38439</v>
      </c>
      <c s="15">
        <v>30157</v>
      </c>
      <c s="32">
        <v>68596</v>
      </c>
      <c s="14">
        <v>0.5603679514840515</v>
      </c>
      <c s="14">
        <v>0.43963204851594845</v>
      </c>
    </row>
    <row>
      <c s="60" t="s">
        <v>180</v>
      </c>
      <c s="36" t="s">
        <v>39</v>
      </c>
      <c s="15">
        <v>52438</v>
      </c>
      <c s="15">
        <v>41202</v>
      </c>
      <c s="32">
        <v>93640</v>
      </c>
      <c s="14">
        <v>0.55999572832123024</v>
      </c>
      <c s="14">
        <v>0.44000427167876976</v>
      </c>
    </row>
    <row>
      <c s="60"/>
      <c s="36" t="s">
        <v>46</v>
      </c>
      <c s="15">
        <v>13133</v>
      </c>
      <c s="15">
        <v>12086</v>
      </c>
      <c s="32">
        <v>25219</v>
      </c>
      <c s="14">
        <v>0.52075815853126606</v>
      </c>
      <c s="14">
        <v>0.47924184146873389</v>
      </c>
    </row>
    <row>
      <c s="60"/>
      <c s="36" t="s">
        <v>125</v>
      </c>
      <c s="15">
        <v>39305</v>
      </c>
      <c s="15">
        <v>29116</v>
      </c>
      <c s="32">
        <v>68421</v>
      </c>
      <c s="14">
        <v>0.57445813419856473</v>
      </c>
      <c s="14">
        <v>0.42554186580143522</v>
      </c>
    </row>
    <row>
      <c s="60" t="s">
        <v>33</v>
      </c>
      <c s="36" t="s">
        <v>39</v>
      </c>
      <c s="15">
        <v>52089</v>
      </c>
      <c s="15">
        <v>40500</v>
      </c>
      <c s="32">
        <v>92589</v>
      </c>
      <c s="14">
        <v>0.56258302822149497</v>
      </c>
      <c s="14">
        <v>0.43741697177850503</v>
      </c>
    </row>
    <row>
      <c s="60"/>
      <c s="36" t="s">
        <v>122</v>
      </c>
      <c s="15">
        <v>12486</v>
      </c>
      <c s="15">
        <v>10905</v>
      </c>
      <c s="32">
        <v>23391</v>
      </c>
      <c s="14">
        <v>0.53379504937796585</v>
      </c>
      <c s="14">
        <v>0.4662049506220341</v>
      </c>
    </row>
    <row>
      <c s="60"/>
      <c s="36" t="s">
        <v>74</v>
      </c>
      <c s="15">
        <v>39603</v>
      </c>
      <c s="15">
        <v>29595</v>
      </c>
      <c s="32">
        <v>69198</v>
      </c>
      <c s="14">
        <v>0.57231422873493454</v>
      </c>
      <c s="14">
        <v>0.42768577126506546</v>
      </c>
    </row>
    <row>
      <c s="60" t="s">
        <v>147</v>
      </c>
      <c s="36" t="s">
        <v>39</v>
      </c>
      <c s="15">
        <v>50682</v>
      </c>
      <c s="15">
        <v>39967</v>
      </c>
      <c s="32">
        <v>90649</v>
      </c>
      <c s="14">
        <v>0.55910158964798284</v>
      </c>
      <c s="14">
        <v>0.4408984103520171</v>
      </c>
    </row>
    <row>
      <c s="60"/>
      <c s="36" t="s">
        <v>94</v>
      </c>
      <c s="15">
        <v>15132</v>
      </c>
      <c s="15">
        <v>13902</v>
      </c>
      <c s="32">
        <v>29034</v>
      </c>
      <c s="14">
        <v>0.52118206240958875</v>
      </c>
      <c s="14">
        <v>0.47881793759041125</v>
      </c>
    </row>
    <row>
      <c s="60"/>
      <c s="36" t="s">
        <v>187</v>
      </c>
      <c s="15">
        <v>35550</v>
      </c>
      <c s="15">
        <v>26065</v>
      </c>
      <c s="32">
        <v>61615</v>
      </c>
      <c s="14">
        <v>0.57696989369471718</v>
      </c>
      <c s="14">
        <v>0.42303010630528282</v>
      </c>
    </row>
    <row>
      <c s="60" t="s">
        <v>112</v>
      </c>
      <c s="36" t="s">
        <v>39</v>
      </c>
      <c s="15">
        <v>45218</v>
      </c>
      <c s="15">
        <v>34720</v>
      </c>
      <c s="32">
        <v>79938</v>
      </c>
      <c s="14">
        <v>0.5656633891265731</v>
      </c>
      <c s="14">
        <v>0.4343366108734269</v>
      </c>
    </row>
    <row>
      <c s="60"/>
      <c s="36" t="s">
        <v>178</v>
      </c>
      <c s="15">
        <v>10677</v>
      </c>
      <c s="15">
        <v>9666</v>
      </c>
      <c s="32">
        <v>20343</v>
      </c>
      <c s="14">
        <v>0.52484884235363516</v>
      </c>
      <c s="14">
        <v>0.47515115764636484</v>
      </c>
    </row>
    <row>
      <c s="60"/>
      <c s="36" t="s">
        <v>71</v>
      </c>
      <c s="15">
        <v>34541</v>
      </c>
      <c s="15">
        <v>25054</v>
      </c>
      <c s="32">
        <v>59595</v>
      </c>
      <c s="14">
        <v>0.57959560365802498</v>
      </c>
      <c s="14">
        <v>0.42040439634197502</v>
      </c>
    </row>
    <row>
      <c s="60" t="s">
        <v>70</v>
      </c>
      <c s="36" t="s">
        <v>39</v>
      </c>
      <c s="15">
        <v>44130</v>
      </c>
      <c s="15">
        <v>36030</v>
      </c>
      <c s="32">
        <v>80160</v>
      </c>
      <c s="14">
        <v>0.5505239520958084</v>
      </c>
      <c s="14">
        <v>0.4494760479041916</v>
      </c>
    </row>
    <row>
      <c s="60"/>
      <c s="36" t="s">
        <v>76</v>
      </c>
      <c s="15">
        <v>10655</v>
      </c>
      <c s="15">
        <v>10390</v>
      </c>
      <c s="32">
        <v>21045</v>
      </c>
      <c s="14">
        <v>0.50629603231171305</v>
      </c>
      <c s="14">
        <v>0.493703967688287</v>
      </c>
    </row>
    <row>
      <c s="60"/>
      <c s="36" t="s">
        <v>160</v>
      </c>
      <c s="15">
        <v>33475</v>
      </c>
      <c s="15">
        <v>25640</v>
      </c>
      <c s="32">
        <v>59115</v>
      </c>
      <c s="14">
        <v>0.56626913642899435</v>
      </c>
      <c s="14">
        <v>0.43373086357100565</v>
      </c>
    </row>
    <row>
      <c s="60" t="s">
        <v>40</v>
      </c>
      <c s="36" t="s">
        <v>39</v>
      </c>
      <c s="15">
        <v>42790</v>
      </c>
      <c s="15">
        <v>34032</v>
      </c>
      <c s="32">
        <v>76822</v>
      </c>
      <c s="14">
        <v>0.5570019004972534</v>
      </c>
      <c s="14">
        <v>0.4429980995027466</v>
      </c>
    </row>
    <row>
      <c s="60"/>
      <c s="36" t="s">
        <v>168</v>
      </c>
      <c s="15">
        <v>10235</v>
      </c>
      <c s="15">
        <v>9509</v>
      </c>
      <c s="32">
        <v>19744</v>
      </c>
      <c s="14">
        <v>0.51838533225283634</v>
      </c>
      <c s="14">
        <v>0.48161466774716372</v>
      </c>
    </row>
    <row>
      <c s="60"/>
      <c s="36" t="s">
        <v>51</v>
      </c>
      <c s="15">
        <v>32555</v>
      </c>
      <c s="15">
        <v>24523</v>
      </c>
      <c s="32">
        <v>57078</v>
      </c>
      <c s="14">
        <v>0.57035985843932868</v>
      </c>
      <c s="14">
        <v>0.42964014156067137</v>
      </c>
    </row>
    <row>
      <c s="60" t="s">
        <v>6</v>
      </c>
      <c s="36" t="s">
        <v>39</v>
      </c>
      <c s="15">
        <v>38832</v>
      </c>
      <c s="15">
        <v>31008</v>
      </c>
      <c s="32">
        <v>69840</v>
      </c>
      <c s="14">
        <v>0.55601374570446738</v>
      </c>
      <c s="14">
        <v>0.44398625429553262</v>
      </c>
    </row>
    <row>
      <c s="60"/>
      <c s="36" t="s">
        <v>48</v>
      </c>
      <c s="15">
        <v>8988</v>
      </c>
      <c s="15">
        <v>8257</v>
      </c>
      <c s="32">
        <v>17245</v>
      </c>
      <c s="14">
        <v>0.52119454914467966</v>
      </c>
      <c s="14">
        <v>0.47880545085532039</v>
      </c>
    </row>
    <row>
      <c s="60"/>
      <c s="36" t="s">
        <v>133</v>
      </c>
      <c s="15">
        <v>29844</v>
      </c>
      <c s="15">
        <v>22751</v>
      </c>
      <c s="32">
        <v>52595</v>
      </c>
      <c s="14">
        <v>0.56743036410305159</v>
      </c>
      <c s="14">
        <v>0.43256963589694836</v>
      </c>
    </row>
    <row>
      <c s="60" t="s">
        <v>161</v>
      </c>
      <c s="36" t="s">
        <v>39</v>
      </c>
      <c s="15">
        <v>37807</v>
      </c>
      <c s="15">
        <v>30606</v>
      </c>
      <c s="32">
        <v>68413</v>
      </c>
      <c s="14">
        <v>0.55262888632277496</v>
      </c>
      <c s="14">
        <v>0.4473711136772251</v>
      </c>
    </row>
    <row>
      <c s="60"/>
      <c s="36" t="s">
        <v>134</v>
      </c>
      <c s="15">
        <v>8237</v>
      </c>
      <c s="15">
        <v>7871</v>
      </c>
      <c s="32">
        <v>16108</v>
      </c>
      <c s="14">
        <v>0.51136081450211079</v>
      </c>
      <c s="14">
        <v>0.48863918549788926</v>
      </c>
    </row>
    <row>
      <c s="60"/>
      <c s="36" t="s">
        <v>32</v>
      </c>
      <c s="15">
        <v>29570</v>
      </c>
      <c s="15">
        <v>22735</v>
      </c>
      <c s="32">
        <v>52305</v>
      </c>
      <c s="14">
        <v>0.5653379218047988</v>
      </c>
      <c s="14">
        <v>0.43466207819520125</v>
      </c>
    </row>
    <row>
      <c s="60" t="s">
        <v>123</v>
      </c>
      <c s="36" t="s">
        <v>39</v>
      </c>
      <c s="15">
        <v>33255</v>
      </c>
      <c s="15">
        <v>29023</v>
      </c>
      <c s="32">
        <v>62278</v>
      </c>
      <c s="14">
        <v>0.5339766851857799</v>
      </c>
      <c s="14">
        <v>0.4660233148142201</v>
      </c>
    </row>
    <row>
      <c s="60"/>
      <c s="36" t="s">
        <v>31</v>
      </c>
      <c s="15">
        <v>8084</v>
      </c>
      <c s="15">
        <v>8065</v>
      </c>
      <c s="32">
        <v>16149</v>
      </c>
      <c s="14">
        <v>0.50058827171961107</v>
      </c>
      <c s="14">
        <v>0.49941172828038888</v>
      </c>
    </row>
    <row>
      <c s="60"/>
      <c s="36" t="s">
        <v>107</v>
      </c>
      <c s="15">
        <v>25171</v>
      </c>
      <c s="15">
        <v>20958</v>
      </c>
      <c s="32">
        <v>46129</v>
      </c>
      <c s="14">
        <v>0.54566541654924239</v>
      </c>
      <c s="14">
        <v>0.45433458345075767</v>
      </c>
    </row>
    <row>
      <c s="60" t="s">
        <v>82</v>
      </c>
      <c s="36" t="s">
        <v>39</v>
      </c>
      <c s="15">
        <v>30841</v>
      </c>
      <c s="15">
        <v>26367</v>
      </c>
      <c s="32">
        <v>57208</v>
      </c>
      <c s="14">
        <v>0.53910292266815829</v>
      </c>
      <c s="14">
        <v>0.46089707733184171</v>
      </c>
    </row>
    <row>
      <c s="60"/>
      <c s="36" t="s">
        <v>110</v>
      </c>
      <c s="15">
        <v>8325</v>
      </c>
      <c s="15">
        <v>8273</v>
      </c>
      <c s="32">
        <v>16598</v>
      </c>
      <c s="14">
        <v>0.50156645378961318</v>
      </c>
      <c s="14">
        <v>0.49843354621038677</v>
      </c>
    </row>
    <row>
      <c s="60"/>
      <c s="36" t="s">
        <v>5</v>
      </c>
      <c s="15">
        <v>22516</v>
      </c>
      <c s="15">
        <v>18094</v>
      </c>
      <c s="32">
        <v>40610</v>
      </c>
      <c s="14">
        <v>0.55444471804974149</v>
      </c>
      <c s="14">
        <v>0.44555528195025856</v>
      </c>
    </row>
    <row>
      <c s="60" t="s">
        <v>49</v>
      </c>
      <c s="36" t="s">
        <v>39</v>
      </c>
      <c s="15">
        <v>34191</v>
      </c>
      <c s="15">
        <v>28879</v>
      </c>
      <c s="32">
        <v>63070</v>
      </c>
      <c s="14">
        <v>0.54211193911526878</v>
      </c>
      <c s="14">
        <v>0.45788806088473127</v>
      </c>
    </row>
    <row>
      <c s="60"/>
      <c s="36" t="s">
        <v>13</v>
      </c>
      <c s="15">
        <v>7592</v>
      </c>
      <c s="15">
        <v>7927</v>
      </c>
      <c s="32">
        <v>15519</v>
      </c>
      <c s="14">
        <v>0.48920677878729302</v>
      </c>
      <c s="14">
        <v>0.51079322121270698</v>
      </c>
    </row>
    <row>
      <c s="60"/>
      <c s="36" t="s">
        <v>79</v>
      </c>
      <c s="15">
        <v>26599</v>
      </c>
      <c s="15">
        <v>20952</v>
      </c>
      <c s="32">
        <v>47551</v>
      </c>
      <c s="14">
        <v>0.55937835166452865</v>
      </c>
      <c s="14">
        <v>0.44062164833547141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 s="40"/>
      <c s="3"/>
      <c s="3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1">
    <mergeCell ref="A4:I4"/>
    <mergeCell ref="A5:I5"/>
    <mergeCell ref="A6:F6"/>
    <mergeCell ref="C23:G23"/>
    <mergeCell ref="C24:E24"/>
    <mergeCell ref="F24:G24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</mergeCells>
  <pageMargins left="0.23622047244094491" right="0.19685039370078741" top="0.59055118110236227" bottom="0.51181102362204722" header="0.31496062992125984" footer="0.31496062992125984"/>
  <pageSetup paperSize="9" scale="82" fitToWidth="2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8" max="43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2"/>
  <sheetViews>
    <sheetView workbookViewId="0">
      <selection activeCell="A42" sqref="A42"/>
    </sheetView>
  </sheetViews>
  <sheetFormatPr defaultColWidth="11.42578125" defaultRowHeight="15"/>
  <cols>
    <col min="1" max="1" width="40.140625" customWidth="1"/>
    <col min="2" max="2" width="32.28515625" customWidth="1"/>
  </cols>
  <sheetData>
    <row ht="14.95">
      <c s="6" t="s">
        <v>0</v>
      </c>
      <c s="28" t="s">
        <v>39</v>
      </c>
    </row>
    <row ht="14.95">
      <c s="6" t="s">
        <v>119</v>
      </c>
      <c s="28" t="s">
        <v>39</v>
      </c>
    </row>
    <row ht="14.95">
      <c s="6" t="s">
        <v>105</v>
      </c>
      <c s="28" t="s">
        <v>39</v>
      </c>
    </row>
    <row ht="14.95">
      <c s="6" t="s">
        <v>15</v>
      </c>
      <c s="28" t="s">
        <v>39</v>
      </c>
    </row>
    <row ht="14.95">
      <c s="6" t="s">
        <v>132</v>
      </c>
      <c s="28" t="s">
        <v>39</v>
      </c>
    </row>
    <row ht="14.95">
      <c s="6" t="s">
        <v>92</v>
      </c>
      <c s="28" t="s">
        <v>39</v>
      </c>
    </row>
    <row ht="14.95">
      <c s="6" t="s">
        <v>145</v>
      </c>
      <c s="28" t="s">
        <v>39</v>
      </c>
    </row>
    <row ht="14.95">
      <c s="6" t="s">
        <v>77</v>
      </c>
      <c s="28" t="s">
        <v>39</v>
      </c>
    </row>
    <row ht="14.95">
      <c s="6" t="s">
        <v>93</v>
      </c>
      <c s="28" t="s">
        <v>27</v>
      </c>
    </row>
    <row ht="14.95">
      <c s="6" t="s">
        <v>158</v>
      </c>
      <c s="28" t="s">
        <v>78</v>
      </c>
    </row>
    <row ht="14.95">
      <c s="6" t="s">
        <v>120</v>
      </c>
      <c s="28" t="s">
        <v>143</v>
      </c>
    </row>
    <row r="14" ht="14.95">
      <c r="B14" s="6" t="s">
        <v>68</v>
      </c>
      <c s="6" t="s">
        <v>60</v>
      </c>
      <c s="6" t="s">
        <v>177</v>
      </c>
      <c r="F14" s="42" t="s">
        <v>28</v>
      </c>
    </row>
    <row ht="14.95">
      <c r="B15" s="4" t="s">
        <v>28</v>
      </c>
      <c s="4"/>
      <c s="4"/>
      <c s="4"/>
      <c s="4"/>
    </row>
    <row ht="14.95">
      <c r="B16" s="4" t="s">
        <v>16</v>
      </c>
      <c s="4"/>
      <c s="4"/>
      <c s="18" t="s">
        <v>121</v>
      </c>
      <c s="18"/>
    </row>
    <row ht="14.95">
      <c s="6" t="s">
        <v>23</v>
      </c>
      <c s="7" t="s">
        <v>2</v>
      </c>
      <c s="7" t="s">
        <v>61</v>
      </c>
      <c s="31" t="s">
        <v>39</v>
      </c>
      <c s="7" t="s">
        <v>2</v>
      </c>
      <c s="7" t="s">
        <v>61</v>
      </c>
    </row>
    <row ht="14.95">
      <c s="36" t="s">
        <v>130</v>
      </c>
      <c s="15">
        <v>47367.650499999982</v>
      </c>
      <c s="15">
        <v>37429.602619999976</v>
      </c>
      <c s="32">
        <v>85977.6573200001</v>
      </c>
      <c s="14">
        <v>0.55092976450500852</v>
      </c>
      <c s="14">
        <v>0.43534103843619276</v>
      </c>
    </row>
    <row ht="14.95">
      <c s="36" t="s">
        <v>90</v>
      </c>
      <c s="15">
        <v>45320.353150000017</v>
      </c>
      <c s="15">
        <v>35454.213599999995</v>
      </c>
      <c s="32">
        <v>82148.000000000044</v>
      </c>
      <c s="14">
        <v>0.55169149766275494</v>
      </c>
      <c s="14">
        <v>0.43158949213614423</v>
      </c>
    </row>
    <row ht="14.95">
      <c s="36" t="s">
        <v>58</v>
      </c>
      <c s="15">
        <v>44147.593500000032</v>
      </c>
      <c s="15">
        <v>34468.500899999992</v>
      </c>
      <c s="32">
        <v>80044.500000000044</v>
      </c>
      <c s="14">
        <v>0.55153812566759752</v>
      </c>
      <c s="14">
        <v>0.43061673069355139</v>
      </c>
    </row>
    <row ht="14.95">
      <c s="36" t="s">
        <v>22</v>
      </c>
      <c s="15">
        <v>45174.84330000003</v>
      </c>
      <c s="15">
        <v>34322.783250000015</v>
      </c>
      <c s="32">
        <v>81015.000000000146</v>
      </c>
      <c s="14">
        <v>0.55761085354563911</v>
      </c>
      <c s="14">
        <v>0.42365960933160468</v>
      </c>
    </row>
    <row ht="14.95">
      <c s="36" t="s">
        <v>175</v>
      </c>
      <c s="15">
        <v>49023.584450000002</v>
      </c>
      <c s="15">
        <v>37231.289949999999</v>
      </c>
      <c s="32">
        <v>88008.999999999971</v>
      </c>
      <c s="14">
        <v>0.55702921803451944</v>
      </c>
      <c s="14">
        <v>0.42303957492983685</v>
      </c>
    </row>
    <row ht="14.95">
      <c s="36" t="s">
        <v>21</v>
      </c>
      <c s="15">
        <v>46271.642599999977</v>
      </c>
      <c s="15">
        <v>35804.541999999987</v>
      </c>
      <c s="32">
        <v>83505.182000000103</v>
      </c>
      <c s="14">
        <v>0.55411701994733598</v>
      </c>
      <c s="14">
        <v>0.42877030074612549</v>
      </c>
    </row>
    <row ht="14.95">
      <c s="36" t="s">
        <v>142</v>
      </c>
      <c s="15">
        <v>47542.067650000019</v>
      </c>
      <c s="15">
        <v>37078.648150000001</v>
      </c>
      <c s="32">
        <v>86101.999999999985</v>
      </c>
      <c s="14">
        <v>0.55215985284894686</v>
      </c>
      <c s="14">
        <v>0.43063631681029485</v>
      </c>
    </row>
    <row ht="14.95">
      <c s="36" t="s">
        <v>103</v>
      </c>
      <c s="15">
        <v>49520.787250000059</v>
      </c>
      <c s="15">
        <v>38599.10330000001</v>
      </c>
      <c s="32">
        <v>89656.357999999978</v>
      </c>
      <c s="14">
        <v>0.55233993834547768</v>
      </c>
      <c s="14">
        <v>0.43052276671778278</v>
      </c>
    </row>
    <row ht="14.95">
      <c s="36" t="s">
        <v>66</v>
      </c>
      <c s="15">
        <v>50573.065924999988</v>
      </c>
      <c s="15">
        <v>39590.990860000049</v>
      </c>
      <c s="32">
        <v>91350.156800000623</v>
      </c>
      <c s="14">
        <v>0.5536177243321343</v>
      </c>
      <c s="14">
        <v>0.4333981708064214</v>
      </c>
    </row>
    <row ht="14.95">
      <c s="36" t="s">
        <v>37</v>
      </c>
      <c s="15">
        <v>52762</v>
      </c>
      <c s="15">
        <v>42175</v>
      </c>
      <c s="32">
        <v>94937</v>
      </c>
      <c s="14">
        <v>0.55575802900871107</v>
      </c>
      <c s="14">
        <v>0.44424197099128898</v>
      </c>
    </row>
    <row ht="14.95">
      <c s="36" t="s">
        <v>189</v>
      </c>
      <c s="15">
        <v>52541</v>
      </c>
      <c s="15">
        <v>41506</v>
      </c>
      <c s="32">
        <v>94047</v>
      </c>
      <c s="14">
        <v>0.55866747477325163</v>
      </c>
      <c s="14">
        <v>0.44133252522674832</v>
      </c>
    </row>
    <row ht="14.95">
      <c s="36" t="s">
        <v>157</v>
      </c>
      <c s="15">
        <v>52345</v>
      </c>
      <c s="15">
        <v>39949</v>
      </c>
      <c s="32">
        <v>92294</v>
      </c>
      <c s="14">
        <v>0.56715496131926235</v>
      </c>
      <c s="14">
        <v>0.43284503868073765</v>
      </c>
    </row>
    <row ht="14.95">
      <c s="36" t="s">
        <v>118</v>
      </c>
      <c s="15">
        <v>53999</v>
      </c>
      <c s="15">
        <v>42689</v>
      </c>
      <c s="32">
        <v>96688</v>
      </c>
      <c s="14">
        <v>0.5584870925037233</v>
      </c>
      <c s="14">
        <v>0.4415129074962767</v>
      </c>
    </row>
    <row ht="14.95">
      <c s="36" t="s">
        <v>75</v>
      </c>
      <c s="15">
        <v>51339</v>
      </c>
      <c s="15">
        <v>41701</v>
      </c>
      <c s="32">
        <v>93040</v>
      </c>
      <c s="14">
        <v>0.55179492691315568</v>
      </c>
      <c s="14">
        <v>0.44820507308684437</v>
      </c>
    </row>
    <row ht="14.95">
      <c s="36" t="s">
        <v>45</v>
      </c>
      <c s="15">
        <v>52438</v>
      </c>
      <c s="15">
        <v>41202</v>
      </c>
      <c s="32">
        <v>93640</v>
      </c>
      <c s="14">
        <v>0.55999572832123024</v>
      </c>
      <c s="14">
        <v>0.44000427167876976</v>
      </c>
    </row>
    <row ht="14.95">
      <c s="36" t="s">
        <v>89</v>
      </c>
      <c s="15">
        <v>52089</v>
      </c>
      <c s="15">
        <v>40500</v>
      </c>
      <c s="32">
        <v>92589</v>
      </c>
      <c s="14">
        <v>0.56258302822149497</v>
      </c>
      <c s="14">
        <v>0.43741697177850503</v>
      </c>
    </row>
    <row ht="14.95">
      <c s="36" t="s">
        <v>14</v>
      </c>
      <c s="15">
        <v>50682</v>
      </c>
      <c s="15">
        <v>39967</v>
      </c>
      <c s="32">
        <v>90649</v>
      </c>
      <c s="14">
        <v>0.55910158964798284</v>
      </c>
      <c s="14">
        <v>0.4408984103520171</v>
      </c>
    </row>
    <row ht="14.95">
      <c s="36" t="s">
        <v>169</v>
      </c>
      <c s="15">
        <v>45218</v>
      </c>
      <c s="15">
        <v>34720</v>
      </c>
      <c s="32">
        <v>79938</v>
      </c>
      <c s="14">
        <v>0.5656633891265731</v>
      </c>
      <c s="14">
        <v>0.4343366108734269</v>
      </c>
    </row>
    <row ht="14.95">
      <c s="36" t="s">
        <v>141</v>
      </c>
      <c s="15">
        <v>44130</v>
      </c>
      <c s="15">
        <v>36030</v>
      </c>
      <c s="32">
        <v>80160</v>
      </c>
      <c s="14">
        <v>0.5505239520958084</v>
      </c>
      <c s="14">
        <v>0.4494760479041916</v>
      </c>
    </row>
    <row ht="14.95">
      <c s="36" t="s">
        <v>102</v>
      </c>
      <c s="15">
        <v>42790</v>
      </c>
      <c s="15">
        <v>34032</v>
      </c>
      <c s="32">
        <v>76822</v>
      </c>
      <c s="14">
        <v>0.5570019004972534</v>
      </c>
      <c s="14">
        <v>0.4429980995027466</v>
      </c>
    </row>
    <row ht="14.95">
      <c s="36" t="s">
        <v>65</v>
      </c>
      <c s="15">
        <v>38832</v>
      </c>
      <c s="15">
        <v>31008</v>
      </c>
      <c s="32">
        <v>69840</v>
      </c>
      <c s="14">
        <v>0.55601374570446738</v>
      </c>
      <c s="14">
        <v>0.44398625429553262</v>
      </c>
    </row>
    <row ht="14.95">
      <c s="36" t="s">
        <v>36</v>
      </c>
      <c s="15">
        <v>37807</v>
      </c>
      <c s="15">
        <v>30606</v>
      </c>
      <c s="32">
        <v>68413</v>
      </c>
      <c s="14">
        <v>0.55262888632277496</v>
      </c>
      <c s="14">
        <v>0.4473711136772251</v>
      </c>
    </row>
    <row ht="14.95">
      <c s="36" t="s">
        <v>188</v>
      </c>
      <c s="15">
        <v>33255</v>
      </c>
      <c s="15">
        <v>29023</v>
      </c>
      <c s="32">
        <v>62278</v>
      </c>
      <c s="14">
        <v>0.5339766851857799</v>
      </c>
      <c s="14">
        <v>0.4660233148142201</v>
      </c>
    </row>
    <row ht="14.95">
      <c s="36" t="s">
        <v>156</v>
      </c>
      <c s="15">
        <v>30841</v>
      </c>
      <c s="15">
        <v>26367</v>
      </c>
      <c s="32">
        <v>57208</v>
      </c>
      <c s="14">
        <v>0.53910292266815829</v>
      </c>
      <c s="14">
        <v>0.46089707733184171</v>
      </c>
    </row>
    <row ht="14.95">
      <c s="36" t="s">
        <v>117</v>
      </c>
      <c s="15">
        <v>34191</v>
      </c>
      <c s="15">
        <v>28879</v>
      </c>
      <c s="32">
        <v>63070</v>
      </c>
      <c s="14">
        <v>0.54211193911526878</v>
      </c>
      <c s="14">
        <v>0.45788806088473127</v>
      </c>
    </row>
  </sheetData>
  <mergeCells count="3">
    <mergeCell ref="B15:F15"/>
    <mergeCell ref="B16:D16"/>
    <mergeCell ref="E16:F16"/>
  </mergeCells>
  <pageMargins left="0.7" right="0.7" top="0.787401575" bottom="0.787401575" header="0.3" footer="0.3"/>
  <pageSetup paperSize="9" fitToWidth="0" fitToHeight="0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E27" sqref="E27:E31"/>
    </sheetView>
  </sheetViews>
  <sheetFormatPr defaultColWidth="9.140625" defaultRowHeight="13.6"/>
  <cols>
    <col min="1" max="1" width="13.5703125" style="33" customWidth="1"/>
    <col min="2" max="2" width="40.85546875" style="33" customWidth="1"/>
    <col min="3" max="3" width="28.140625" style="33" customWidth="1"/>
    <col min="4" max="4" width="16.28515625" style="33" customWidth="1"/>
    <col min="5" max="5" width="19.42578125" style="33" customWidth="1"/>
    <col min="6" max="6" width="11.140625" style="33" customWidth="1"/>
    <col min="7" max="7" width="9.140625" style="33" customWidth="1"/>
    <col min="8" max="8" width="17.28515625" style="33" customWidth="1"/>
    <col min="9" max="9" width="19.5703125" style="33" customWidth="1"/>
    <col min="10" max="12" width="12.42578125" style="33" customWidth="1"/>
    <col min="13" max="13" width="16" style="33" customWidth="1"/>
    <col min="14" max="14" width="14.28515625" style="33" customWidth="1"/>
    <col min="15" max="15" width="18.28515625" style="33" customWidth="1"/>
    <col min="16" max="25" width="9.140625" style="33" customWidth="1"/>
    <col min="26" max="26" width="9.140625" style="33" hidden="1" customWidth="1"/>
    <col min="27" max="27" width="9.140625" style="33" customWidth="1"/>
    <col min="28" max="16384" width="9.140625" style="33"/>
  </cols>
  <sheetData>
    <row>
      <c s="56"/>
      <c r="H1" s="52">
        <v>129806172700000000</v>
      </c>
      <c r="Z1" s="43" t="b">
        <f>0=1</f>
        <v>0</v>
      </c>
    </row>
    <row>
      <c r="Z2" s="43" t="b">
        <f>1=1</f>
        <v>1</v>
      </c>
    </row>
    <row>
      <c r="Z3" s="43"/>
    </row>
    <row>
      <c r="I4" s="33" t="s">
        <v>64</v>
      </c>
      <c s="58" t="s">
        <v>137</v>
      </c>
      <c s="11"/>
      <c s="11"/>
      <c s="11"/>
      <c s="11"/>
      <c s="11"/>
    </row>
    <row>
      <c r="J5" s="30" t="s">
        <v>52</v>
      </c>
      <c s="24" t="s">
        <v>96</v>
      </c>
      <c s="24" t="s">
        <v>126</v>
      </c>
      <c s="30" t="s">
        <v>181</v>
      </c>
      <c s="66" t="s">
        <v>149</v>
      </c>
      <c s="24" t="s">
        <v>8</v>
      </c>
    </row>
    <row>
      <c r="B6" s="27" t="s">
        <v>150</v>
      </c>
      <c s="19" t="s">
        <v>165</v>
      </c>
      <c s="44" t="s">
        <v>18</v>
      </c>
      <c s="9" t="s">
        <v>97</v>
      </c>
    </row>
    <row>
      <c r="C7" s="25"/>
      <c s="34" t="s">
        <v>19</v>
      </c>
      <c s="9" t="s">
        <v>113</v>
      </c>
    </row>
    <row>
      <c r="C8" s="34" t="s">
        <v>9</v>
      </c>
      <c s="25"/>
    </row>
    <row>
      <c r="C9" s="25"/>
      <c s="19" t="s">
        <v>53</v>
      </c>
      <c s="38"/>
    </row>
    <row>
      <c r="C10" s="19" t="s">
        <v>85</v>
      </c>
      <c s="55" t="s">
        <v>127</v>
      </c>
      <c s="9" t="s">
        <v>35</v>
      </c>
    </row>
    <row>
      <c r="B11" s="27" t="s">
        <v>98</v>
      </c>
      <c s="53" t="s">
        <v>86</v>
      </c>
      <c s="61">
        <v>60398</v>
      </c>
      <c s="9" t="s">
        <v>54</v>
      </c>
    </row>
    <row>
      <c r="B12" s="27"/>
      <c s="39"/>
      <c s="71"/>
      <c s="37" t="s">
        <v>138</v>
      </c>
    </row>
    <row>
      <c r="B13" s="27" t="s">
        <v>87</v>
      </c>
      <c s="49" t="s">
        <v>43</v>
      </c>
      <c s="41">
        <v>1212</v>
      </c>
      <c s="33" t="b">
        <v>0</v>
      </c>
      <c s="9" t="s">
        <v>128</v>
      </c>
    </row>
    <row ht="12.75" hidden="1">
      <c r="B14" s="27"/>
      <c s="49"/>
      <c s="50"/>
      <c s="33" t="b">
        <v>0</v>
      </c>
    </row>
    <row>
      <c r="B15" s="27" t="s">
        <v>166</v>
      </c>
      <c s="33" t="s">
        <v>174</v>
      </c>
      <c s="67">
        <v>1212</v>
      </c>
      <c s="33" t="b">
        <v>0</v>
      </c>
      <c s="9" t="s">
        <v>44</v>
      </c>
    </row>
    <row ht="12.75" hidden="1">
      <c r="B16" s="27"/>
      <c r="D16" s="22"/>
      <c s="33" t="b">
        <v>0</v>
      </c>
      <c s="9"/>
    </row>
    <row>
      <c r="B17" s="27"/>
      <c s="33" t="s">
        <v>55</v>
      </c>
      <c s="64">
        <v>3434</v>
      </c>
      <c s="33" t="b">
        <v>0</v>
      </c>
      <c s="9" t="s">
        <v>129</v>
      </c>
    </row>
    <row>
      <c r="B18" s="27"/>
      <c r="D18" s="22"/>
      <c s="33" t="b">
        <v>0</v>
      </c>
      <c s="9"/>
    </row>
    <row>
      <c r="B19" s="27"/>
      <c s="33" t="s">
        <v>10</v>
      </c>
      <c s="70">
        <v>3434</v>
      </c>
      <c s="33" t="b">
        <v>0</v>
      </c>
      <c s="9" t="s">
        <v>151</v>
      </c>
    </row>
    <row>
      <c r="B20" s="27"/>
      <c r="D20" s="22"/>
      <c s="33" t="b">
        <v>0</v>
      </c>
      <c s="9"/>
    </row>
    <row>
      <c r="B21" s="27"/>
      <c s="33" t="s">
        <v>152</v>
      </c>
      <c s="59">
        <v>5656</v>
      </c>
      <c s="33" t="b">
        <v>0</v>
      </c>
      <c s="9" t="s">
        <v>182</v>
      </c>
    </row>
    <row>
      <c r="B22" s="27"/>
      <c r="E22" s="9"/>
      <c r="I22" s="57"/>
    </row>
    <row>
      <c r="B23" s="29" t="s">
        <v>11</v>
      </c>
      <c s="29"/>
    </row>
    <row>
      <c r="B24" s="8" t="s">
        <v>99</v>
      </c>
      <c s="8" t="s">
        <v>56</v>
      </c>
      <c s="8" t="s">
        <v>20</v>
      </c>
      <c s="8" t="s">
        <v>153</v>
      </c>
      <c s="8"/>
      <c s="8"/>
      <c s="8" t="s">
        <v>183</v>
      </c>
    </row>
    <row>
      <c s="33" t="s">
        <v>114</v>
      </c>
      <c r="C25" s="69" t="s">
        <v>100</v>
      </c>
      <c s="26" t="s">
        <v>139</v>
      </c>
      <c s="26">
        <v>1234.5599999999999</v>
      </c>
      <c s="9" t="s">
        <v>140</v>
      </c>
      <c r="H25" s="33" t="s">
        <v>154</v>
      </c>
    </row>
    <row>
      <c s="33" t="s">
        <v>167</v>
      </c>
      <c r="C26" s="69" t="s">
        <v>100</v>
      </c>
      <c s="26" t="s">
        <v>139</v>
      </c>
      <c s="26">
        <v>1234.5599999999999</v>
      </c>
      <c s="9" t="s">
        <v>115</v>
      </c>
      <c r="H26" s="33" t="s">
        <v>184</v>
      </c>
    </row>
    <row>
      <c r="C27" s="69" t="s">
        <v>100</v>
      </c>
      <c s="45" t="s">
        <v>139</v>
      </c>
      <c s="26">
        <v>1234.5599999999999</v>
      </c>
      <c r="H27" s="33" t="s">
        <v>116</v>
      </c>
    </row>
    <row>
      <c r="C28" s="47" t="s">
        <v>100</v>
      </c>
      <c s="45" t="s">
        <v>88</v>
      </c>
      <c s="26">
        <v>1234.5599999999999</v>
      </c>
      <c r="H28" s="33" t="s">
        <v>57</v>
      </c>
    </row>
    <row>
      <c r="C29" s="47" t="s">
        <v>100</v>
      </c>
      <c s="45" t="s">
        <v>28</v>
      </c>
      <c s="26">
        <v>1234.5599999999999</v>
      </c>
      <c r="H29" s="33" t="s">
        <v>185</v>
      </c>
    </row>
    <row>
      <c r="C30" s="47" t="s">
        <v>12</v>
      </c>
      <c s="45" t="s">
        <v>16</v>
      </c>
      <c s="26">
        <v>1234.5599999999999</v>
      </c>
    </row>
    <row>
      <c r="C31" s="47" t="s">
        <v>12</v>
      </c>
      <c s="62" t="s">
        <v>121</v>
      </c>
      <c s="65">
        <v>1234.5599999999999</v>
      </c>
    </row>
    <row>
      <c r="C32" s="47" t="s">
        <v>155</v>
      </c>
      <c s="51" t="s">
        <v>39</v>
      </c>
      <c s="46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
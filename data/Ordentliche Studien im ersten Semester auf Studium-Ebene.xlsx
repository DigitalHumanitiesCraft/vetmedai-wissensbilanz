
<file path=[Content_Types].xml><?xml version="1.0" encoding="utf-8"?>
<Types xmlns="http://schemas.openxmlformats.org/package/2006/content-types">
  <Default Extension="rels" ContentType="application/vnd.openxmlformats-package.relationships+xml"/>
  <Override PartName="/xl/media/image1.png" ContentType="image/png"/>
  <Override PartName="/xl/media/image2.png" ContentType="image/pn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8.3.25.102"/>
  <workbookPr defaultThemeVersion="124226"/>
  <bookViews>
    <workbookView xWindow="0" yWindow="0" windowWidth="10725" windowHeight="8370"/>
  </bookViews>
  <sheets>
    <sheet name="Tab" sheetId="1" r:id="rId1"/>
    <sheet name="XLCubedFormats" sheetId="2" state="hidden" r:id="rId2"/>
  </sheets>
  <definedNames>
    <definedName name="_xlnm.Print_Titles" localSheetId="0">Tab!$22:$24</definedName>
    <definedName name="XL3DisableCameraObjects" hidden="1">XLCubedFormats!A1</definedName>
    <definedName name="XL3ObjLocation4d2dc12a_8384_4494_bef6_ec5dd9cdf60a">Tab!$A$10</definedName>
  </definedNames>
  <calcPr calcId="40001"/>
</workbook>
</file>

<file path=xl/sharedStrings.xml><?xml version="1.0" encoding="utf-8"?>
<sst xmlns="http://schemas.openxmlformats.org/spreadsheetml/2006/main" uniqueCount="312">
  <si>
    <t>Universität</t>
  </si>
  <si>
    <t>Semester und Datenstichtag</t>
  </si>
  <si>
    <t>Wirtschaftswissenschaften</t>
  </si>
  <si>
    <t>Ur- und Frühgeschichte</t>
  </si>
  <si>
    <t>Russisch</t>
  </si>
  <si>
    <t>Musiktheaterregie</t>
  </si>
  <si>
    <t>Musikinstrumentenbau</t>
  </si>
  <si>
    <t>Meteorologie und Geophysik</t>
  </si>
  <si>
    <t>Lebensmittel- und Biotechnologie</t>
  </si>
  <si>
    <t>Kunst und Gestaltung</t>
  </si>
  <si>
    <t>Klassische Philologie</t>
  </si>
  <si>
    <t>Katholische u. Evangelische Kirchenmusik</t>
  </si>
  <si>
    <t>Instrumentalstudium</t>
  </si>
  <si>
    <t>Fachdidaktik</t>
  </si>
  <si>
    <t>Cembalo</t>
  </si>
  <si>
    <t>Biomedizin und Biotechnologie</t>
  </si>
  <si>
    <t>Biologie und Umweltbildung UF</t>
  </si>
  <si>
    <t>Barockcello</t>
  </si>
  <si>
    <t>Astronomie</t>
  </si>
  <si>
    <t>Architektur</t>
  </si>
  <si>
    <t>Frauen</t>
  </si>
  <si>
    <t>Slicer Button Background</t>
  </si>
  <si>
    <t>Grid Title</t>
  </si>
  <si>
    <t>Oth Written Member</t>
  </si>
  <si>
    <t>Fill in Grid Name, Dimension or Both</t>
  </si>
  <si>
    <t>[ALLG Wertart].[Wertart]</t>
  </si>
  <si>
    <t>Romanistik</t>
  </si>
  <si>
    <t>Metallurgie</t>
  </si>
  <si>
    <t>Blockflöte</t>
  </si>
  <si>
    <t>Psychologie</t>
  </si>
  <si>
    <t>Staatengruppe (Ö, EU, andere)</t>
  </si>
  <si>
    <t>Absolutwert</t>
  </si>
  <si>
    <t>Telematik</t>
  </si>
  <si>
    <t>Südasienwissenschaft</t>
  </si>
  <si>
    <t>Sprachkunst</t>
  </si>
  <si>
    <t>Skandinavistik</t>
  </si>
  <si>
    <t>Orientalistik</t>
  </si>
  <si>
    <t>Mechatronik</t>
  </si>
  <si>
    <t>Landschaftsplanung und Landschaftspflege</t>
  </si>
  <si>
    <t>Kultur- und Sozialanthropologie</t>
  </si>
  <si>
    <t>Kontrabass</t>
  </si>
  <si>
    <t>Cross-Disciplinary Strategies</t>
  </si>
  <si>
    <t>Berufsorientierung UF</t>
  </si>
  <si>
    <t>All Marital Status</t>
  </si>
  <si>
    <t>Male</t>
  </si>
  <si>
    <t>Member1 Name</t>
  </si>
  <si>
    <t>Klarinette</t>
  </si>
  <si>
    <t>Studien Universitäten</t>
  </si>
  <si>
    <t>Begonnene Studien</t>
  </si>
  <si>
    <t>Weltraumwissenschaften</t>
  </si>
  <si>
    <t>Technisches und textiles Werken UF</t>
  </si>
  <si>
    <t>Soziologie (sozial-/wirtschaftsw.Stud.)</t>
  </si>
  <si>
    <t>Soziologie (geistes-/kulturwiss.Stud.)</t>
  </si>
  <si>
    <t>Katholische Fachtheologie</t>
  </si>
  <si>
    <t>Italienisch</t>
  </si>
  <si>
    <t>Horticultural Sciences</t>
  </si>
  <si>
    <t>Geschichte</t>
  </si>
  <si>
    <t>Geoenergy Engineering</t>
  </si>
  <si>
    <t>Forst- und Holzwirtschaft</t>
  </si>
  <si>
    <t>&lt;-- default Column Member Format</t>
  </si>
  <si>
    <t>[STU Studium].[Studium #Kurztext#]</t>
  </si>
  <si>
    <t>Veterinärmedizin</t>
  </si>
  <si>
    <t>Kunstgeschichte</t>
  </si>
  <si>
    <t>Katholische Religion UF</t>
  </si>
  <si>
    <t>Gesamt</t>
  </si>
  <si>
    <t>Schlaginstrumente</t>
  </si>
  <si>
    <t>Raumplanung und Raumordnung</t>
  </si>
  <si>
    <t>Molekulare Biologie</t>
  </si>
  <si>
    <t>Landwirtschaft</t>
  </si>
  <si>
    <t>Koreanologie</t>
  </si>
  <si>
    <t>Kognitionswissenschaft</t>
  </si>
  <si>
    <t>Informationstechnik</t>
  </si>
  <si>
    <t>Geospatial Technologies</t>
  </si>
  <si>
    <t>Elektrotechnik-Toningenieur</t>
  </si>
  <si>
    <t>Elektrotechnik</t>
  </si>
  <si>
    <t>Betriebswirtschaft</t>
  </si>
  <si>
    <t>Aufführungspraxis</t>
  </si>
  <si>
    <t>Angewandte Geowissenschaften</t>
  </si>
  <si>
    <t>Altertumswissenschaften</t>
  </si>
  <si>
    <t>Alternate Rows</t>
  </si>
  <si>
    <t>&lt;--  writeable cell format</t>
  </si>
  <si>
    <t xml:space="preserve"> </t>
  </si>
  <si>
    <t>Umweltsystemwissenschaften</t>
  </si>
  <si>
    <t>Philosophie an der Kath.-Theol.Fakultät</t>
  </si>
  <si>
    <t>Orgel</t>
  </si>
  <si>
    <t>Musik- und Bewegungserziehung</t>
  </si>
  <si>
    <t>Medienwissenschaften</t>
  </si>
  <si>
    <t>Instrumental(Gesangs)pädagogik</t>
  </si>
  <si>
    <t>Informatikmanagement</t>
  </si>
  <si>
    <t>Evangelische Fachtheologie</t>
  </si>
  <si>
    <t>Europäische Ethnologie</t>
  </si>
  <si>
    <t>Slicer Title</t>
  </si>
  <si>
    <t>Calendar Period</t>
  </si>
  <si>
    <t>&lt;-- default cell format</t>
  </si>
  <si>
    <t>Written Member</t>
  </si>
  <si>
    <t>Dimension/Column</t>
  </si>
  <si>
    <t>4) Prozentangaben werden standardmäßig mit einer Kommastelle angezeigt</t>
  </si>
  <si>
    <t>Psychologie und Philosophie UF</t>
  </si>
  <si>
    <t>Film und Fernsehen</t>
  </si>
  <si>
    <t>Dadurch sind Studien auf ganze Zahlen zu runden und es kann zu Abweichungen zwischen der Gesamtsumme und den addierten Detailergebnissen kommen.</t>
  </si>
  <si>
    <t>Zahnmedizin</t>
  </si>
  <si>
    <t>Wirtschaftsing.wesen - Technische Chemie</t>
  </si>
  <si>
    <t>Wirtschaftsinformatik</t>
  </si>
  <si>
    <t>Theater-, Film- und Medienwissenschaft</t>
  </si>
  <si>
    <t>Spanisch</t>
  </si>
  <si>
    <t>Sozialwirtschaft</t>
  </si>
  <si>
    <t>Nat. Resources Managem. a. Ecol. Engin.</t>
  </si>
  <si>
    <t>Klassische Archäologie</t>
  </si>
  <si>
    <t>Judaistik</t>
  </si>
  <si>
    <t>Jazz</t>
  </si>
  <si>
    <t>Horn</t>
  </si>
  <si>
    <t>Gesundheits- und Pflegewissenschaft</t>
  </si>
  <si>
    <t>Erdwissenschaften</t>
  </si>
  <si>
    <t>Bosnisch/Kroatisch/Serbisch</t>
  </si>
  <si>
    <t>Blasorchesterleitung</t>
  </si>
  <si>
    <t>Bauingenieurwesen</t>
  </si>
  <si>
    <t>Männer</t>
  </si>
  <si>
    <t>Slice Name (Optional)</t>
  </si>
  <si>
    <t>(Members of Studienfach (Fachcode)) - (Erweiterungsstudium, Zweitfach, Keine Angabe, Keine Angabe)</t>
  </si>
  <si>
    <t>UA, UB, UC, UD, UE, UF, UG, UH, UI, UJ, UK, UL, UM, UN, UO, UQ, UR, US, UT, UU, UV, UW, UZ</t>
  </si>
  <si>
    <t>Werkstoffwissenschaft</t>
  </si>
  <si>
    <t>Tschechisch</t>
  </si>
  <si>
    <t>Polnisch</t>
  </si>
  <si>
    <t>Musikerziehung UF</t>
  </si>
  <si>
    <t>Mediengestaltung</t>
  </si>
  <si>
    <t>Materialwissenschaften</t>
  </si>
  <si>
    <t>Komposition und Musiktheorie</t>
  </si>
  <si>
    <t>Klavier-Vokalbegleitung</t>
  </si>
  <si>
    <t>Ingenieurwissenschaften</t>
  </si>
  <si>
    <t>Global Studies</t>
  </si>
  <si>
    <t>European Union Studies</t>
  </si>
  <si>
    <t>Ethik UF</t>
  </si>
  <si>
    <t>Dirigieren</t>
  </si>
  <si>
    <t>Biologie</t>
  </si>
  <si>
    <t>Bergwesen</t>
  </si>
  <si>
    <t>Biomedical Engineering</t>
  </si>
  <si>
    <t>Studienjahr 2024/25</t>
  </si>
  <si>
    <t>Lehramtsstudien</t>
  </si>
  <si>
    <t>ALLG Semester.Studienjahr (Langbezeichnung)</t>
  </si>
  <si>
    <t>Übersetzen und Dolmetschen</t>
  </si>
  <si>
    <t>Phytomedizin</t>
  </si>
  <si>
    <t>Klassische Philologie - Griechisch</t>
  </si>
  <si>
    <t>Ernährungswissenschaften</t>
  </si>
  <si>
    <t>Bildende Kunst</t>
  </si>
  <si>
    <t>Anglistik und Amerikanistik</t>
  </si>
  <si>
    <t>Angewandte Betriebswirtschaft</t>
  </si>
  <si>
    <t>Customer</t>
  </si>
  <si>
    <t>-All Customer</t>
  </si>
  <si>
    <t>Default Alternate Row Member Format --&gt;</t>
  </si>
  <si>
    <t>Studien von Erstzugelassenen</t>
  </si>
  <si>
    <t>Bundesland Universität</t>
  </si>
  <si>
    <t>Wirtschafts- und Sozialwissenschaften</t>
  </si>
  <si>
    <t>Sprachwissenschaft</t>
  </si>
  <si>
    <t>Rechtswissenschaften</t>
  </si>
  <si>
    <t>Musikwissenschaft</t>
  </si>
  <si>
    <t>Logistik</t>
  </si>
  <si>
    <t>Life Sciences</t>
  </si>
  <si>
    <t>Islamische Religionspädagogik</t>
  </si>
  <si>
    <t>Individuelles Bachelorstudium (B)</t>
  </si>
  <si>
    <t>Historische Oboeninstrumente</t>
  </si>
  <si>
    <t>Harfe</t>
  </si>
  <si>
    <t>Gender Studies</t>
  </si>
  <si>
    <t>Angewandte Kulturwissenschaft</t>
  </si>
  <si>
    <t>Slicer Item</t>
  </si>
  <si>
    <t>&lt;-- default Slicer Member Format</t>
  </si>
  <si>
    <t>Default Row Member Format --&gt;</t>
  </si>
  <si>
    <t>Grid/Table Name</t>
  </si>
  <si>
    <t>[Measures]</t>
  </si>
  <si>
    <t>Politikwissenschaft</t>
  </si>
  <si>
    <t>Klavierkammermusik</t>
  </si>
  <si>
    <t>ISCED2013 3.Ebene (Code, Langtext)</t>
  </si>
  <si>
    <t>TransArts - Transdisziplinäre Kunst</t>
  </si>
  <si>
    <t>Regionalwissenschaft</t>
  </si>
  <si>
    <t>Recyclingtechnik</t>
  </si>
  <si>
    <t>Recht und Wirtschaft</t>
  </si>
  <si>
    <t>Montanmaschinenbau</t>
  </si>
  <si>
    <t>Maschinenbau</t>
  </si>
  <si>
    <t>Kulturtechnik und Wasserwirtschaft</t>
  </si>
  <si>
    <t>Katholische Religionspädagogik</t>
  </si>
  <si>
    <t>Kammermusik</t>
  </si>
  <si>
    <t>Internationale Betriebswirtschaft</t>
  </si>
  <si>
    <t>Instrumentalmusikerziehung UF</t>
  </si>
  <si>
    <t>Informatik</t>
  </si>
  <si>
    <t>Deutsche Philologie</t>
  </si>
  <si>
    <t>Darstellende Geometrie UF</t>
  </si>
  <si>
    <t>Byzantinistik und Neogräzistik</t>
  </si>
  <si>
    <t>Barockgesang</t>
  </si>
  <si>
    <t>&lt;-- writeable Slicer Member Format</t>
  </si>
  <si>
    <t>Slice Format 1</t>
  </si>
  <si>
    <t>&lt;-- Gesamtzeile</t>
  </si>
  <si>
    <t>3) Formatierung der Gesamtspalte und -zeile (siehe E25:E26)</t>
  </si>
  <si>
    <t>Tonmeisterstudium</t>
  </si>
  <si>
    <t>Textiles Gestalten UF</t>
  </si>
  <si>
    <t>Akkordeon</t>
  </si>
  <si>
    <t>Japanologie</t>
  </si>
  <si>
    <t>Basstuba</t>
  </si>
  <si>
    <t>(ohne Erweiterungsstudien; bei kombinationspflichtigen Studien bis STJ 2015/16 nur Erstfach gezählt)</t>
  </si>
  <si>
    <t>Studienfamilie (Kurztext)</t>
  </si>
  <si>
    <t>Frauen-/Männeranteil in %</t>
  </si>
  <si>
    <t>Studienfach (Fachcode)</t>
  </si>
  <si>
    <t>Werkerziehung UF</t>
  </si>
  <si>
    <t>Trompete</t>
  </si>
  <si>
    <t>Kunst und Wissenschaft o.n.A.</t>
  </si>
  <si>
    <t>Konservierung und Restaurierung</t>
  </si>
  <si>
    <t>Klavier</t>
  </si>
  <si>
    <t>Individuelles Masterstudium (M)</t>
  </si>
  <si>
    <t>Humanmedizin</t>
  </si>
  <si>
    <t>Critical Studies</t>
  </si>
  <si>
    <t>Computermusik</t>
  </si>
  <si>
    <t>Slicer Button</t>
  </si>
  <si>
    <t>+2009</t>
  </si>
  <si>
    <t>&lt;-- default alternate row cell format</t>
  </si>
  <si>
    <t>&lt;--  written cell format</t>
  </si>
  <si>
    <t>Naturwissenschaftliches Studium o.n.A.</t>
  </si>
  <si>
    <t>Gesang</t>
  </si>
  <si>
    <t>Design</t>
  </si>
  <si>
    <t>Biotechnologie und Bioprozesstechnik</t>
  </si>
  <si>
    <t>Ordentliche Studien im ersten Semester auf Studium-Ebene</t>
  </si>
  <si>
    <t>Dr. Kopfcode Zuordnung</t>
  </si>
  <si>
    <t>Studienart</t>
  </si>
  <si>
    <t>Volkswirtschaft</t>
  </si>
  <si>
    <t>Violoncello</t>
  </si>
  <si>
    <t>Viola da Gamba</t>
  </si>
  <si>
    <t>Umwelt- und Ressourcentechnologie</t>
  </si>
  <si>
    <t>Technische Mathematik</t>
  </si>
  <si>
    <t>Slowenisch</t>
  </si>
  <si>
    <t>Physik</t>
  </si>
  <si>
    <t>Pädagogik</t>
  </si>
  <si>
    <t>Mediengestaltung UF</t>
  </si>
  <si>
    <t>Industr.Umweltschutz, Entsorgg., Recycl.</t>
  </si>
  <si>
    <t>Französisch</t>
  </si>
  <si>
    <t>Bioinformatik</t>
  </si>
  <si>
    <t>Archäologien</t>
  </si>
  <si>
    <t>Alte Geschichte und Altertumskunde</t>
  </si>
  <si>
    <t>Display Formats For:</t>
  </si>
  <si>
    <t>Enabled?</t>
  </si>
  <si>
    <t>Ordentliche Studien</t>
  </si>
  <si>
    <t>&lt;-- Gesamtspalte</t>
  </si>
  <si>
    <t>Finno-Ugristik</t>
  </si>
  <si>
    <t>Datenprüfung und -aufbereitung: bmfwf, Abt. I/10</t>
  </si>
  <si>
    <t>Universität-Ausrichtung</t>
  </si>
  <si>
    <t>Wirtschaftsrecht</t>
  </si>
  <si>
    <t>Verfahrenstechnik</t>
  </si>
  <si>
    <t>Social Design</t>
  </si>
  <si>
    <t>Sinologie</t>
  </si>
  <si>
    <t>Posaune</t>
  </si>
  <si>
    <t>Oboe</t>
  </si>
  <si>
    <t>Molekulare Medizin</t>
  </si>
  <si>
    <t>Management</t>
  </si>
  <si>
    <t>Gitarre</t>
  </si>
  <si>
    <t>Finanzwirtschaft</t>
  </si>
  <si>
    <t>Chemie</t>
  </si>
  <si>
    <t>Slicer Button Hover</t>
  </si>
  <si>
    <t>Label Format--&gt;</t>
  </si>
  <si>
    <t>&lt;--  written cell by another user cell format</t>
  </si>
  <si>
    <t>Summary Written Member</t>
  </si>
  <si>
    <t>Data Format</t>
  </si>
  <si>
    <t>1) Spaltenüberschrift mittels Menüpunkt Daten/Gruppieren/Gruppieren ausblenden</t>
  </si>
  <si>
    <t>[SU Studierende].[Geschlecht]</t>
  </si>
  <si>
    <t>Klassische Philologie - Latein</t>
  </si>
  <si>
    <t>Wirtschaftspädagogik</t>
  </si>
  <si>
    <t>Universität (Codex)</t>
  </si>
  <si>
    <t>Wildtierökologie und Wildtiermanagement</t>
  </si>
  <si>
    <t>Technische Physik</t>
  </si>
  <si>
    <t>Spezialisierung statt 2. UF</t>
  </si>
  <si>
    <t>Saxophon</t>
  </si>
  <si>
    <t>Religionswissenschaft</t>
  </si>
  <si>
    <t>Religionspädagogik</t>
  </si>
  <si>
    <t>Publizistik und Kommunikationswissensch.</t>
  </si>
  <si>
    <t>Philosophie</t>
  </si>
  <si>
    <t>Pharmazie</t>
  </si>
  <si>
    <t>Kunststofftechnik</t>
  </si>
  <si>
    <t>Industrial Design</t>
  </si>
  <si>
    <t>Flöte</t>
  </si>
  <si>
    <t>Ägyptologie</t>
  </si>
  <si>
    <t>Afrikanistik</t>
  </si>
  <si>
    <t>Marital Status</t>
  </si>
  <si>
    <t>Default Writeable Member Format --&gt;</t>
  </si>
  <si>
    <t>Slice Format 2</t>
  </si>
  <si>
    <t>Musiktherapie</t>
  </si>
  <si>
    <t>Hinweis: Aufgrund der semesterweisen Einspielung von vorläufigen und endgültigen Daten kann im aktuellsten Studienjahr nur der Datenstand des (vorläufigen) Wintersemesters bzw. des endgültigen Wintersemesters und des vorläufigen Sommersemesters verfügbar sein. Unter der Auswahlbox „Semester und Datenstichtag“ ist ersichtlich, welche Semester zu welchem Datenstand verfügbar sind.</t>
  </si>
  <si>
    <t>Quelle: Datenmeldungen der Universitäten auf Basis UHSBV zum jeweiligen Stichtag</t>
  </si>
  <si>
    <t>Viola</t>
  </si>
  <si>
    <t>Tibetologie und Buddhismuskunde</t>
  </si>
  <si>
    <t>Technische Chemie</t>
  </si>
  <si>
    <t>Mathematik</t>
  </si>
  <si>
    <t>Industrielogistik</t>
  </si>
  <si>
    <t>Fagott</t>
  </si>
  <si>
    <t>Darstellende Kunst</t>
  </si>
  <si>
    <t>Bildnerische Erziehung UF</t>
  </si>
  <si>
    <t>Writeable Member</t>
  </si>
  <si>
    <t>Bühnengestaltung</t>
  </si>
  <si>
    <t>Wirtschaftsingenieurwesen - Maschinenbau</t>
  </si>
  <si>
    <t>Weinbau, Önologie und Weinwirtschaft</t>
  </si>
  <si>
    <t>Vermessung und Geoinformation</t>
  </si>
  <si>
    <t>Vergleichende Literaturwissenschaft</t>
  </si>
  <si>
    <t>Streicherkammermusik</t>
  </si>
  <si>
    <t>Statistik</t>
  </si>
  <si>
    <t>Sportwissenschaften</t>
  </si>
  <si>
    <t>Internationale Wirtschaftswissenschaften</t>
  </si>
  <si>
    <t>Geographie</t>
  </si>
  <si>
    <t>Energietechnik</t>
  </si>
  <si>
    <t>Classica et Orientalia</t>
  </si>
  <si>
    <t>Barockvioline/Barockviola</t>
  </si>
  <si>
    <t>Slicer Button Selected</t>
  </si>
  <si>
    <t>&lt;--  summary written cell</t>
  </si>
  <si>
    <t>Formatierungsrichtlinien</t>
  </si>
  <si>
    <t>2) Wenn möglich die nicht hierarchische Darstellung eines Slicers wählen (Slicer Type)</t>
  </si>
  <si>
    <t>5) Formatierung von Zahlen prüfen (Ganzzahl oder Zahl mit einer Kommastelle)</t>
  </si>
  <si>
    <t>Slawistik</t>
  </si>
  <si>
    <t>Violine</t>
  </si>
  <si>
    <t>Anmerkung: Ab dem WS 2016 erfolgt die zähltechnische Abbildung der Studien auf Basis des Verteilungsschlüssels gemäß § 22 Abs. 2 und Abs. 5 bis 7 UHSBV.</t>
  </si>
</sst>
</file>

<file path=xl/styles.xml><?xml version="1.0" encoding="utf-8"?>
<styleSheet xmlns="http://schemas.openxmlformats.org/spreadsheetml/2006/main">
  <numFmts count="2">
    <numFmt numFmtId="164" formatCode="0.0%"/>
    <numFmt numFmtId="165" formatCode=";;;"/>
  </numFmts>
  <fonts count="34">
    <font>
      <sz val="11"/>
      <color theme="1"/>
      <name val="Calibri"/>
      <family val="2"/>
      <scheme val="minor"/>
    </font>
    <font>
      <sz val="11"/>
      <color indexed="8"/>
      <name val="Calibri"/>
      <family val="2"/>
    </font>
    <font>
      <sz val="10"/>
      <color theme="1"/>
      <name val="Tahoma"/>
      <family val="2"/>
    </font>
    <font>
      <b/>
      <sz val="10"/>
      <name val="Tahoma"/>
      <family val="2"/>
    </font>
    <font>
      <b/>
      <sz val="8"/>
      <color indexed="23"/>
      <name val="Tahoma"/>
      <family val="2"/>
    </font>
    <font>
      <sz val="11"/>
      <color rgb="FF000000"/>
      <name val="Tahoma"/>
      <family val="2"/>
    </font>
    <font>
      <sz val="10"/>
      <color rgb="FF000000"/>
      <name val="Tahoma"/>
      <family val="2"/>
    </font>
    <font>
      <sz val="10"/>
      <color rgb="FF262626"/>
      <name val="Tahoma"/>
      <family val="2"/>
    </font>
    <font>
      <sz val="9"/>
      <name val="Tahoma"/>
      <family val="2"/>
    </font>
    <font>
      <b/>
      <sz val="11"/>
      <color rgb="FF000000"/>
      <name val="Tahoma"/>
      <family val="2"/>
    </font>
    <font>
      <sz val="8"/>
      <name val="Tahoma"/>
      <family val="2"/>
    </font>
    <font>
      <sz val="10"/>
      <color theme="1" tint="0.0499893185216834"/>
      <name val="Tahoma"/>
      <family val="2"/>
    </font>
    <font>
      <sz val="10"/>
      <color theme="1" tint="0.34998626667073579"/>
      <name val="Tahoma"/>
      <family val="2"/>
    </font>
    <font>
      <sz val="10"/>
      <name val="Tahoma"/>
      <family val="2"/>
    </font>
    <font>
      <sz val="10"/>
      <color rgb="FF595959"/>
      <name val="Tahoma"/>
      <family val="2"/>
    </font>
    <font>
      <b/>
      <sz val="11"/>
      <color theme="1"/>
      <name val="Calibri"/>
      <family val="2"/>
      <scheme val="minor"/>
    </font>
    <font>
      <sz val="10"/>
      <color theme="1" tint="0.14996795556505021"/>
      <name val="Tahoma"/>
      <family val="2"/>
    </font>
    <font>
      <sz val="10"/>
      <color rgb="FFFF0000"/>
      <name val="Tahoma"/>
      <family val="2"/>
    </font>
    <font>
      <b/>
      <sz val="8"/>
      <color rgb="FFFF0000"/>
      <name val="Tahoma"/>
      <family val="2"/>
    </font>
    <font>
      <sz val="11"/>
      <color theme="0"/>
      <name val="Calibri"/>
      <family val="2"/>
      <scheme val="minor"/>
    </font>
    <font>
      <b/>
      <sz val="11"/>
      <color theme="3"/>
      <name val="Calibri"/>
      <family val="2"/>
      <scheme val="minor"/>
    </font>
    <font>
      <sz val="11"/>
      <color rgb="FF3F3F76"/>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sz val="11"/>
      <color rgb="FF006100"/>
      <name val="Calibri"/>
      <family val="2"/>
      <scheme val="minor"/>
    </font>
    <font>
      <b/>
      <sz val="11"/>
      <color theme="0"/>
      <name val="Calibri"/>
      <family val="2"/>
      <scheme val="minor"/>
    </font>
    <font>
      <b/>
      <sz val="11"/>
      <color rgb="FFFA7D00"/>
      <name val="Calibri"/>
      <family val="2"/>
      <scheme val="minor"/>
    </font>
    <font>
      <sz val="11"/>
      <color rgb="FFFF0000"/>
      <name val="Calibri"/>
      <family val="2"/>
      <scheme val="minor"/>
    </font>
    <font>
      <sz val="11"/>
      <color rgb="FFFA7D00"/>
      <name val="Calibri"/>
      <family val="2"/>
      <scheme val="minor"/>
    </font>
    <font>
      <b/>
      <sz val="15"/>
      <color theme="3"/>
      <name val="Calibri"/>
      <family val="2"/>
      <scheme val="minor"/>
    </font>
    <font>
      <sz val="11"/>
      <color rgb="FF9C0006"/>
      <name val="Calibri"/>
      <family val="2"/>
      <scheme val="minor"/>
    </font>
    <font>
      <i/>
      <sz val="11"/>
      <color rgb="FF7F7F7F"/>
      <name val="Calibri"/>
      <family val="2"/>
      <scheme val="minor"/>
    </font>
    <font>
      <b/>
      <sz val="13"/>
      <color theme="3"/>
      <name val="Calibri"/>
      <family val="2"/>
      <scheme val="minor"/>
    </font>
  </fonts>
  <fills count="13">
    <fill>
      <patternFill patternType="none"/>
    </fill>
    <fill>
      <patternFill patternType="gray125"/>
    </fill>
    <fill>
      <patternFill patternType="solid">
        <fgColor indexed="22"/>
        <bgColor indexed="64"/>
      </patternFill>
    </fill>
    <fill>
      <patternFill patternType="solid">
        <fgColor theme="3" tint="0.79995117038483843"/>
        <bgColor indexed="64"/>
      </patternFill>
    </fill>
    <fill>
      <patternFill patternType="solid">
        <fgColor rgb="FFC6D9F1"/>
        <bgColor rgb="FFFFFFFF"/>
      </patternFill>
    </fill>
    <fill>
      <patternFill patternType="solid">
        <fgColor rgb="FFBFBFBF"/>
        <bgColor indexed="64"/>
      </patternFill>
    </fill>
    <fill>
      <patternFill patternType="solid">
        <fgColor rgb="FFBFBFBF"/>
        <bgColor rgb="FFFFFFFF"/>
      </patternFill>
    </fill>
    <fill>
      <patternFill patternType="solid">
        <fgColor indexed="43"/>
        <bgColor indexed="64"/>
      </patternFill>
    </fill>
    <fill>
      <patternFill patternType="solid">
        <fgColor rgb="FFDDDDDD"/>
        <bgColor rgb="FFFFFFFF"/>
      </patternFill>
    </fill>
    <fill>
      <patternFill patternType="solid">
        <fgColor rgb="FFDDDDDD"/>
        <bgColor indexed="64"/>
      </patternFill>
    </fill>
    <fill>
      <patternFill patternType="solid">
        <fgColor rgb="FFD9D9D9"/>
        <bgColor indexed="64"/>
      </patternFill>
    </fill>
    <fill>
      <patternFill patternType="solid">
        <fgColor indexed="42"/>
        <bgColor indexed="64"/>
      </patternFill>
    </fill>
    <fill>
      <patternFill patternType="solid">
        <fgColor indexed="40"/>
        <bgColor indexed="64"/>
      </patternFill>
    </fill>
  </fills>
  <borders count="8">
    <border>
      <left/>
      <right/>
      <top/>
      <bottom/>
      <diagonal/>
    </border>
    <border>
      <left style="hair">
        <color rgb="FFC0C0C0"/>
      </left>
      <right style="hair">
        <color rgb="FFC0C0C0"/>
      </right>
      <top style="hair">
        <color rgb="FFC0C0C0"/>
      </top>
      <bottom style="hair">
        <color rgb="FFC0C0C0"/>
      </bottom>
      <diagonal/>
    </border>
    <border>
      <left/>
      <right style="hair">
        <color rgb="FFC0C0C0"/>
      </right>
      <top/>
      <bottom/>
      <diagonal/>
    </border>
    <border>
      <left style="hair">
        <color rgb="FFC0C0C0"/>
      </left>
      <right/>
      <top style="hair">
        <color rgb="FFC0C0C0"/>
      </top>
      <bottom/>
      <diagonal/>
    </border>
    <border>
      <left style="thin">
        <color indexed="23"/>
      </left>
      <right/>
      <top/>
      <bottom/>
      <diagonal/>
    </border>
    <border>
      <left style="hair">
        <color indexed="22"/>
      </left>
      <right style="hair">
        <color indexed="22"/>
      </right>
      <top style="hair">
        <color indexed="22"/>
      </top>
      <bottom style="hair">
        <color indexed="22"/>
      </bottom>
      <diagonal/>
    </border>
    <border>
      <left style="hair">
        <color rgb="FFC0C0C0"/>
      </left>
      <right style="hair">
        <color rgb="FFC0C0C0"/>
      </right>
      <top style="hair">
        <color rgb="FFC0C0C0"/>
      </top>
      <bottom/>
      <diagonal/>
    </border>
    <border>
      <left style="hair">
        <color rgb="FFC0C0C0"/>
      </left>
      <right/>
      <top style="hair">
        <color rgb="FFC0C0C0"/>
      </top>
      <bottom style="hair">
        <color rgb="FFC0C0C0"/>
      </bottom>
      <diagonal/>
    </border>
  </borders>
  <cellStyleXfs count="2">
    <xf numFmtId="0" fontId="0" fillId="0" borderId="0"/>
    <xf numFmtId="0" fontId="1" fillId="0" borderId="0"/>
  </cellStyleXfs>
  <cellXfs count="65">
    <xf numFmtId="0" fontId="0" fillId="0" borderId="0" xfId="0"/>
    <xf numFmtId="0" fontId="2" fillId="0" borderId="0" xfId="0" quotePrefix="1" applyFont="1" applyAlignment="1">
      <alignment horizontal="left" vertical="top" wrapText="1"/>
    </xf>
    <xf numFmtId="0" fontId="3" fillId="0" borderId="0" xfId="0" applyFont="1"/>
    <xf numFmtId="0" fontId="4" fillId="0" borderId="0" xfId="0" applyFont="1"/>
    <xf numFmtId="0" fontId="5" fillId="0" borderId="0" xfId="0" applyFont="1" applyFill="1" applyAlignment="1">
      <alignment vertical="center"/>
    </xf>
    <xf numFmtId="0" fontId="6" fillId="0" borderId="0" xfId="0" applyFont="1" applyFill="1" applyAlignment="1"/>
    <xf numFmtId="0" fontId="6" fillId="0" borderId="0" xfId="0" applyFont="1" applyFill="1" applyAlignment="1">
      <alignment vertical="top"/>
    </xf>
    <xf numFmtId="0" fontId="7" fillId="0" borderId="1" xfId="0" quotePrefix="1" applyFont="1" applyFill="1" applyBorder="1" applyAlignment="1" applyProtection="1">
      <alignment horizontal="center"/>
    </xf>
    <xf numFmtId="0" fontId="8" fillId="2" borderId="0" xfId="1" applyFont="1" applyFill="1" applyBorder="1" applyAlignment="1">
      <alignment horizontal="center"/>
    </xf>
    <xf numFmtId="0" fontId="9" fillId="0" borderId="0" xfId="0" applyFont="1" applyFill="1" applyAlignment="1">
      <alignment vertical="top"/>
    </xf>
    <xf numFmtId="0" fontId="7" fillId="0" borderId="1" xfId="0" applyFont="1" applyFill="1" applyBorder="1" applyAlignment="1" applyProtection="1">
      <alignment horizontal="right"/>
    </xf>
    <xf numFmtId="0" fontId="9" fillId="0" borderId="0" xfId="0" applyFont="1" applyFill="1" applyAlignment="1">
      <alignment horizontal="left" vertical="top"/>
    </xf>
    <xf numFmtId="0" fontId="0" fillId="0" borderId="0" xfId="0" applyFill="1" applyAlignment="1"/>
    <xf numFmtId="0" fontId="10" fillId="0" borderId="0" xfId="1" applyFont="1"/>
    <xf numFmtId="0" fontId="11" fillId="0" borderId="0" xfId="0" applyFont="1"/>
    <xf numFmtId="0" fontId="12" fillId="3" borderId="0" xfId="0" applyFont="1" applyFill="1" applyAlignment="1"/>
    <xf numFmtId="0" fontId="13" fillId="0" borderId="0" xfId="0" applyNumberFormat="1" applyFont="1" applyAlignment="1"/>
    <xf numFmtId="0" fontId="13" fillId="0" borderId="0" xfId="0" applyFont="1"/>
    <xf numFmtId="0" fontId="10" fillId="3" borderId="0" xfId="1" applyFont="1" applyFill="1"/>
    <xf numFmtId="3" fontId="7" fillId="0" borderId="1" xfId="0" applyNumberFormat="1" applyFont="1" applyFill="1" applyBorder="1" applyAlignment="1" applyProtection="1">
      <alignment horizontal="right"/>
    </xf>
    <xf numFmtId="0" fontId="6" fillId="0" borderId="0" xfId="0" quotePrefix="1" applyFont="1" applyFill="1" applyAlignment="1">
      <alignment vertical="top"/>
    </xf>
    <xf numFmtId="0" fontId="14" fillId="4" borderId="2" xfId="0" quotePrefix="1" applyFont="1" applyFill="1" applyBorder="1" applyAlignment="1" applyProtection="1"/>
    <xf numFmtId="0" fontId="7" fillId="0" borderId="3" xfId="0" applyFont="1" applyBorder="1" applyAlignment="1" applyProtection="1">
      <alignment horizontal="right"/>
    </xf>
    <xf numFmtId="164" fontId="7" fillId="5" borderId="3" xfId="0" applyNumberFormat="1" applyFont="1" applyFill="1" applyBorder="1" applyAlignment="1" applyProtection="1">
      <alignment horizontal="right"/>
    </xf>
    <xf numFmtId="0" fontId="4" fillId="0" borderId="0" xfId="0" applyFont="1" applyAlignment="1">
      <alignment horizontal="right"/>
    </xf>
    <xf numFmtId="164" fontId="7" fillId="6" borderId="1" xfId="0" applyNumberFormat="1" applyFont="1" applyFill="1" applyBorder="1" applyAlignment="1" applyProtection="1">
      <alignment horizontal="right"/>
    </xf>
    <xf numFmtId="164" fontId="7" fillId="6" borderId="1" xfId="0" quotePrefix="1" applyNumberFormat="1" applyFont="1" applyFill="1" applyBorder="1" applyAlignment="1" applyProtection="1">
      <alignment horizontal="right"/>
    </xf>
    <xf numFmtId="0" fontId="15" fillId="0" borderId="0" xfId="0" applyFont="1" applyFill="1" applyAlignment="1"/>
    <xf numFmtId="0" fontId="13" fillId="0" borderId="0" xfId="0" applyFont="1" applyAlignment="1">
      <alignment horizontal="center"/>
    </xf>
    <xf numFmtId="0" fontId="16" fillId="0" borderId="0" xfId="0" applyFont="1"/>
    <xf numFmtId="0" fontId="8" fillId="2" borderId="4" xfId="1" applyFont="1" applyFill="1" applyBorder="1" applyAlignment="1">
      <alignment horizontal="center"/>
    </xf>
    <xf numFmtId="0" fontId="13" fillId="7" borderId="0" xfId="0" applyFont="1" applyFill="1"/>
    <xf numFmtId="0" fontId="13" fillId="7" borderId="0" xfId="0" applyNumberFormat="1" applyFont="1" applyFill="1" applyAlignment="1"/>
    <xf numFmtId="3" fontId="13" fillId="7" borderId="0" xfId="0" applyNumberFormat="1" applyFont="1" applyFill="1" applyAlignment="1"/>
    <xf numFmtId="0" fontId="6" fillId="0" borderId="0" xfId="0" quotePrefix="1" applyFont="1" applyFill="1" applyAlignment="1"/>
    <xf numFmtId="0" fontId="7" fillId="8" borderId="1" xfId="0" applyFont="1" applyFill="1" applyBorder="1" applyAlignment="1" applyProtection="1">
      <alignment horizontal="right"/>
    </xf>
    <xf numFmtId="0" fontId="7" fillId="0" borderId="1" xfId="0" applyFont="1" applyFill="1" applyBorder="1" applyAlignment="1" applyProtection="1">
      <alignment vertical="center"/>
    </xf>
    <xf numFmtId="0" fontId="15" fillId="0" borderId="0" xfId="0" applyFont="1"/>
    <xf numFmtId="0" fontId="7" fillId="0" borderId="3" xfId="0" applyFont="1" applyBorder="1" applyAlignment="1" applyProtection="1">
      <alignment horizontal="center"/>
    </xf>
    <xf numFmtId="2" fontId="13" fillId="0" borderId="0" xfId="0" applyNumberFormat="1" applyFont="1"/>
    <xf numFmtId="0" fontId="17" fillId="0" borderId="0" xfId="0" applyFont="1"/>
    <xf numFmtId="0" fontId="13" fillId="0" borderId="0" xfId="0" applyFont="1" applyFill="1" applyBorder="1" applyAlignment="1">
      <alignment vertical="center"/>
    </xf>
    <xf numFmtId="0" fontId="13" fillId="0" borderId="0" xfId="0" quotePrefix="1" applyFont="1" applyFill="1"/>
    <xf numFmtId="0" fontId="18" fillId="0" borderId="0" xfId="0" applyFont="1"/>
    <xf numFmtId="3" fontId="7" fillId="8" borderId="1" xfId="0" applyNumberFormat="1" applyFont="1" applyFill="1" applyBorder="1" applyAlignment="1" applyProtection="1">
      <alignment horizontal="right"/>
    </xf>
    <xf numFmtId="0" fontId="16" fillId="0" borderId="5" xfId="0" quotePrefix="1" applyFont="1" applyFill="1" applyBorder="1" applyAlignment="1">
      <alignment horizontal="right"/>
    </xf>
    <xf numFmtId="0" fontId="0" fillId="0" borderId="0" xfId="0" applyFont="1"/>
    <xf numFmtId="0" fontId="7" fillId="9" borderId="3" xfId="0" applyFont="1" applyFill="1" applyBorder="1" applyAlignment="1" applyProtection="1">
      <alignment horizontal="right"/>
    </xf>
    <xf numFmtId="0" fontId="7" fillId="0" borderId="1" xfId="0" quotePrefix="1" applyFont="1" applyBorder="1" applyAlignment="1" applyProtection="1"/>
    <xf numFmtId="3" fontId="3" fillId="0" borderId="0" xfId="0" applyNumberFormat="1" applyFont="1" applyFill="1" applyAlignment="1"/>
    <xf numFmtId="0" fontId="7" fillId="10" borderId="1" xfId="0" applyFont="1" applyFill="1" applyBorder="1" applyAlignment="1" applyProtection="1">
      <alignment vertical="center"/>
    </xf>
    <xf numFmtId="0" fontId="4" fillId="0" borderId="0" xfId="0" applyFont="1" applyAlignment="1">
      <alignment horizontal="center"/>
    </xf>
    <xf numFmtId="3" fontId="13" fillId="11" borderId="0" xfId="0" applyNumberFormat="1" applyFont="1" applyFill="1" applyAlignment="1"/>
    <xf numFmtId="0" fontId="7" fillId="9" borderId="6" xfId="0" applyFont="1" applyFill="1" applyBorder="1" applyAlignment="1" applyProtection="1">
      <alignment horizontal="right"/>
    </xf>
    <xf numFmtId="0" fontId="16" fillId="0" borderId="5" xfId="0" applyFont="1" applyFill="1" applyBorder="1" applyAlignment="1">
      <alignment vertical="center"/>
    </xf>
    <xf numFmtId="3" fontId="16" fillId="0" borderId="5" xfId="0" applyNumberFormat="1" applyFont="1" applyFill="1" applyBorder="1" applyAlignment="1"/>
    <xf numFmtId="0" fontId="7" fillId="10" borderId="7" xfId="0" applyFont="1" applyFill="1" applyBorder="1" applyAlignment="1" applyProtection="1">
      <alignment vertical="center"/>
    </xf>
    <xf numFmtId="0" fontId="16" fillId="0" borderId="5" xfId="0" quotePrefix="1" applyFont="1" applyFill="1" applyBorder="1" applyAlignment="1"/>
    <xf numFmtId="0" fontId="10" fillId="7" borderId="0" xfId="1" applyFont="1" applyFill="1"/>
    <xf numFmtId="0" fontId="13" fillId="0" borderId="0" xfId="0" applyNumberFormat="1" applyFont="1"/>
    <xf numFmtId="0" fontId="13" fillId="0" borderId="0" xfId="0" applyNumberFormat="1" applyFont="1" applyFill="1" applyBorder="1" applyAlignment="1"/>
    <xf numFmtId="165" fontId="13" fillId="0" borderId="0" xfId="0" applyNumberFormat="1" applyFont="1"/>
    <xf numFmtId="3" fontId="13" fillId="0" borderId="0" xfId="0" applyNumberFormat="1" applyFont="1" applyAlignment="1"/>
    <xf numFmtId="0" fontId="13" fillId="0" borderId="0" xfId="0" quotePrefix="1" applyFont="1"/>
    <xf numFmtId="3" fontId="13" fillId="12" borderId="0" xfId="0" applyNumberFormat="1" applyFont="1" applyFill="1" applyAlignment="1"/>
  </cellXfs>
  <cellStyles count="2">
    <cellStyle name="Normal" xfId="0" builtinId="0"/>
    <cellStyle name="Normal_Sheet1" xfId="1"/>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drawings/_rels/drawing1.xml.rels>&#65279;<?xml version="1.0" encoding="utf-8"?><Relationships xmlns="http://schemas.openxmlformats.org/package/2006/relationships"><Relationship Id="rId1" Type="http://schemas.openxmlformats.org/officeDocument/2006/relationships/image" Target="../media/image1.png" /><Relationship Id="rId2" Type="http://schemas.openxmlformats.org/officeDocument/2006/relationships/image" Target="../media/image2.png" /></Relationships>
</file>

<file path=xl/drawings/drawing1.xml><?xml version="1.0" encoding="utf-8"?>
<xdr:wsDr xmlns:a="http://schemas.openxmlformats.org/drawingml/2006/main" xmlns:xdr="http://schemas.openxmlformats.org/drawingml/2006/spreadsheetDrawing">
  <xdr:twoCellAnchor editAs="oneCell">
    <xdr:from>
      <xdr:col>1</xdr:col>
      <xdr:colOff>0</xdr:colOff>
      <xdr:row>16</xdr:row>
      <xdr:rowOff>190500</xdr:rowOff>
    </xdr:from>
    <xdr:to>
      <xdr:col>5</xdr:col>
      <xdr:colOff>281181</xdr:colOff>
      <xdr:row>18</xdr:row>
      <xdr:rowOff>0</xdr:rowOff>
    </xdr:to>
    <xdr:pic>
      <xdr:nvPicPr>
        <xdr:cNvPr id="3" name="Picture 2"/>
        <xdr:cNvPicPr>
          <a:picLocks/>
        </xdr:cNvPicPr>
      </xdr:nvPicPr>
      <xdr:blipFill>
        <a:blip xmlns:r="http://schemas.openxmlformats.org/officeDocument/2006/relationships" r:embed="rId1"/>
        <a:stretch>
          <a:fillRect/>
        </a:stretch>
      </xdr:blipFill>
      <xdr:spPr>
        <a:xfrm>
          <a:off x="2968624" y="3550285"/>
          <a:ext cx="3697007" cy="190500"/>
        </a:xfrm>
        <a:prstGeom prst="rect">
          <a:avLst/>
        </a:prstGeom>
        <a:noFill/>
        <a:ln w="0">
          <a:noFill/>
        </a:ln>
      </xdr:spPr>
    </xdr:pic>
    <xdr:clientData/>
  </xdr:twoCellAnchor>
  <xdr:twoCellAnchor editAs="oneCell">
    <xdr:from>
      <xdr:col>1</xdr:col>
      <xdr:colOff>0</xdr:colOff>
      <xdr:row>10</xdr:row>
      <xdr:rowOff>0</xdr:rowOff>
    </xdr:from>
    <xdr:to>
      <xdr:col>5</xdr:col>
      <xdr:colOff>281181</xdr:colOff>
      <xdr:row>11</xdr:row>
      <xdr:rowOff>0</xdr:rowOff>
    </xdr:to>
    <xdr:pic>
      <xdr:nvPicPr>
        <xdr:cNvPr id="4" name="Picture 3"/>
        <xdr:cNvPicPr>
          <a:picLocks/>
        </xdr:cNvPicPr>
      </xdr:nvPicPr>
      <xdr:blipFill>
        <a:blip xmlns:r="http://schemas.openxmlformats.org/officeDocument/2006/relationships" r:embed="rId1"/>
        <a:stretch>
          <a:fillRect/>
        </a:stretch>
      </xdr:blipFill>
      <xdr:spPr>
        <a:xfrm>
          <a:off x="2968624" y="2216785"/>
          <a:ext cx="3697007" cy="190500"/>
        </a:xfrm>
        <a:prstGeom prst="rect">
          <a:avLst/>
        </a:prstGeom>
        <a:noFill/>
        <a:ln w="0">
          <a:noFill/>
        </a:ln>
      </xdr:spPr>
    </xdr:pic>
    <xdr:clientData/>
  </xdr:twoCellAnchor>
  <xdr:twoCellAnchor editAs="oneCell">
    <xdr:from>
      <xdr:col>1</xdr:col>
      <xdr:colOff>0</xdr:colOff>
      <xdr:row>11</xdr:row>
      <xdr:rowOff>0</xdr:rowOff>
    </xdr:from>
    <xdr:to>
      <xdr:col>5</xdr:col>
      <xdr:colOff>281181</xdr:colOff>
      <xdr:row>12</xdr:row>
      <xdr:rowOff>0</xdr:rowOff>
    </xdr:to>
    <xdr:pic>
      <xdr:nvPicPr>
        <xdr:cNvPr id="5" name="Picture 4"/>
        <xdr:cNvPicPr>
          <a:picLocks/>
        </xdr:cNvPicPr>
      </xdr:nvPicPr>
      <xdr:blipFill>
        <a:blip xmlns:r="http://schemas.openxmlformats.org/officeDocument/2006/relationships" r:embed="rId1"/>
        <a:stretch>
          <a:fillRect/>
        </a:stretch>
      </xdr:blipFill>
      <xdr:spPr>
        <a:xfrm>
          <a:off x="2968624" y="2407285"/>
          <a:ext cx="3697007" cy="190500"/>
        </a:xfrm>
        <a:prstGeom prst="rect">
          <a:avLst/>
        </a:prstGeom>
        <a:noFill/>
        <a:ln w="0">
          <a:noFill/>
        </a:ln>
      </xdr:spPr>
    </xdr:pic>
    <xdr:clientData/>
  </xdr:twoCellAnchor>
  <xdr:twoCellAnchor editAs="oneCell">
    <xdr:from>
      <xdr:col>1</xdr:col>
      <xdr:colOff>0</xdr:colOff>
      <xdr:row>12</xdr:row>
      <xdr:rowOff>0</xdr:rowOff>
    </xdr:from>
    <xdr:to>
      <xdr:col>5</xdr:col>
      <xdr:colOff>281181</xdr:colOff>
      <xdr:row>13</xdr:row>
      <xdr:rowOff>0</xdr:rowOff>
    </xdr:to>
    <xdr:pic>
      <xdr:nvPicPr>
        <xdr:cNvPr id="6" name="Picture 5"/>
        <xdr:cNvPicPr>
          <a:picLocks/>
        </xdr:cNvPicPr>
      </xdr:nvPicPr>
      <xdr:blipFill>
        <a:blip xmlns:r="http://schemas.openxmlformats.org/officeDocument/2006/relationships" r:embed="rId1"/>
        <a:stretch>
          <a:fillRect/>
        </a:stretch>
      </xdr:blipFill>
      <xdr:spPr>
        <a:xfrm>
          <a:off x="2968624" y="2597785"/>
          <a:ext cx="3697007" cy="190500"/>
        </a:xfrm>
        <a:prstGeom prst="rect">
          <a:avLst/>
        </a:prstGeom>
        <a:noFill/>
        <a:ln w="0">
          <a:noFill/>
        </a:ln>
      </xdr:spPr>
    </xdr:pic>
    <xdr:clientData/>
  </xdr:twoCellAnchor>
  <xdr:twoCellAnchor editAs="oneCell">
    <xdr:from>
      <xdr:col>1</xdr:col>
      <xdr:colOff>0</xdr:colOff>
      <xdr:row>13</xdr:row>
      <xdr:rowOff>0</xdr:rowOff>
    </xdr:from>
    <xdr:to>
      <xdr:col>5</xdr:col>
      <xdr:colOff>281181</xdr:colOff>
      <xdr:row>14</xdr:row>
      <xdr:rowOff>0</xdr:rowOff>
    </xdr:to>
    <xdr:pic>
      <xdr:nvPicPr>
        <xdr:cNvPr id="7" name="Picture 6"/>
        <xdr:cNvPicPr>
          <a:picLocks/>
        </xdr:cNvPicPr>
      </xdr:nvPicPr>
      <xdr:blipFill>
        <a:blip xmlns:r="http://schemas.openxmlformats.org/officeDocument/2006/relationships" r:embed="rId1"/>
        <a:stretch>
          <a:fillRect/>
        </a:stretch>
      </xdr:blipFill>
      <xdr:spPr>
        <a:xfrm>
          <a:off x="2968624" y="2788285"/>
          <a:ext cx="3697007" cy="190500"/>
        </a:xfrm>
        <a:prstGeom prst="rect">
          <a:avLst/>
        </a:prstGeom>
        <a:noFill/>
        <a:ln w="0">
          <a:noFill/>
        </a:ln>
      </xdr:spPr>
    </xdr:pic>
    <xdr:clientData/>
  </xdr:twoCellAnchor>
  <xdr:twoCellAnchor editAs="oneCell">
    <xdr:from>
      <xdr:col>1</xdr:col>
      <xdr:colOff>0</xdr:colOff>
      <xdr:row>14</xdr:row>
      <xdr:rowOff>0</xdr:rowOff>
    </xdr:from>
    <xdr:to>
      <xdr:col>5</xdr:col>
      <xdr:colOff>281181</xdr:colOff>
      <xdr:row>15</xdr:row>
      <xdr:rowOff>0</xdr:rowOff>
    </xdr:to>
    <xdr:pic>
      <xdr:nvPicPr>
        <xdr:cNvPr id="8" name="Picture 7"/>
        <xdr:cNvPicPr>
          <a:picLocks/>
        </xdr:cNvPicPr>
      </xdr:nvPicPr>
      <xdr:blipFill>
        <a:blip xmlns:r="http://schemas.openxmlformats.org/officeDocument/2006/relationships" r:embed="rId1"/>
        <a:stretch>
          <a:fillRect/>
        </a:stretch>
      </xdr:blipFill>
      <xdr:spPr>
        <a:xfrm>
          <a:off x="2968624" y="2978785"/>
          <a:ext cx="3697007" cy="190500"/>
        </a:xfrm>
        <a:prstGeom prst="rect">
          <a:avLst/>
        </a:prstGeom>
        <a:noFill/>
        <a:ln w="0">
          <a:noFill/>
        </a:ln>
      </xdr:spPr>
    </xdr:pic>
    <xdr:clientData/>
  </xdr:twoCellAnchor>
  <xdr:twoCellAnchor editAs="oneCell">
    <xdr:from>
      <xdr:col>1</xdr:col>
      <xdr:colOff>0</xdr:colOff>
      <xdr:row>15</xdr:row>
      <xdr:rowOff>0</xdr:rowOff>
    </xdr:from>
    <xdr:to>
      <xdr:col>5</xdr:col>
      <xdr:colOff>281181</xdr:colOff>
      <xdr:row>16</xdr:row>
      <xdr:rowOff>0</xdr:rowOff>
    </xdr:to>
    <xdr:pic>
      <xdr:nvPicPr>
        <xdr:cNvPr id="9" name="Picture 8"/>
        <xdr:cNvPicPr>
          <a:picLocks/>
        </xdr:cNvPicPr>
      </xdr:nvPicPr>
      <xdr:blipFill>
        <a:blip xmlns:r="http://schemas.openxmlformats.org/officeDocument/2006/relationships" r:embed="rId1"/>
        <a:stretch>
          <a:fillRect/>
        </a:stretch>
      </xdr:blipFill>
      <xdr:spPr>
        <a:xfrm>
          <a:off x="2968624" y="3169285"/>
          <a:ext cx="3697007" cy="190500"/>
        </a:xfrm>
        <a:prstGeom prst="rect">
          <a:avLst/>
        </a:prstGeom>
        <a:noFill/>
        <a:ln w="0">
          <a:noFill/>
        </a:ln>
      </xdr:spPr>
    </xdr:pic>
    <xdr:clientData/>
  </xdr:twoCellAnchor>
  <xdr:twoCellAnchor editAs="oneCell">
    <xdr:from>
      <xdr:col>1</xdr:col>
      <xdr:colOff>0</xdr:colOff>
      <xdr:row>15</xdr:row>
      <xdr:rowOff>190500</xdr:rowOff>
    </xdr:from>
    <xdr:to>
      <xdr:col>5</xdr:col>
      <xdr:colOff>281181</xdr:colOff>
      <xdr:row>17</xdr:row>
      <xdr:rowOff>0</xdr:rowOff>
    </xdr:to>
    <xdr:pic>
      <xdr:nvPicPr>
        <xdr:cNvPr id="10" name="Picture 9"/>
        <xdr:cNvPicPr>
          <a:picLocks/>
        </xdr:cNvPicPr>
      </xdr:nvPicPr>
      <xdr:blipFill>
        <a:blip xmlns:r="http://schemas.openxmlformats.org/officeDocument/2006/relationships" r:embed="rId1"/>
        <a:stretch>
          <a:fillRect/>
        </a:stretch>
      </xdr:blipFill>
      <xdr:spPr>
        <a:xfrm>
          <a:off x="2968624" y="3359785"/>
          <a:ext cx="3697007" cy="190500"/>
        </a:xfrm>
        <a:prstGeom prst="rect">
          <a:avLst/>
        </a:prstGeom>
        <a:noFill/>
        <a:ln w="0">
          <a:noFill/>
        </a:ln>
      </xdr:spPr>
    </xdr:pic>
    <xdr:clientData/>
  </xdr:twoCellAnchor>
  <xdr:twoCellAnchor editAs="oneCell">
    <xdr:from>
      <xdr:col>1</xdr:col>
      <xdr:colOff>0</xdr:colOff>
      <xdr:row>9</xdr:row>
      <xdr:rowOff>0</xdr:rowOff>
    </xdr:from>
    <xdr:to>
      <xdr:col>5</xdr:col>
      <xdr:colOff>281181</xdr:colOff>
      <xdr:row>10</xdr:row>
      <xdr:rowOff>0</xdr:rowOff>
    </xdr:to>
    <xdr:pic>
      <xdr:nvPicPr>
        <xdr:cNvPr id="11" name="Picture 10"/>
        <xdr:cNvPicPr>
          <a:picLocks/>
        </xdr:cNvPicPr>
      </xdr:nvPicPr>
      <xdr:blipFill>
        <a:blip xmlns:r="http://schemas.openxmlformats.org/officeDocument/2006/relationships" r:embed="rId2"/>
        <a:stretch>
          <a:fillRect/>
        </a:stretch>
      </xdr:blipFill>
      <xdr:spPr>
        <a:xfrm>
          <a:off x="2968624" y="2026285"/>
          <a:ext cx="3697007" cy="190500"/>
        </a:xfrm>
        <a:prstGeom prst="rect">
          <a:avLst/>
        </a:prstGeom>
        <a:noFill/>
        <a:ln w="0">
          <a:noFill/>
        </a:ln>
      </xdr:spPr>
    </xdr:pic>
    <xdr:clientData/>
  </xdr:twoCellAnchor>
  <xdr:twoCellAnchor editAs="oneCell">
    <xdr:from>
      <xdr:col>1</xdr:col>
      <xdr:colOff>0</xdr:colOff>
      <xdr:row>17</xdr:row>
      <xdr:rowOff>190500</xdr:rowOff>
    </xdr:from>
    <xdr:to>
      <xdr:col>5</xdr:col>
      <xdr:colOff>281181</xdr:colOff>
      <xdr:row>19</xdr:row>
      <xdr:rowOff>0</xdr:rowOff>
    </xdr:to>
    <xdr:pic>
      <xdr:nvPicPr>
        <xdr:cNvPr id="12" name="Picture 11"/>
        <xdr:cNvPicPr>
          <a:picLocks/>
        </xdr:cNvPicPr>
      </xdr:nvPicPr>
      <xdr:blipFill>
        <a:blip xmlns:r="http://schemas.openxmlformats.org/officeDocument/2006/relationships" r:embed="rId1"/>
        <a:stretch>
          <a:fillRect/>
        </a:stretch>
      </xdr:blipFill>
      <xdr:spPr>
        <a:xfrm>
          <a:off x="2968624" y="3740785"/>
          <a:ext cx="3697007" cy="189865"/>
        </a:xfrm>
        <a:prstGeom prst="rect">
          <a:avLst/>
        </a:prstGeom>
        <a:noFill/>
        <a:ln w="0">
          <a:noFill/>
        </a:ln>
      </xdr:spPr>
    </xdr:pic>
    <xdr:clientData/>
  </xdr:twoCellAnchor>
</xdr:wsDr>
</file>

<file path=xl/drawings/drawing2.xml><?xml version="1.0" encoding="utf-8"?>
<xdr:wsDr xmlns:a="http://schemas.openxmlformats.org/drawingml/2006/main" xmlns:xdr="http://schemas.openxmlformats.org/drawingml/2006/spreadsheetDrawing">
  <xdr:twoCellAnchor editAs="absolute">
    <xdr:from>
      <xdr:col>9</xdr:col>
      <xdr:colOff>114300</xdr:colOff>
      <xdr:row>3</xdr:row>
      <xdr:rowOff>109220</xdr:rowOff>
    </xdr:from>
    <xdr:to>
      <xdr:col>10</xdr:col>
      <xdr:colOff>305497</xdr:colOff>
      <xdr:row>7</xdr:row>
      <xdr:rowOff>104140</xdr:rowOff>
    </xdr:to>
    <xdr:sp macro="" textlink="">
      <xdr:nvSpPr>
        <xdr:cNvPr id="2" name="Comment 1" hidden="1"/>
        <xdr:cNvSpPr txBox="1"/>
      </xdr:nvSpPr>
      <xdr:spPr>
        <a:xfrm>
          <a:off x="12905418" y="627380"/>
          <a:ext cx="1097280" cy="685800"/>
        </a:xfrm>
        <a:prstGeom prst="rect">
          <a:avLst/>
        </a:prstGeom>
        <a:solidFill>
          <a:srgbClr val="FFFFE1"/>
        </a:solidFill>
        <a:ln w="9525">
          <a:solidFill>
            <a:srgbClr val="000000"/>
          </a:solidFill>
        </a:ln>
      </xdr:spPr>
      <xdr:txBody>
        <a:bodyPr rtlCol="0"/>
        <a:lstStyle/>
        <a:p>
          <a:pPr algn="l"/>
          <a:r>
            <a:rPr/>
            <a:t>XLCubed:</a:t>
          </a:r>
        </a:p>
        <a:p>
          <a:pPr algn="l"/>
          <a:r>
            <a:rPr/>
            <a:t>Blank name gives the default format.</a:t>
          </a:r>
        </a:p>
        <a:p>
          <a:pPr algn="l"/>
          <a:r>
            <a:rPr/>
            <a:t>Specify slicer name for slicer specific formats</a:t>
          </a:r>
        </a:p>
      </xdr:txBody>
    </xdr:sp>
    <xdr:clientData/>
  </xdr:twoCellAnchor>
  <xdr:twoCellAnchor editAs="absolute">
    <xdr:from>
      <xdr:col>10</xdr:col>
      <xdr:colOff>114300</xdr:colOff>
      <xdr:row>3</xdr:row>
      <xdr:rowOff>109220</xdr:rowOff>
    </xdr:from>
    <xdr:to>
      <xdr:col>11</xdr:col>
      <xdr:colOff>305497</xdr:colOff>
      <xdr:row>7</xdr:row>
      <xdr:rowOff>104140</xdr:rowOff>
    </xdr:to>
    <xdr:sp macro="" textlink="">
      <xdr:nvSpPr>
        <xdr:cNvPr id="3" name="Comment 2" hidden="1"/>
        <xdr:cNvSpPr txBox="1"/>
      </xdr:nvSpPr>
      <xdr:spPr>
        <a:xfrm>
          <a:off x="13811500" y="627380"/>
          <a:ext cx="1097280" cy="685800"/>
        </a:xfrm>
        <a:prstGeom prst="rect">
          <a:avLst/>
        </a:prstGeom>
        <a:solidFill>
          <a:srgbClr val="FFFFE1"/>
        </a:solidFill>
        <a:ln w="9525">
          <a:solidFill>
            <a:srgbClr val="000000"/>
          </a:solidFill>
        </a:ln>
      </xdr:spPr>
      <xdr:txBody>
        <a:bodyPr rtlCol="0"/>
        <a:lstStyle/>
        <a:p>
          <a:pPr algn="l"/>
          <a:r>
            <a:rPr/>
            <a:t>Display format for slicer title</a:t>
          </a:r>
        </a:p>
        <a:p>
          <a:pPr algn="l"/>
          <a:endParaRPr/>
        </a:p>
        <a:p>
          <a:pPr algn="l"/>
          <a:endParaRPr/>
        </a:p>
      </xdr:txBody>
    </xdr:sp>
    <xdr:clientData/>
  </xdr:twoCellAnchor>
  <xdr:twoCellAnchor editAs="absolute">
    <xdr:from>
      <xdr:col>11</xdr:col>
      <xdr:colOff>114300</xdr:colOff>
      <xdr:row>3</xdr:row>
      <xdr:rowOff>109220</xdr:rowOff>
    </xdr:from>
    <xdr:to>
      <xdr:col>12</xdr:col>
      <xdr:colOff>305497</xdr:colOff>
      <xdr:row>7</xdr:row>
      <xdr:rowOff>104140</xdr:rowOff>
    </xdr:to>
    <xdr:sp macro="" textlink="">
      <xdr:nvSpPr>
        <xdr:cNvPr id="4" name="Comment 3" hidden="1"/>
        <xdr:cNvSpPr txBox="1"/>
      </xdr:nvSpPr>
      <xdr:spPr>
        <a:xfrm>
          <a:off x="14717583" y="627380"/>
          <a:ext cx="1097280" cy="685800"/>
        </a:xfrm>
        <a:prstGeom prst="rect">
          <a:avLst/>
        </a:prstGeom>
        <a:solidFill>
          <a:srgbClr val="FFFFE1"/>
        </a:solidFill>
        <a:ln w="9525">
          <a:solidFill>
            <a:srgbClr val="000000"/>
          </a:solidFill>
        </a:ln>
      </xdr:spPr>
      <xdr:txBody>
        <a:bodyPr rtlCol="0"/>
        <a:lstStyle/>
        <a:p>
          <a:pPr algn="l"/>
          <a:r>
            <a:rPr/>
            <a:t>Format for non-button slicer text</a:t>
          </a:r>
        </a:p>
        <a:p>
          <a:pPr algn="l"/>
          <a:endParaRPr/>
        </a:p>
      </xdr:txBody>
    </xdr:sp>
    <xdr:clientData/>
  </xdr:twoCellAnchor>
  <xdr:twoCellAnchor editAs="absolute">
    <xdr:from>
      <xdr:col>12</xdr:col>
      <xdr:colOff>114300</xdr:colOff>
      <xdr:row>3</xdr:row>
      <xdr:rowOff>109220</xdr:rowOff>
    </xdr:from>
    <xdr:to>
      <xdr:col>13</xdr:col>
      <xdr:colOff>44867</xdr:colOff>
      <xdr:row>7</xdr:row>
      <xdr:rowOff>104140</xdr:rowOff>
    </xdr:to>
    <xdr:sp macro="" textlink="">
      <xdr:nvSpPr>
        <xdr:cNvPr id="5" name="Comment 4" hidden="1"/>
        <xdr:cNvSpPr txBox="1"/>
      </xdr:nvSpPr>
      <xdr:spPr>
        <a:xfrm>
          <a:off x="15623665" y="627380"/>
          <a:ext cx="1097280" cy="685800"/>
        </a:xfrm>
        <a:prstGeom prst="rect">
          <a:avLst/>
        </a:prstGeom>
        <a:solidFill>
          <a:srgbClr val="FFFFE1"/>
        </a:solidFill>
        <a:ln w="9525">
          <a:solidFill>
            <a:srgbClr val="000000"/>
          </a:solidFill>
        </a:ln>
      </xdr:spPr>
      <xdr:txBody>
        <a:bodyPr rtlCol="0"/>
        <a:lstStyle/>
        <a:p>
          <a:pPr algn="l"/>
          <a:r>
            <a:rPr/>
            <a:t>Default format for slicer buttons</a:t>
          </a:r>
        </a:p>
      </xdr:txBody>
    </xdr:sp>
    <xdr:clientData/>
  </xdr:twoCellAnchor>
  <xdr:twoCellAnchor editAs="absolute">
    <xdr:from>
      <xdr:col>13</xdr:col>
      <xdr:colOff>114300</xdr:colOff>
      <xdr:row>3</xdr:row>
      <xdr:rowOff>109220</xdr:rowOff>
    </xdr:from>
    <xdr:to>
      <xdr:col>14</xdr:col>
      <xdr:colOff>169913</xdr:colOff>
      <xdr:row>7</xdr:row>
      <xdr:rowOff>104140</xdr:rowOff>
    </xdr:to>
    <xdr:sp macro="" textlink="">
      <xdr:nvSpPr>
        <xdr:cNvPr id="6" name="Comment 5" hidden="1"/>
        <xdr:cNvSpPr txBox="1"/>
      </xdr:nvSpPr>
      <xdr:spPr>
        <a:xfrm>
          <a:off x="16790379" y="627380"/>
          <a:ext cx="1097280" cy="685800"/>
        </a:xfrm>
        <a:prstGeom prst="rect">
          <a:avLst/>
        </a:prstGeom>
        <a:solidFill>
          <a:srgbClr val="FFFFE1"/>
        </a:solidFill>
        <a:ln w="9525">
          <a:solidFill>
            <a:srgbClr val="000000"/>
          </a:solidFill>
        </a:ln>
      </xdr:spPr>
      <xdr:txBody>
        <a:bodyPr rtlCol="0"/>
        <a:lstStyle/>
        <a:p>
          <a:pPr algn="l"/>
          <a:r>
            <a:rPr/>
            <a:t>Display format for selected button</a:t>
          </a:r>
        </a:p>
      </xdr:txBody>
    </xdr:sp>
    <xdr:clientData/>
  </xdr:twoCellAnchor>
  <xdr:twoCellAnchor editAs="absolute">
    <xdr:from>
      <xdr:col>14</xdr:col>
      <xdr:colOff>114300</xdr:colOff>
      <xdr:row>3</xdr:row>
      <xdr:rowOff>109220</xdr:rowOff>
    </xdr:from>
    <xdr:to>
      <xdr:col>14</xdr:col>
      <xdr:colOff>1211580</xdr:colOff>
      <xdr:row>7</xdr:row>
      <xdr:rowOff>104140</xdr:rowOff>
    </xdr:to>
    <xdr:sp macro="" textlink="">
      <xdr:nvSpPr>
        <xdr:cNvPr id="7" name="Comment 6" hidden="1"/>
        <xdr:cNvSpPr txBox="1"/>
      </xdr:nvSpPr>
      <xdr:spPr>
        <a:xfrm>
          <a:off x="17832046" y="627380"/>
          <a:ext cx="1097280" cy="685800"/>
        </a:xfrm>
        <a:prstGeom prst="rect">
          <a:avLst/>
        </a:prstGeom>
        <a:solidFill>
          <a:srgbClr val="FFFFE1"/>
        </a:solidFill>
        <a:ln w="9525">
          <a:solidFill>
            <a:srgbClr val="000000"/>
          </a:solidFill>
        </a:ln>
      </xdr:spPr>
      <xdr:txBody>
        <a:bodyPr rtlCol="0"/>
        <a:lstStyle/>
        <a:p>
          <a:pPr algn="l"/>
          <a:r>
            <a:rPr/>
            <a:t>Display format for button when hovered over</a:t>
          </a:r>
        </a:p>
        <a:p>
          <a:pPr algn="l"/>
          <a:endParaRPr/>
        </a:p>
      </xdr:txBody>
    </xdr:sp>
    <xdr:clientData/>
  </xdr:twoCellAnchor>
  <xdr:twoCellAnchor editAs="absolute">
    <xdr:from>
      <xdr:col>15</xdr:col>
      <xdr:colOff>114300</xdr:colOff>
      <xdr:row>3</xdr:row>
      <xdr:rowOff>109220</xdr:rowOff>
    </xdr:from>
    <xdr:to>
      <xdr:col>16</xdr:col>
      <xdr:colOff>545050</xdr:colOff>
      <xdr:row>7</xdr:row>
      <xdr:rowOff>104140</xdr:rowOff>
    </xdr:to>
    <xdr:sp macro="" textlink="">
      <xdr:nvSpPr>
        <xdr:cNvPr id="8" name="Comment 7" hidden="1"/>
        <xdr:cNvSpPr txBox="1"/>
      </xdr:nvSpPr>
      <xdr:spPr>
        <a:xfrm>
          <a:off x="19165392" y="627380"/>
          <a:ext cx="1097280" cy="685800"/>
        </a:xfrm>
        <a:prstGeom prst="rect">
          <a:avLst/>
        </a:prstGeom>
        <a:solidFill>
          <a:srgbClr val="FFFFE1"/>
        </a:solidFill>
        <a:ln w="9525">
          <a:solidFill>
            <a:srgbClr val="000000"/>
          </a:solidFill>
        </a:ln>
      </xdr:spPr>
      <xdr:txBody>
        <a:bodyPr rtlCol="0"/>
        <a:lstStyle/>
        <a:p>
          <a:pPr algn="l"/>
          <a:r>
            <a:rPr/>
            <a:t>Background between the slicer buttons.</a:t>
          </a:r>
        </a:p>
      </xdr:txBody>
    </xdr:sp>
    <xdr:clientData/>
  </xdr:twoCellAnchor>
  <xdr:twoCellAnchor editAs="absolute">
    <xdr:from>
      <xdr:col>4</xdr:col>
      <xdr:colOff>114300</xdr:colOff>
      <xdr:row>22</xdr:row>
      <xdr:rowOff>109220</xdr:rowOff>
    </xdr:from>
    <xdr:to>
      <xdr:col>4</xdr:col>
      <xdr:colOff>1211580</xdr:colOff>
      <xdr:row>26</xdr:row>
      <xdr:rowOff>104140</xdr:rowOff>
    </xdr:to>
    <xdr:sp macro="" textlink="">
      <xdr:nvSpPr>
        <xdr:cNvPr id="9" name="Comment 8" hidden="1"/>
        <xdr:cNvSpPr txBox="1"/>
      </xdr:nvSpPr>
      <xdr:spPr>
        <a:xfrm>
          <a:off x="7322513" y="3563620"/>
          <a:ext cx="1097280" cy="685800"/>
        </a:xfrm>
        <a:prstGeom prst="rect">
          <a:avLst/>
        </a:prstGeom>
        <a:solidFill>
          <a:srgbClr val="FFFFE1"/>
        </a:solidFill>
        <a:ln w="9525">
          <a:solidFill>
            <a:srgbClr val="000000"/>
          </a:solidFill>
        </a:ln>
      </xdr:spPr>
      <xdr:txBody>
        <a:bodyPr rtlCol="0"/>
        <a:lstStyle/>
        <a:p>
          <a:pPr algn="l"/>
          <a:r>
            <a:rPr/>
            <a:t>Can use wildcard character - '*'</a:t>
          </a:r>
        </a:p>
        <a:p>
          <a:pPr algn="l"/>
          <a:endParaRPr/>
        </a:p>
        <a:p>
          <a:pPr algn="l"/>
          <a:endParaRP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Id="rId1" Type="http://schemas.openxmlformats.org/officeDocument/2006/relationships/drawing" Target="../drawings/drawing1.xml" /></Relationships>
</file>

<file path=xl/worksheets/_rels/sheet2.xml.rels>&#65279;<?xml version="1.0" encoding="utf-8"?><Relationships xmlns="http://schemas.openxmlformats.org/package/2006/relationships"><Relationship Id="rId1" Type="http://schemas.openxmlformats.org/officeDocument/2006/relationships/drawing" Target="../drawings/drawing2.xml" /></Relationships>
</file>

<file path=xl/worksheets/sheet1.xml><?xml version="1.0" encoding="utf-8"?>
<worksheet xmlns:r="http://schemas.openxmlformats.org/officeDocument/2006/relationships" xmlns="http://schemas.openxmlformats.org/spreadsheetml/2006/main">
  <sheetPr>
    <pageSetUpPr fitToPage="1"/>
  </sheetPr>
  <dimension ref="A1:I726"/>
  <sheetViews>
    <sheetView tabSelected="1" workbookViewId="0"/>
  </sheetViews>
  <sheetFormatPr defaultColWidth="11.42578125" defaultRowHeight="14.95"/>
  <cols>
    <col min="1" max="1" width="40.7109375" style="46" customWidth="1"/>
    <col min="2" max="8" width="11.7109375" customWidth="1"/>
    <col min="9" max="9" width="18" customWidth="1"/>
    <col min="10" max="10" width="11.7109375" customWidth="1"/>
    <col min="11" max="11" width="11.28515625" customWidth="1"/>
    <col min="12" max="12" width="9.85546875" customWidth="1"/>
    <col min="13" max="13" width="7.28515625" customWidth="1"/>
    <col min="14" max="14" width="11.28515625" customWidth="1"/>
    <col min="15" max="15" width="9.85546875" customWidth="1"/>
    <col min="16" max="16" width="7.28515625" customWidth="1"/>
    <col min="17" max="17" width="11.28515625" customWidth="1"/>
    <col min="18" max="18" width="7.28515625" customWidth="1"/>
    <col min="19" max="19" width="11.28515625" customWidth="1"/>
    <col min="20" max="20" width="9.85546875" customWidth="1"/>
    <col min="21" max="21" width="7.28515625" customWidth="1"/>
    <col min="22" max="22" width="11.28515625" customWidth="1"/>
    <col min="23" max="23" width="9.85546875" customWidth="1"/>
    <col min="24" max="24" width="7.28515625" customWidth="1"/>
    <col min="25" max="25" width="11.28515625" customWidth="1"/>
    <col min="26" max="26" width="17.140625" customWidth="1"/>
    <col min="27" max="27" width="6.7109375" customWidth="1"/>
    <col min="28" max="28" width="7.140625" customWidth="1"/>
    <col min="29" max="29" width="17.140625" customWidth="1"/>
    <col min="30" max="30" width="6.7109375" customWidth="1"/>
    <col min="31" max="31" width="7.140625" customWidth="1"/>
    <col min="32" max="32" width="17.140625" customWidth="1"/>
    <col min="33" max="33" width="6.7109375" customWidth="1"/>
    <col min="34" max="34" width="7.140625" customWidth="1"/>
  </cols>
  <sheetData>
    <row>
      <c s="4" t="s">
        <v>47</v>
      </c>
      <c s="4"/>
      <c s="4"/>
      <c s="4"/>
      <c s="4"/>
      <c s="12"/>
      <c s="12"/>
    </row>
    <row s="37" customFormat="1">
      <c s="9" t="s">
        <v>217</v>
      </c>
      <c s="9"/>
      <c s="9"/>
      <c s="9"/>
      <c s="9"/>
      <c s="27"/>
      <c s="27"/>
    </row>
    <row ht="15" customHeight="1" s="37" customFormat="1">
      <c s="20" t="s">
        <v>196</v>
      </c>
      <c s="11"/>
      <c s="11"/>
      <c s="11"/>
      <c s="11"/>
      <c s="27"/>
      <c s="27"/>
    </row>
    <row s="37" customFormat="1">
      <c s="1" t="s">
        <v>311</v>
      </c>
      <c s="1"/>
      <c s="1"/>
      <c s="1"/>
      <c s="1"/>
      <c s="1"/>
      <c s="1"/>
      <c s="1"/>
      <c s="1"/>
    </row>
    <row s="37" customFormat="1">
      <c s="1" t="s">
        <v>99</v>
      </c>
      <c s="1"/>
      <c s="1"/>
      <c s="1"/>
      <c s="1"/>
      <c s="1"/>
      <c s="1"/>
      <c s="1"/>
      <c s="1"/>
    </row>
    <row ht="39.75" customHeight="1" s="37" customFormat="1">
      <c s="1" t="s">
        <v>280</v>
      </c>
      <c s="1"/>
      <c s="1"/>
      <c s="1"/>
      <c s="1"/>
      <c s="1"/>
      <c s="1"/>
      <c s="1"/>
      <c s="1"/>
    </row>
    <row ht="15" customHeight="1">
      <c s="34" t="s">
        <v>281</v>
      </c>
      <c s="5"/>
      <c s="5"/>
      <c s="5"/>
      <c s="5"/>
      <c s="5"/>
      <c s="12"/>
    </row>
    <row ht="15" customHeight="1">
      <c s="20" t="s">
        <v>239</v>
      </c>
      <c s="6"/>
      <c s="6"/>
      <c s="6"/>
      <c s="6"/>
      <c s="12"/>
      <c s="12"/>
    </row>
    <row ht="15" customHeight="1">
      <c s="6"/>
      <c s="6"/>
      <c s="6"/>
      <c s="6"/>
      <c s="6"/>
      <c s="12"/>
      <c s="12"/>
    </row>
    <row ht="15" customHeight="1">
      <c s="21" t="s">
        <v>138</v>
      </c>
      <c s="48" t="s">
        <v>136</v>
      </c>
      <c r="F10" t="s">
        <v>81</v>
      </c>
    </row>
    <row ht="15" customHeight="1">
      <c s="21" t="s">
        <v>1</v>
      </c>
      <c s="48" t="s">
        <v>64</v>
      </c>
      <c r="F11" t="s">
        <v>81</v>
      </c>
    </row>
    <row ht="15" customHeight="1">
      <c s="21" t="s">
        <v>0</v>
      </c>
      <c s="48" t="s">
        <v>64</v>
      </c>
      <c r="F12" t="s">
        <v>81</v>
      </c>
    </row>
    <row ht="15" customHeight="1">
      <c s="21" t="s">
        <v>170</v>
      </c>
      <c s="48" t="s">
        <v>64</v>
      </c>
      <c r="F13" t="s">
        <v>81</v>
      </c>
    </row>
    <row ht="15" customHeight="1">
      <c s="21" t="s">
        <v>30</v>
      </c>
      <c s="48" t="s">
        <v>64</v>
      </c>
      <c r="F14" t="s">
        <v>81</v>
      </c>
    </row>
    <row ht="15" customHeight="1">
      <c s="21" t="s">
        <v>219</v>
      </c>
      <c s="48" t="s">
        <v>64</v>
      </c>
      <c r="F15" t="s">
        <v>81</v>
      </c>
    </row>
    <row ht="15" customHeight="1">
      <c s="21" t="s">
        <v>218</v>
      </c>
      <c s="48" t="s">
        <v>64</v>
      </c>
      <c r="F16" t="s">
        <v>81</v>
      </c>
    </row>
    <row ht="15" customHeight="1">
      <c s="21" t="s">
        <v>150</v>
      </c>
      <c s="48" t="s">
        <v>64</v>
      </c>
      <c r="F17" t="s">
        <v>81</v>
      </c>
    </row>
    <row ht="15" customHeight="1">
      <c s="21" t="s">
        <v>240</v>
      </c>
      <c s="48" t="s">
        <v>64</v>
      </c>
      <c r="F18" t="s">
        <v>81</v>
      </c>
    </row>
    <row>
      <c s="21" t="s">
        <v>137</v>
      </c>
      <c s="48" t="s">
        <v>64</v>
      </c>
    </row>
    <row ht="15" hidden="1">
      <c s="21" t="s">
        <v>199</v>
      </c>
      <c s="48" t="s">
        <v>118</v>
      </c>
    </row>
    <row ht="15" hidden="1">
      <c s="21" t="s">
        <v>261</v>
      </c>
      <c s="48" t="s">
        <v>119</v>
      </c>
    </row>
    <row>
      <c/>
    </row>
    <row ht="15" customHeight="1">
      <c/>
    </row>
    <row>
      <c/>
      <c s="7" t="s">
        <v>48</v>
      </c>
      <c s="7"/>
      <c s="7"/>
      <c s="7"/>
      <c s="7"/>
    </row>
    <row>
      <c/>
      <c s="7" t="s">
        <v>31</v>
      </c>
      <c s="7"/>
      <c s="7"/>
      <c s="26" t="s">
        <v>198</v>
      </c>
      <c s="26"/>
    </row>
    <row>
      <c s="21" t="s">
        <v>197</v>
      </c>
      <c s="10" t="s">
        <v>20</v>
      </c>
      <c s="10" t="s">
        <v>116</v>
      </c>
      <c s="35" t="s">
        <v>64</v>
      </c>
      <c s="10" t="s">
        <v>20</v>
      </c>
      <c s="10" t="s">
        <v>116</v>
      </c>
    </row>
    <row>
      <c s="36" t="s">
        <v>275</v>
      </c>
      <c s="19">
        <v>58</v>
      </c>
      <c s="19">
        <v>39</v>
      </c>
      <c s="44">
        <v>97</v>
      </c>
      <c s="25">
        <v>0.59793814432989689</v>
      </c>
      <c s="25">
        <v>0.40206185567010311</v>
      </c>
    </row>
    <row>
      <c s="36" t="s">
        <v>274</v>
      </c>
      <c s="19">
        <v>12</v>
      </c>
      <c s="19">
        <v>13</v>
      </c>
      <c s="44">
        <v>25</v>
      </c>
      <c s="25">
        <v>0.47999999999999998</v>
      </c>
      <c s="25">
        <v>0.52000000000000002</v>
      </c>
    </row>
    <row>
      <c s="36" t="s">
        <v>193</v>
      </c>
      <c s="19"/>
      <c s="19">
        <v>2</v>
      </c>
      <c s="44">
        <v>2</v>
      </c>
      <c s="25"/>
      <c s="25">
        <v>1</v>
      </c>
    </row>
    <row>
      <c s="36" t="s">
        <v>233</v>
      </c>
      <c s="19">
        <v>43</v>
      </c>
      <c s="19">
        <v>37</v>
      </c>
      <c s="44">
        <v>80</v>
      </c>
      <c s="25">
        <v>0.53749999999999998</v>
      </c>
      <c s="25">
        <v>0.46250000000000002</v>
      </c>
    </row>
    <row>
      <c s="36" t="s">
        <v>78</v>
      </c>
      <c s="19">
        <v>15</v>
      </c>
      <c s="19">
        <v>8</v>
      </c>
      <c s="44">
        <v>23</v>
      </c>
      <c s="25">
        <v>0.65217391304347827</v>
      </c>
      <c s="25">
        <v>0.34782608695652173</v>
      </c>
    </row>
    <row>
      <c s="36" t="s">
        <v>145</v>
      </c>
      <c s="19">
        <v>271</v>
      </c>
      <c s="19">
        <v>179</v>
      </c>
      <c s="44">
        <v>450</v>
      </c>
      <c s="25">
        <v>0.60222222222222221</v>
      </c>
      <c s="25">
        <v>0.39777777777777779</v>
      </c>
    </row>
    <row>
      <c s="36" t="s">
        <v>77</v>
      </c>
      <c s="19">
        <v>12</v>
      </c>
      <c s="19">
        <v>17</v>
      </c>
      <c s="44">
        <v>29</v>
      </c>
      <c s="25">
        <v>0.41379310344827586</v>
      </c>
      <c s="25">
        <v>0.58620689655172409</v>
      </c>
    </row>
    <row>
      <c s="36" t="s">
        <v>162</v>
      </c>
      <c s="19">
        <v>212</v>
      </c>
      <c s="19">
        <v>70</v>
      </c>
      <c s="44">
        <v>282</v>
      </c>
      <c s="25">
        <v>0.75177304964539005</v>
      </c>
      <c s="25">
        <v>0.24822695035460993</v>
      </c>
    </row>
    <row>
      <c s="36" t="s">
        <v>144</v>
      </c>
      <c s="19">
        <v>1086.3941</v>
      </c>
      <c s="19">
        <v>348.60684999999995</v>
      </c>
      <c s="44">
        <v>1435.0009500000001</v>
      </c>
      <c s="25">
        <v>0.75706855803823681</v>
      </c>
      <c s="25">
        <v>0.24293144196176311</v>
      </c>
    </row>
    <row>
      <c s="36" t="s">
        <v>232</v>
      </c>
      <c s="19">
        <v>41</v>
      </c>
      <c s="19">
        <v>27</v>
      </c>
      <c s="44">
        <v>68</v>
      </c>
      <c s="25">
        <v>0.6029411764705882</v>
      </c>
      <c s="25">
        <v>0.39705882352941174</v>
      </c>
    </row>
    <row>
      <c s="36" t="s">
        <v>19</v>
      </c>
      <c s="19">
        <v>1501</v>
      </c>
      <c s="19">
        <v>940</v>
      </c>
      <c s="44">
        <v>2441</v>
      </c>
      <c s="25">
        <v>0.61491192134371164</v>
      </c>
      <c s="25">
        <v>0.38508807865628841</v>
      </c>
    </row>
    <row>
      <c s="36" t="s">
        <v>18</v>
      </c>
      <c s="19">
        <v>107</v>
      </c>
      <c s="19">
        <v>97</v>
      </c>
      <c s="44">
        <v>204</v>
      </c>
      <c s="25">
        <v>0.52450980392156865</v>
      </c>
      <c s="25">
        <v>0.47549019607843135</v>
      </c>
    </row>
    <row>
      <c s="36" t="s">
        <v>76</v>
      </c>
      <c s="19">
        <v>10</v>
      </c>
      <c s="19">
        <v>7</v>
      </c>
      <c s="44">
        <v>17</v>
      </c>
      <c s="25">
        <v>0.58823529411764708</v>
      </c>
      <c s="25">
        <v>0.41176470588235292</v>
      </c>
    </row>
    <row>
      <c s="36" t="s">
        <v>17</v>
      </c>
      <c s="19">
        <v>2</v>
      </c>
      <c s="19"/>
      <c s="44">
        <v>2</v>
      </c>
      <c s="25">
        <v>1</v>
      </c>
      <c s="25"/>
    </row>
    <row>
      <c s="36" t="s">
        <v>186</v>
      </c>
      <c s="19">
        <v>2</v>
      </c>
      <c s="19"/>
      <c s="44">
        <v>2</v>
      </c>
      <c s="25">
        <v>1</v>
      </c>
      <c s="25"/>
    </row>
    <row>
      <c s="36" t="s">
        <v>303</v>
      </c>
      <c s="19">
        <v>6</v>
      </c>
      <c s="19">
        <v>3</v>
      </c>
      <c s="44">
        <v>9</v>
      </c>
      <c s="25">
        <v>0.66666666666666663</v>
      </c>
      <c s="25">
        <v>0.33333333333333331</v>
      </c>
    </row>
    <row>
      <c s="36" t="s">
        <v>195</v>
      </c>
      <c s="19"/>
      <c s="19">
        <v>3</v>
      </c>
      <c s="44">
        <v>3</v>
      </c>
      <c s="25"/>
      <c s="25">
        <v>1</v>
      </c>
    </row>
    <row>
      <c s="36" t="s">
        <v>115</v>
      </c>
      <c s="19">
        <v>481</v>
      </c>
      <c s="19">
        <v>819</v>
      </c>
      <c s="44">
        <v>1300</v>
      </c>
      <c s="25">
        <v>0.37</v>
      </c>
      <c s="25">
        <v>0.63</v>
      </c>
    </row>
    <row>
      <c s="36" t="s">
        <v>134</v>
      </c>
      <c s="19">
        <v>23</v>
      </c>
      <c s="19">
        <v>63</v>
      </c>
      <c s="44">
        <v>86</v>
      </c>
      <c s="25">
        <v>0.26744186046511625</v>
      </c>
      <c s="25">
        <v>0.73255813953488369</v>
      </c>
    </row>
    <row>
      <c s="36" t="s">
        <v>42</v>
      </c>
      <c s="19">
        <v>0.55800000000000005</v>
      </c>
      <c s="19">
        <v>0.27900000000000003</v>
      </c>
      <c s="44">
        <v>0.83699999999999997</v>
      </c>
      <c s="25">
        <v>0.66666666666666674</v>
      </c>
      <c s="25">
        <v>0.33333333333333337</v>
      </c>
    </row>
    <row>
      <c s="36" t="s">
        <v>75</v>
      </c>
      <c s="19">
        <v>1112</v>
      </c>
      <c s="19">
        <v>1021</v>
      </c>
      <c s="44">
        <v>2133</v>
      </c>
      <c s="25">
        <v>0.52133145804031877</v>
      </c>
      <c s="25">
        <v>0.47866854195968123</v>
      </c>
    </row>
    <row>
      <c s="36" t="s">
        <v>143</v>
      </c>
      <c s="19">
        <v>190</v>
      </c>
      <c s="19">
        <v>119</v>
      </c>
      <c s="44">
        <v>309</v>
      </c>
      <c s="25">
        <v>0.61488673139158578</v>
      </c>
      <c s="25">
        <v>0.38511326860841422</v>
      </c>
    </row>
    <row>
      <c s="36" t="s">
        <v>289</v>
      </c>
      <c s="19">
        <v>100.15090000000001</v>
      </c>
      <c s="19">
        <v>18.605550000000001</v>
      </c>
      <c s="44">
        <v>118.75645</v>
      </c>
      <c s="25">
        <v>0.84333019385473385</v>
      </c>
      <c s="25">
        <v>0.15666980614526621</v>
      </c>
    </row>
    <row>
      <c s="36" t="s">
        <v>231</v>
      </c>
      <c s="19">
        <v>50</v>
      </c>
      <c s="19">
        <v>36</v>
      </c>
      <c s="44">
        <v>86</v>
      </c>
      <c s="25">
        <v>0.58139534883720934</v>
      </c>
      <c s="25">
        <v>0.41860465116279072</v>
      </c>
    </row>
    <row>
      <c s="36" t="s">
        <v>133</v>
      </c>
      <c s="19">
        <v>1794.0000000000002</v>
      </c>
      <c s="19">
        <v>743.50000000000011</v>
      </c>
      <c s="44">
        <v>2537.5</v>
      </c>
      <c s="25">
        <v>0.70699507389162575</v>
      </c>
      <c s="25">
        <v>0.29300492610837442</v>
      </c>
    </row>
    <row>
      <c s="36" t="s">
        <v>16</v>
      </c>
      <c s="19">
        <v>228.02010000000001</v>
      </c>
      <c s="19">
        <v>68.134199999999993</v>
      </c>
      <c s="44">
        <v>296.15429999999998</v>
      </c>
      <c s="25">
        <v>0.7699368200968213</v>
      </c>
      <c s="25">
        <v>0.23006317990317884</v>
      </c>
    </row>
    <row>
      <c s="36" t="s">
        <v>135</v>
      </c>
      <c s="19">
        <v>583</v>
      </c>
      <c s="19">
        <v>466</v>
      </c>
      <c s="44">
        <v>1049</v>
      </c>
      <c s="25">
        <v>0.55576739752144899</v>
      </c>
      <c s="25">
        <v>0.44423260247855101</v>
      </c>
    </row>
    <row>
      <c s="36" t="s">
        <v>15</v>
      </c>
      <c s="19">
        <v>60</v>
      </c>
      <c s="19">
        <v>31</v>
      </c>
      <c s="44">
        <v>91</v>
      </c>
      <c s="25">
        <v>0.65934065934065933</v>
      </c>
      <c s="25">
        <v>0.34065934065934067</v>
      </c>
    </row>
    <row>
      <c s="36" t="s">
        <v>216</v>
      </c>
      <c s="19">
        <v>33.5</v>
      </c>
      <c s="19">
        <v>15</v>
      </c>
      <c s="44">
        <v>48.5</v>
      </c>
      <c s="25">
        <v>0.69072164948453607</v>
      </c>
      <c s="25">
        <v>0.30927835051546393</v>
      </c>
    </row>
    <row>
      <c s="36" t="s">
        <v>114</v>
      </c>
      <c s="19"/>
      <c s="19">
        <v>2</v>
      </c>
      <c s="44">
        <v>2</v>
      </c>
      <c s="25"/>
      <c s="25">
        <v>1</v>
      </c>
    </row>
    <row>
      <c s="36" t="s">
        <v>28</v>
      </c>
      <c s="19">
        <v>4</v>
      </c>
      <c s="19"/>
      <c s="44">
        <v>4</v>
      </c>
      <c s="25">
        <v>1</v>
      </c>
      <c s="25"/>
    </row>
    <row>
      <c s="36" t="s">
        <v>113</v>
      </c>
      <c s="19">
        <v>7.68065</v>
      </c>
      <c s="19">
        <v>2.4466999999999999</v>
      </c>
      <c s="44">
        <v>10.12735</v>
      </c>
      <c s="25">
        <v>0.75840669079275425</v>
      </c>
      <c s="25">
        <v>0.24159330920724573</v>
      </c>
    </row>
    <row>
      <c s="36" t="s">
        <v>291</v>
      </c>
      <c s="19">
        <v>19</v>
      </c>
      <c s="19">
        <v>7</v>
      </c>
      <c s="44">
        <v>26</v>
      </c>
      <c s="25">
        <v>0.73076923076923073</v>
      </c>
      <c s="25">
        <v>0.26923076923076922</v>
      </c>
    </row>
    <row>
      <c s="36" t="s">
        <v>185</v>
      </c>
      <c s="19">
        <v>9</v>
      </c>
      <c s="19">
        <v>22</v>
      </c>
      <c s="44">
        <v>31</v>
      </c>
      <c s="25">
        <v>0.29032258064516131</v>
      </c>
      <c s="25">
        <v>0.70967741935483875</v>
      </c>
    </row>
    <row>
      <c s="36" t="s">
        <v>14</v>
      </c>
      <c s="19">
        <v>6</v>
      </c>
      <c s="19">
        <v>3</v>
      </c>
      <c s="44">
        <v>9</v>
      </c>
      <c s="25">
        <v>0.66666666666666663</v>
      </c>
      <c s="25">
        <v>0.33333333333333331</v>
      </c>
    </row>
    <row>
      <c s="36" t="s">
        <v>251</v>
      </c>
      <c s="19">
        <v>659.96569999999997</v>
      </c>
      <c s="19">
        <v>469.41057000000006</v>
      </c>
      <c s="44">
        <v>1129.3762699999997</v>
      </c>
      <c s="25">
        <v>0.58436299533724057</v>
      </c>
      <c s="25">
        <v>0.41563700466275971</v>
      </c>
    </row>
    <row>
      <c s="36" t="s">
        <v>302</v>
      </c>
      <c s="19">
        <v>15</v>
      </c>
      <c s="19">
        <v>6</v>
      </c>
      <c s="44">
        <v>21</v>
      </c>
      <c s="25">
        <v>0.7142857142857143</v>
      </c>
      <c s="25">
        <v>0.2857142857142857</v>
      </c>
    </row>
    <row>
      <c s="36" t="s">
        <v>208</v>
      </c>
      <c s="19">
        <v>4</v>
      </c>
      <c s="19">
        <v>12</v>
      </c>
      <c s="44">
        <v>16</v>
      </c>
      <c s="25">
        <v>0.25</v>
      </c>
      <c s="25">
        <v>0.75</v>
      </c>
    </row>
    <row>
      <c s="36" t="s">
        <v>207</v>
      </c>
      <c s="19">
        <v>14</v>
      </c>
      <c s="19">
        <v>3</v>
      </c>
      <c s="44">
        <v>17</v>
      </c>
      <c s="25">
        <v>0.82352941176470584</v>
      </c>
      <c s="25">
        <v>0.17647058823529413</v>
      </c>
    </row>
    <row>
      <c s="36" t="s">
        <v>41</v>
      </c>
      <c s="19">
        <v>59</v>
      </c>
      <c s="19">
        <v>41</v>
      </c>
      <c s="44">
        <v>100</v>
      </c>
      <c s="25">
        <v>0.58999999999999997</v>
      </c>
      <c s="25">
        <v>0.40999999999999998</v>
      </c>
    </row>
    <row>
      <c s="36" t="s">
        <v>184</v>
      </c>
      <c s="19">
        <v>6.5835499999999989</v>
      </c>
      <c s="19">
        <v>4.2346000000000004</v>
      </c>
      <c s="44">
        <v>10.818149999999999</v>
      </c>
      <c s="25">
        <v>0.60856523527590201</v>
      </c>
      <c s="25">
        <v>0.39143476472409799</v>
      </c>
    </row>
    <row>
      <c s="36" t="s">
        <v>288</v>
      </c>
      <c s="19">
        <v>22</v>
      </c>
      <c s="19">
        <v>15</v>
      </c>
      <c s="44">
        <v>37</v>
      </c>
      <c s="25">
        <v>0.59459459459459463</v>
      </c>
      <c s="25">
        <v>0.40540540540540543</v>
      </c>
    </row>
    <row>
      <c s="36" t="s">
        <v>215</v>
      </c>
      <c s="19">
        <v>31</v>
      </c>
      <c s="19">
        <v>19</v>
      </c>
      <c s="44">
        <v>50</v>
      </c>
      <c s="25">
        <v>0.62</v>
      </c>
      <c s="25">
        <v>0.38</v>
      </c>
    </row>
    <row>
      <c s="36" t="s">
        <v>183</v>
      </c>
      <c s="19">
        <v>972.86675000000002</v>
      </c>
      <c s="19">
        <v>248.9153</v>
      </c>
      <c s="44">
        <v>1221.7820500000005</v>
      </c>
      <c s="25">
        <v>0.79626865528102952</v>
      </c>
      <c s="25">
        <v>0.20373134471897006</v>
      </c>
    </row>
    <row>
      <c s="36" t="s">
        <v>132</v>
      </c>
      <c s="19">
        <v>12</v>
      </c>
      <c s="19">
        <v>19</v>
      </c>
      <c s="44">
        <v>31</v>
      </c>
      <c s="25">
        <v>0.38709677419354838</v>
      </c>
      <c s="25">
        <v>0.61290322580645162</v>
      </c>
    </row>
    <row>
      <c s="36" t="s">
        <v>74</v>
      </c>
      <c s="19">
        <v>174</v>
      </c>
      <c s="19">
        <v>850</v>
      </c>
      <c s="44">
        <v>1024</v>
      </c>
      <c s="25">
        <v>0.169921875</v>
      </c>
      <c s="25">
        <v>0.830078125</v>
      </c>
    </row>
    <row>
      <c s="36" t="s">
        <v>73</v>
      </c>
      <c s="19">
        <v>7</v>
      </c>
      <c s="19">
        <v>39.5</v>
      </c>
      <c s="44">
        <v>46.5</v>
      </c>
      <c s="25">
        <v>0.15053763440860216</v>
      </c>
      <c s="25">
        <v>0.84946236559139787</v>
      </c>
    </row>
    <row>
      <c s="36" t="s">
        <v>301</v>
      </c>
      <c s="19">
        <v>20</v>
      </c>
      <c s="19">
        <v>39</v>
      </c>
      <c s="44">
        <v>59</v>
      </c>
      <c s="25">
        <v>0.33898305084745761</v>
      </c>
      <c s="25">
        <v>0.66101694915254239</v>
      </c>
    </row>
    <row>
      <c s="36" t="s">
        <v>112</v>
      </c>
      <c s="19">
        <v>139</v>
      </c>
      <c s="19">
        <v>149</v>
      </c>
      <c s="44">
        <v>288</v>
      </c>
      <c s="25">
        <v>0.4826388888888889</v>
      </c>
      <c s="25">
        <v>0.51736111111111116</v>
      </c>
    </row>
    <row>
      <c s="36" t="s">
        <v>142</v>
      </c>
      <c s="19">
        <v>399.77849999999995</v>
      </c>
      <c s="19">
        <v>100.2993</v>
      </c>
      <c s="44">
        <v>500.07779999999991</v>
      </c>
      <c s="25">
        <v>0.7994326082861507</v>
      </c>
      <c s="25">
        <v>0.20056739171384935</v>
      </c>
    </row>
    <row>
      <c s="36" t="s">
        <v>131</v>
      </c>
      <c s="19">
        <v>132.60504999999998</v>
      </c>
      <c s="19">
        <v>62.322250000000004</v>
      </c>
      <c s="44">
        <v>194.92730000000003</v>
      </c>
      <c s="25">
        <v>0.68027951959525401</v>
      </c>
      <c s="25">
        <v>0.31972048040474577</v>
      </c>
    </row>
    <row>
      <c s="36" t="s">
        <v>90</v>
      </c>
      <c s="19">
        <v>145</v>
      </c>
      <c s="19">
        <v>55</v>
      </c>
      <c s="44">
        <v>200</v>
      </c>
      <c s="25">
        <v>0.72499999999999998</v>
      </c>
      <c s="25">
        <v>0.27500000000000002</v>
      </c>
    </row>
    <row>
      <c s="36" t="s">
        <v>130</v>
      </c>
      <c s="19">
        <v>60</v>
      </c>
      <c s="19">
        <v>38</v>
      </c>
      <c s="44">
        <v>98</v>
      </c>
      <c s="25">
        <v>0.61224489795918369</v>
      </c>
      <c s="25">
        <v>0.38775510204081631</v>
      </c>
    </row>
    <row>
      <c s="36" t="s">
        <v>89</v>
      </c>
      <c s="19">
        <v>30.971999999999998</v>
      </c>
      <c s="19">
        <v>26.323999999999998</v>
      </c>
      <c s="44">
        <v>57.295999999999999</v>
      </c>
      <c s="25">
        <v>0.54056129572745037</v>
      </c>
      <c s="25">
        <v>0.45943870427254951</v>
      </c>
    </row>
    <row>
      <c s="36" t="s">
        <v>13</v>
      </c>
      <c s="19">
        <v>1</v>
      </c>
      <c s="19">
        <v>3</v>
      </c>
      <c s="44">
        <v>4</v>
      </c>
      <c s="25">
        <v>0.25</v>
      </c>
      <c s="25">
        <v>0.75</v>
      </c>
    </row>
    <row>
      <c s="36" t="s">
        <v>287</v>
      </c>
      <c s="19">
        <v>9</v>
      </c>
      <c s="19">
        <v>4</v>
      </c>
      <c s="44">
        <v>13</v>
      </c>
      <c s="25">
        <v>0.69230769230769229</v>
      </c>
      <c s="25">
        <v>0.30769230769230771</v>
      </c>
    </row>
    <row>
      <c s="36" t="s">
        <v>98</v>
      </c>
      <c s="19">
        <v>24</v>
      </c>
      <c s="19">
        <v>27</v>
      </c>
      <c s="44">
        <v>51</v>
      </c>
      <c s="25">
        <v>0.47058823529411764</v>
      </c>
      <c s="25">
        <v>0.52941176470588236</v>
      </c>
    </row>
    <row>
      <c s="36" t="s">
        <v>250</v>
      </c>
      <c s="19"/>
      <c s="19">
        <v>1</v>
      </c>
      <c s="44">
        <v>1</v>
      </c>
      <c s="25"/>
      <c s="25">
        <v>1</v>
      </c>
    </row>
    <row>
      <c s="36" t="s">
        <v>238</v>
      </c>
      <c s="19">
        <v>21.442</v>
      </c>
      <c s="19">
        <v>13</v>
      </c>
      <c s="44">
        <v>34.442</v>
      </c>
      <c s="25">
        <v>0.62255385866093726</v>
      </c>
      <c s="25">
        <v>0.37744614133906279</v>
      </c>
    </row>
    <row>
      <c s="36" t="s">
        <v>273</v>
      </c>
      <c s="19">
        <v>18</v>
      </c>
      <c s="19">
        <v>6</v>
      </c>
      <c s="44">
        <v>24</v>
      </c>
      <c s="25">
        <v>0.75</v>
      </c>
      <c s="25">
        <v>0.25</v>
      </c>
    </row>
    <row>
      <c s="36" t="s">
        <v>58</v>
      </c>
      <c s="19">
        <v>460</v>
      </c>
      <c s="19">
        <v>447</v>
      </c>
      <c s="44">
        <v>907</v>
      </c>
      <c s="25">
        <v>0.50716648291069455</v>
      </c>
      <c s="25">
        <v>0.4928335170893054</v>
      </c>
    </row>
    <row>
      <c s="36" t="s">
        <v>230</v>
      </c>
      <c s="19">
        <v>87.324600000000004</v>
      </c>
      <c s="19">
        <v>16.331299999999999</v>
      </c>
      <c s="44">
        <v>103.6559</v>
      </c>
      <c s="25">
        <v>0.84244698082791236</v>
      </c>
      <c s="25">
        <v>0.15755301917208764</v>
      </c>
    </row>
    <row>
      <c s="36" t="s">
        <v>161</v>
      </c>
      <c s="19">
        <v>223</v>
      </c>
      <c s="19">
        <v>26</v>
      </c>
      <c s="44">
        <v>249</v>
      </c>
      <c s="25">
        <v>0.89558232931726911</v>
      </c>
      <c s="25">
        <v>0.10441767068273092</v>
      </c>
    </row>
    <row>
      <c s="36" t="s">
        <v>57</v>
      </c>
      <c s="19">
        <v>14</v>
      </c>
      <c s="19">
        <v>38</v>
      </c>
      <c s="44">
        <v>52</v>
      </c>
      <c s="25">
        <v>0.26923076923076922</v>
      </c>
      <c s="25">
        <v>0.73076923076923073</v>
      </c>
    </row>
    <row>
      <c s="36" t="s">
        <v>300</v>
      </c>
      <c s="19">
        <v>710.73804999999993</v>
      </c>
      <c s="19">
        <v>756.02105000000006</v>
      </c>
      <c s="44">
        <v>1466.7591</v>
      </c>
      <c s="25">
        <v>0.48456358648124287</v>
      </c>
      <c s="25">
        <v>0.51543641351875713</v>
      </c>
    </row>
    <row>
      <c s="36" t="s">
        <v>72</v>
      </c>
      <c s="19">
        <v>8</v>
      </c>
      <c s="19">
        <v>11</v>
      </c>
      <c s="44">
        <v>19</v>
      </c>
      <c s="25">
        <v>0.42105263157894735</v>
      </c>
      <c s="25">
        <v>0.57894736842105265</v>
      </c>
    </row>
    <row>
      <c s="36" t="s">
        <v>214</v>
      </c>
      <c s="19">
        <v>89</v>
      </c>
      <c s="19">
        <v>42</v>
      </c>
      <c s="44">
        <v>131</v>
      </c>
      <c s="25">
        <v>0.67938931297709926</v>
      </c>
      <c s="25">
        <v>0.32061068702290074</v>
      </c>
    </row>
    <row>
      <c s="36" t="s">
        <v>56</v>
      </c>
      <c s="19">
        <v>1032.4112500000003</v>
      </c>
      <c s="19">
        <v>942.03269999999998</v>
      </c>
      <c s="44">
        <v>1974.4439499999996</v>
      </c>
      <c s="25">
        <v>0.52288708929924321</v>
      </c>
      <c s="25">
        <v>0.47711291070075712</v>
      </c>
    </row>
    <row>
      <c s="36" t="s">
        <v>111</v>
      </c>
      <c s="19">
        <v>48</v>
      </c>
      <c s="19">
        <v>13</v>
      </c>
      <c s="44">
        <v>61</v>
      </c>
      <c s="25">
        <v>0.78688524590163933</v>
      </c>
      <c s="25">
        <v>0.21311475409836064</v>
      </c>
    </row>
    <row>
      <c s="36" t="s">
        <v>249</v>
      </c>
      <c s="19">
        <v>6</v>
      </c>
      <c s="19">
        <v>18</v>
      </c>
      <c s="44">
        <v>24</v>
      </c>
      <c s="25">
        <v>0.25</v>
      </c>
      <c s="25">
        <v>0.75</v>
      </c>
    </row>
    <row>
      <c s="36" t="s">
        <v>129</v>
      </c>
      <c s="19">
        <v>274</v>
      </c>
      <c s="19">
        <v>106</v>
      </c>
      <c s="44">
        <v>380</v>
      </c>
      <c s="25">
        <v>0.72105263157894739</v>
      </c>
      <c s="25">
        <v>0.27894736842105261</v>
      </c>
    </row>
    <row>
      <c s="36" t="s">
        <v>160</v>
      </c>
      <c s="19">
        <v>5</v>
      </c>
      <c s="19"/>
      <c s="44">
        <v>5</v>
      </c>
      <c s="25">
        <v>1</v>
      </c>
      <c s="25"/>
    </row>
    <row>
      <c s="36" t="s">
        <v>159</v>
      </c>
      <c s="19">
        <v>3</v>
      </c>
      <c s="19">
        <v>1</v>
      </c>
      <c s="44">
        <v>4</v>
      </c>
      <c s="25">
        <v>0.75</v>
      </c>
      <c s="25">
        <v>0.25</v>
      </c>
    </row>
    <row>
      <c s="36" t="s">
        <v>110</v>
      </c>
      <c s="19">
        <v>5</v>
      </c>
      <c s="19">
        <v>12</v>
      </c>
      <c s="44">
        <v>17</v>
      </c>
      <c s="25">
        <v>0.29411764705882354</v>
      </c>
      <c s="25">
        <v>0.70588235294117652</v>
      </c>
    </row>
    <row>
      <c s="36" t="s">
        <v>55</v>
      </c>
      <c s="19">
        <v>21</v>
      </c>
      <c s="19">
        <v>17</v>
      </c>
      <c s="44">
        <v>38</v>
      </c>
      <c s="25">
        <v>0.55263157894736847</v>
      </c>
      <c s="25">
        <v>0.44736842105263158</v>
      </c>
    </row>
    <row>
      <c s="36" t="s">
        <v>206</v>
      </c>
      <c s="19">
        <v>2004.5668999999998</v>
      </c>
      <c s="19">
        <v>1340.3334</v>
      </c>
      <c s="44">
        <v>3344.9003000000002</v>
      </c>
      <c s="25">
        <v>0.59929047810483305</v>
      </c>
      <c s="25">
        <v>0.40070952189516679</v>
      </c>
    </row>
    <row>
      <c s="36" t="s">
        <v>158</v>
      </c>
      <c s="19">
        <v>13</v>
      </c>
      <c s="19">
        <v>4</v>
      </c>
      <c s="44">
        <v>17</v>
      </c>
      <c s="25">
        <v>0.76470588235294112</v>
      </c>
      <c s="25">
        <v>0.23529411764705882</v>
      </c>
    </row>
    <row>
      <c s="36" t="s">
        <v>205</v>
      </c>
      <c s="19">
        <v>202</v>
      </c>
      <c s="19">
        <v>145</v>
      </c>
      <c s="44">
        <v>347</v>
      </c>
      <c s="25">
        <v>0.58213256484149856</v>
      </c>
      <c s="25">
        <v>0.41786743515850144</v>
      </c>
    </row>
    <row>
      <c s="36" t="s">
        <v>229</v>
      </c>
      <c s="19">
        <v>24</v>
      </c>
      <c s="19">
        <v>20</v>
      </c>
      <c s="44">
        <v>44</v>
      </c>
      <c s="25">
        <v>0.54545454545454541</v>
      </c>
      <c s="25">
        <v>0.45454545454545453</v>
      </c>
    </row>
    <row>
      <c s="36" t="s">
        <v>272</v>
      </c>
      <c s="19">
        <v>39</v>
      </c>
      <c s="19">
        <v>27</v>
      </c>
      <c s="44">
        <v>66</v>
      </c>
      <c s="25">
        <v>0.59090909090909094</v>
      </c>
      <c s="25">
        <v>0.40909090909090912</v>
      </c>
    </row>
    <row>
      <c s="36" t="s">
        <v>286</v>
      </c>
      <c s="19">
        <v>14</v>
      </c>
      <c s="19">
        <v>29</v>
      </c>
      <c s="44">
        <v>43</v>
      </c>
      <c s="25">
        <v>0.32558139534883723</v>
      </c>
      <c s="25">
        <v>0.67441860465116277</v>
      </c>
    </row>
    <row>
      <c s="36" t="s">
        <v>182</v>
      </c>
      <c s="19">
        <v>1388.0229499999996</v>
      </c>
      <c s="19">
        <v>4081.7928500000003</v>
      </c>
      <c s="44">
        <v>5469.8158000000003</v>
      </c>
      <c s="25">
        <v>0.25376045569944045</v>
      </c>
      <c s="25">
        <v>0.7462395443005595</v>
      </c>
    </row>
    <row>
      <c s="36" t="s">
        <v>88</v>
      </c>
      <c s="19">
        <v>103</v>
      </c>
      <c s="19">
        <v>275</v>
      </c>
      <c s="44">
        <v>378</v>
      </c>
      <c s="25">
        <v>0.2724867724867725</v>
      </c>
      <c s="25">
        <v>0.72751322751322756</v>
      </c>
    </row>
    <row>
      <c s="36" t="s">
        <v>71</v>
      </c>
      <c s="19">
        <v>31</v>
      </c>
      <c s="19">
        <v>139</v>
      </c>
      <c s="44">
        <v>170</v>
      </c>
      <c s="25">
        <v>0.18235294117647058</v>
      </c>
      <c s="25">
        <v>0.81764705882352939</v>
      </c>
    </row>
    <row>
      <c s="36" t="s">
        <v>128</v>
      </c>
      <c s="19">
        <v>31</v>
      </c>
      <c s="19">
        <v>55</v>
      </c>
      <c s="44">
        <v>86</v>
      </c>
      <c s="25">
        <v>0.36046511627906974</v>
      </c>
      <c s="25">
        <v>0.63953488372093026</v>
      </c>
    </row>
    <row>
      <c s="36" t="s">
        <v>87</v>
      </c>
      <c s="19">
        <v>202</v>
      </c>
      <c s="19">
        <v>140</v>
      </c>
      <c s="44">
        <v>342</v>
      </c>
      <c s="25">
        <v>0.59064327485380119</v>
      </c>
      <c s="25">
        <v>0.40935672514619881</v>
      </c>
    </row>
    <row>
      <c s="36" t="s">
        <v>181</v>
      </c>
      <c s="19">
        <v>9.8402000000000012</v>
      </c>
      <c s="19">
        <v>6.9150000000000009</v>
      </c>
      <c s="44">
        <v>16.755199999999995</v>
      </c>
      <c s="25">
        <v>0.58729230328495063</v>
      </c>
      <c s="25">
        <v>0.41270769671504981</v>
      </c>
    </row>
    <row>
      <c s="36" t="s">
        <v>12</v>
      </c>
      <c s="19">
        <v>3</v>
      </c>
      <c s="19">
        <v>2</v>
      </c>
      <c s="44">
        <v>5</v>
      </c>
      <c s="25">
        <v>0.59999999999999998</v>
      </c>
      <c s="25">
        <v>0.40000000000000002</v>
      </c>
    </row>
    <row>
      <c s="36" t="s">
        <v>180</v>
      </c>
      <c s="19">
        <v>524</v>
      </c>
      <c s="19">
        <v>350</v>
      </c>
      <c s="44">
        <v>874</v>
      </c>
      <c s="25">
        <v>0.5995423340961098</v>
      </c>
      <c s="25">
        <v>0.40045766590389015</v>
      </c>
    </row>
    <row>
      <c s="36" t="s">
        <v>299</v>
      </c>
      <c s="19">
        <v>203</v>
      </c>
      <c s="19">
        <v>246</v>
      </c>
      <c s="44">
        <v>449</v>
      </c>
      <c s="25">
        <v>0.45211581291759467</v>
      </c>
      <c s="25">
        <v>0.54788418708240538</v>
      </c>
    </row>
    <row>
      <c s="36" t="s">
        <v>157</v>
      </c>
      <c s="19">
        <v>14.9779</v>
      </c>
      <c s="19">
        <v>16.486750000000001</v>
      </c>
      <c s="44">
        <v>31.464649999999999</v>
      </c>
      <c s="25">
        <v>0.47602309258167502</v>
      </c>
      <c s="25">
        <v>0.52397690741832503</v>
      </c>
    </row>
    <row>
      <c s="36" t="s">
        <v>54</v>
      </c>
      <c s="19">
        <v>93.396750000000026</v>
      </c>
      <c s="19">
        <v>25.611999999999998</v>
      </c>
      <c s="44">
        <v>119.00875000000001</v>
      </c>
      <c s="25">
        <v>0.78478893358681623</v>
      </c>
      <c s="25">
        <v>0.21521106641318388</v>
      </c>
    </row>
    <row>
      <c s="36" t="s">
        <v>194</v>
      </c>
      <c s="19">
        <v>148</v>
      </c>
      <c s="19">
        <v>89</v>
      </c>
      <c s="44">
        <v>237</v>
      </c>
      <c s="25">
        <v>0.62447257383966248</v>
      </c>
      <c s="25">
        <v>0.37552742616033757</v>
      </c>
    </row>
    <row>
      <c s="36" t="s">
        <v>109</v>
      </c>
      <c s="19">
        <v>13</v>
      </c>
      <c s="19">
        <v>29</v>
      </c>
      <c s="44">
        <v>42</v>
      </c>
      <c s="25">
        <v>0.30952380952380953</v>
      </c>
      <c s="25">
        <v>0.69047619047619047</v>
      </c>
    </row>
    <row>
      <c s="36" t="s">
        <v>108</v>
      </c>
      <c s="19">
        <v>21</v>
      </c>
      <c s="19">
        <v>8</v>
      </c>
      <c s="44">
        <v>29</v>
      </c>
      <c s="25">
        <v>0.72413793103448276</v>
      </c>
      <c s="25">
        <v>0.27586206896551724</v>
      </c>
    </row>
    <row>
      <c s="36" t="s">
        <v>179</v>
      </c>
      <c s="19">
        <v>13</v>
      </c>
      <c s="19">
        <v>9</v>
      </c>
      <c s="44">
        <v>22</v>
      </c>
      <c s="25">
        <v>0.59090909090909094</v>
      </c>
      <c s="25">
        <v>0.40909090909090912</v>
      </c>
    </row>
    <row>
      <c s="36" t="s">
        <v>53</v>
      </c>
      <c s="19">
        <v>60</v>
      </c>
      <c s="19">
        <v>105</v>
      </c>
      <c s="44">
        <v>165</v>
      </c>
      <c s="25">
        <v>0.36363636363636365</v>
      </c>
      <c s="25">
        <v>0.63636363636363635</v>
      </c>
    </row>
    <row>
      <c s="36" t="s">
        <v>63</v>
      </c>
      <c s="19">
        <v>26.279499999999999</v>
      </c>
      <c s="19">
        <v>10.265350000000002</v>
      </c>
      <c s="44">
        <v>36.544849999999997</v>
      </c>
      <c s="25">
        <v>0.71910269162412765</v>
      </c>
      <c s="25">
        <v>0.28089730837587246</v>
      </c>
    </row>
    <row>
      <c s="36" t="s">
        <v>178</v>
      </c>
      <c s="19">
        <v>27</v>
      </c>
      <c s="19">
        <v>26</v>
      </c>
      <c s="44">
        <v>53</v>
      </c>
      <c s="25">
        <v>0.50943396226415094</v>
      </c>
      <c s="25">
        <v>0.49056603773584906</v>
      </c>
    </row>
    <row>
      <c s="36" t="s">
        <v>11</v>
      </c>
      <c s="19">
        <v>3</v>
      </c>
      <c s="19">
        <v>8</v>
      </c>
      <c s="44">
        <v>11</v>
      </c>
      <c s="25">
        <v>0.27272727272727271</v>
      </c>
      <c s="25">
        <v>0.72727272727272729</v>
      </c>
    </row>
    <row>
      <c s="36" t="s">
        <v>46</v>
      </c>
      <c s="19">
        <v>11</v>
      </c>
      <c s="19">
        <v>12</v>
      </c>
      <c s="44">
        <v>23</v>
      </c>
      <c s="25">
        <v>0.47826086956521741</v>
      </c>
      <c s="25">
        <v>0.52173913043478259</v>
      </c>
    </row>
    <row>
      <c s="36" t="s">
        <v>107</v>
      </c>
      <c s="19">
        <v>47</v>
      </c>
      <c s="19">
        <v>34</v>
      </c>
      <c s="44">
        <v>81</v>
      </c>
      <c s="25">
        <v>0.58024691358024694</v>
      </c>
      <c s="25">
        <v>0.41975308641975306</v>
      </c>
    </row>
    <row>
      <c s="36" t="s">
        <v>10</v>
      </c>
      <c s="19">
        <v>34</v>
      </c>
      <c s="19">
        <v>15</v>
      </c>
      <c s="44">
        <v>49</v>
      </c>
      <c s="25">
        <v>0.69387755102040816</v>
      </c>
      <c s="25">
        <v>0.30612244897959184</v>
      </c>
    </row>
    <row>
      <c s="36" t="s">
        <v>141</v>
      </c>
      <c s="19">
        <v>1.92815</v>
      </c>
      <c s="19">
        <v>1.4630000000000001</v>
      </c>
      <c s="44">
        <v>3.3911500000000001</v>
      </c>
      <c s="25">
        <v>0.56858292909484986</v>
      </c>
      <c s="25">
        <v>0.43141707090515019</v>
      </c>
    </row>
    <row>
      <c s="36" t="s">
        <v>259</v>
      </c>
      <c s="19">
        <v>38.329100000000011</v>
      </c>
      <c s="19">
        <v>16.297099999999997</v>
      </c>
      <c s="44">
        <v>54.626200000000004</v>
      </c>
      <c s="25">
        <v>0.70166147379828736</v>
      </c>
      <c s="25">
        <v>0.29833852620171264</v>
      </c>
    </row>
    <row>
      <c s="36" t="s">
        <v>204</v>
      </c>
      <c s="19">
        <v>47</v>
      </c>
      <c s="19">
        <v>32</v>
      </c>
      <c s="44">
        <v>79</v>
      </c>
      <c s="25">
        <v>0.59493670886075944</v>
      </c>
      <c s="25">
        <v>0.4050632911392405</v>
      </c>
    </row>
    <row>
      <c s="36" t="s">
        <v>169</v>
      </c>
      <c s="19">
        <v>7</v>
      </c>
      <c s="19">
        <v>9</v>
      </c>
      <c s="44">
        <v>16</v>
      </c>
      <c s="25">
        <v>0.4375</v>
      </c>
      <c s="25">
        <v>0.5625</v>
      </c>
    </row>
    <row>
      <c s="36" t="s">
        <v>127</v>
      </c>
      <c s="19">
        <v>4</v>
      </c>
      <c s="19">
        <v>2</v>
      </c>
      <c s="44">
        <v>6</v>
      </c>
      <c s="25">
        <v>0.66666666666666663</v>
      </c>
      <c s="25">
        <v>0.33333333333333331</v>
      </c>
    </row>
    <row>
      <c s="36" t="s">
        <v>70</v>
      </c>
      <c s="19">
        <v>28</v>
      </c>
      <c s="19">
        <v>19</v>
      </c>
      <c s="44">
        <v>47</v>
      </c>
      <c s="25">
        <v>0.5957446808510638</v>
      </c>
      <c s="25">
        <v>0.40425531914893614</v>
      </c>
    </row>
    <row>
      <c s="36" t="s">
        <v>126</v>
      </c>
      <c s="19">
        <v>27</v>
      </c>
      <c s="19">
        <v>34</v>
      </c>
      <c s="44">
        <v>61</v>
      </c>
      <c s="25">
        <v>0.44262295081967212</v>
      </c>
      <c s="25">
        <v>0.55737704918032782</v>
      </c>
    </row>
    <row>
      <c s="36" t="s">
        <v>203</v>
      </c>
      <c s="19">
        <v>30</v>
      </c>
      <c s="19">
        <v>5</v>
      </c>
      <c s="44">
        <v>35</v>
      </c>
      <c s="25">
        <v>0.8571428571428571</v>
      </c>
      <c s="25">
        <v>0.14285714285714285</v>
      </c>
    </row>
    <row>
      <c s="36" t="s">
        <v>40</v>
      </c>
      <c s="19">
        <v>4</v>
      </c>
      <c s="19">
        <v>9</v>
      </c>
      <c s="44">
        <v>13</v>
      </c>
      <c s="25">
        <v>0.30769230769230771</v>
      </c>
      <c s="25">
        <v>0.69230769230769229</v>
      </c>
    </row>
    <row>
      <c s="36" t="s">
        <v>69</v>
      </c>
      <c s="19">
        <v>53</v>
      </c>
      <c s="19">
        <v>5</v>
      </c>
      <c s="44">
        <v>58</v>
      </c>
      <c s="25">
        <v>0.91379310344827591</v>
      </c>
      <c s="25">
        <v>0.086206896551724144</v>
      </c>
    </row>
    <row>
      <c s="36" t="s">
        <v>39</v>
      </c>
      <c s="19">
        <v>175</v>
      </c>
      <c s="19">
        <v>49</v>
      </c>
      <c s="44">
        <v>224</v>
      </c>
      <c s="25">
        <v>0.78125</v>
      </c>
      <c s="25">
        <v>0.21875</v>
      </c>
    </row>
    <row>
      <c s="36" t="s">
        <v>177</v>
      </c>
      <c s="19">
        <v>203</v>
      </c>
      <c s="19">
        <v>260</v>
      </c>
      <c s="44">
        <v>463</v>
      </c>
      <c s="25">
        <v>0.43844492440604754</v>
      </c>
      <c s="25">
        <v>0.56155507559395246</v>
      </c>
    </row>
    <row>
      <c s="36" t="s">
        <v>9</v>
      </c>
      <c s="19">
        <v>59</v>
      </c>
      <c s="19">
        <v>23</v>
      </c>
      <c s="44">
        <v>82</v>
      </c>
      <c s="25">
        <v>0.71951219512195119</v>
      </c>
      <c s="25">
        <v>0.28048780487804881</v>
      </c>
    </row>
    <row>
      <c s="36" t="s">
        <v>202</v>
      </c>
      <c s="19">
        <v>49.5</v>
      </c>
      <c s="19">
        <v>15</v>
      </c>
      <c s="44">
        <v>64.5</v>
      </c>
      <c s="25">
        <v>0.76744186046511631</v>
      </c>
      <c s="25">
        <v>0.23255813953488372</v>
      </c>
    </row>
    <row>
      <c s="36" t="s">
        <v>62</v>
      </c>
      <c s="19">
        <v>879</v>
      </c>
      <c s="19">
        <v>190</v>
      </c>
      <c s="44">
        <v>1069</v>
      </c>
      <c s="25">
        <v>0.82226379794200188</v>
      </c>
      <c s="25">
        <v>0.17773620205799812</v>
      </c>
    </row>
    <row>
      <c s="36" t="s">
        <v>271</v>
      </c>
      <c s="19">
        <v>31</v>
      </c>
      <c s="19">
        <v>54</v>
      </c>
      <c s="44">
        <v>85</v>
      </c>
      <c s="25">
        <v>0.36470588235294116</v>
      </c>
      <c s="25">
        <v>0.63529411764705879</v>
      </c>
    </row>
    <row>
      <c s="36" t="s">
        <v>38</v>
      </c>
      <c s="19">
        <v>324</v>
      </c>
      <c s="19">
        <v>190</v>
      </c>
      <c s="44">
        <v>514</v>
      </c>
      <c s="25">
        <v>0.63035019455252916</v>
      </c>
      <c s="25">
        <v>0.36964980544747084</v>
      </c>
    </row>
    <row>
      <c s="36" t="s">
        <v>68</v>
      </c>
      <c s="19">
        <v>256</v>
      </c>
      <c s="19">
        <v>197</v>
      </c>
      <c s="44">
        <v>453</v>
      </c>
      <c s="25">
        <v>0.56512141280353201</v>
      </c>
      <c s="25">
        <v>0.43487858719646799</v>
      </c>
    </row>
    <row>
      <c s="36" t="s">
        <v>8</v>
      </c>
      <c s="19">
        <v>507</v>
      </c>
      <c s="19">
        <v>243</v>
      </c>
      <c s="44">
        <v>750</v>
      </c>
      <c s="25">
        <v>0.67600000000000005</v>
      </c>
      <c s="25">
        <v>0.32400000000000001</v>
      </c>
    </row>
    <row>
      <c s="36" t="s">
        <v>156</v>
      </c>
      <c s="19">
        <v>152</v>
      </c>
      <c s="19">
        <v>64</v>
      </c>
      <c s="44">
        <v>216</v>
      </c>
      <c s="25">
        <v>0.70370370370370372</v>
      </c>
      <c s="25">
        <v>0.29629629629629628</v>
      </c>
    </row>
    <row>
      <c s="36" t="s">
        <v>155</v>
      </c>
      <c s="19"/>
      <c s="19">
        <v>2</v>
      </c>
      <c s="44">
        <v>2</v>
      </c>
      <c s="25"/>
      <c s="25">
        <v>1</v>
      </c>
    </row>
    <row>
      <c s="36" t="s">
        <v>248</v>
      </c>
      <c s="19">
        <v>1</v>
      </c>
      <c s="19">
        <v>1</v>
      </c>
      <c s="44">
        <v>2</v>
      </c>
      <c s="25">
        <v>0.5</v>
      </c>
      <c s="25">
        <v>0.5</v>
      </c>
    </row>
    <row>
      <c s="36" t="s">
        <v>176</v>
      </c>
      <c s="19">
        <v>139</v>
      </c>
      <c s="19">
        <v>740</v>
      </c>
      <c s="44">
        <v>879</v>
      </c>
      <c s="25">
        <v>0.15813424345847554</v>
      </c>
      <c s="25">
        <v>0.84186575654152451</v>
      </c>
    </row>
    <row>
      <c s="36" t="s">
        <v>125</v>
      </c>
      <c s="19">
        <v>58</v>
      </c>
      <c s="19">
        <v>125</v>
      </c>
      <c s="44">
        <v>183</v>
      </c>
      <c s="25">
        <v>0.31693989071038253</v>
      </c>
      <c s="25">
        <v>0.68306010928961747</v>
      </c>
    </row>
    <row>
      <c s="36" t="s">
        <v>285</v>
      </c>
      <c s="19">
        <v>426.43075000000005</v>
      </c>
      <c s="19">
        <v>526.21930000000009</v>
      </c>
      <c s="44">
        <v>952.65004999999985</v>
      </c>
      <c s="25">
        <v>0.44762580970840249</v>
      </c>
      <c s="25">
        <v>0.55237419029159784</v>
      </c>
    </row>
    <row>
      <c s="36" t="s">
        <v>37</v>
      </c>
      <c s="19">
        <v>31</v>
      </c>
      <c s="19">
        <v>227</v>
      </c>
      <c s="44">
        <v>258</v>
      </c>
      <c s="25">
        <v>0.12015503875968993</v>
      </c>
      <c s="25">
        <v>0.87984496124031009</v>
      </c>
    </row>
    <row>
      <c s="36" t="s">
        <v>124</v>
      </c>
      <c s="19">
        <v>106</v>
      </c>
      <c s="19">
        <v>44</v>
      </c>
      <c s="44">
        <v>150</v>
      </c>
      <c s="25">
        <v>0.70666666666666667</v>
      </c>
      <c s="25">
        <v>0.29333333333333333</v>
      </c>
    </row>
    <row>
      <c s="36" t="s">
        <v>228</v>
      </c>
      <c s="19">
        <v>3.0199999999999996</v>
      </c>
      <c s="19">
        <v>0.39400000000000002</v>
      </c>
      <c s="44">
        <v>3.4139999999999997</v>
      </c>
      <c s="25">
        <v>0.88459285295840651</v>
      </c>
      <c s="25">
        <v>0.11540714704159345</v>
      </c>
    </row>
    <row>
      <c s="36" t="s">
        <v>86</v>
      </c>
      <c s="19">
        <v>82</v>
      </c>
      <c s="19">
        <v>21</v>
      </c>
      <c s="44">
        <v>103</v>
      </c>
      <c s="25">
        <v>0.79611650485436891</v>
      </c>
      <c s="25">
        <v>0.20388349514563106</v>
      </c>
    </row>
    <row>
      <c s="36" t="s">
        <v>27</v>
      </c>
      <c s="19">
        <v>11</v>
      </c>
      <c s="19">
        <v>44</v>
      </c>
      <c s="44">
        <v>55</v>
      </c>
      <c s="25">
        <v>0.20000000000000001</v>
      </c>
      <c s="25">
        <v>0.80000000000000004</v>
      </c>
    </row>
    <row>
      <c s="36" t="s">
        <v>7</v>
      </c>
      <c s="19">
        <v>97</v>
      </c>
      <c s="19">
        <v>128</v>
      </c>
      <c s="44">
        <v>225</v>
      </c>
      <c s="25">
        <v>0.43111111111111111</v>
      </c>
      <c s="25">
        <v>0.56888888888888889</v>
      </c>
    </row>
    <row>
      <c s="36" t="s">
        <v>67</v>
      </c>
      <c s="19">
        <v>598.5</v>
      </c>
      <c s="19">
        <v>225.5</v>
      </c>
      <c s="44">
        <v>824</v>
      </c>
      <c s="25">
        <v>0.72633495145631066</v>
      </c>
      <c s="25">
        <v>0.27366504854368934</v>
      </c>
    </row>
    <row>
      <c s="36" t="s">
        <v>247</v>
      </c>
      <c s="19">
        <v>71</v>
      </c>
      <c s="19">
        <v>25</v>
      </c>
      <c s="44">
        <v>96</v>
      </c>
      <c s="25">
        <v>0.73958333333333337</v>
      </c>
      <c s="25">
        <v>0.26041666666666669</v>
      </c>
    </row>
    <row>
      <c s="36" t="s">
        <v>175</v>
      </c>
      <c s="19">
        <v>7</v>
      </c>
      <c s="19">
        <v>55</v>
      </c>
      <c s="44">
        <v>62</v>
      </c>
      <c s="25">
        <v>0.11290322580645161</v>
      </c>
      <c s="25">
        <v>0.88709677419354838</v>
      </c>
    </row>
    <row>
      <c s="36" t="s">
        <v>85</v>
      </c>
      <c s="19">
        <v>31</v>
      </c>
      <c s="19">
        <v>3</v>
      </c>
      <c s="44">
        <v>34</v>
      </c>
      <c s="25">
        <v>0.91176470588235292</v>
      </c>
      <c s="25">
        <v>0.088235294117647065</v>
      </c>
    </row>
    <row>
      <c s="36" t="s">
        <v>123</v>
      </c>
      <c s="19">
        <v>61.251400000000004</v>
      </c>
      <c s="19">
        <v>22.623850000000001</v>
      </c>
      <c s="44">
        <v>83.875249999999994</v>
      </c>
      <c s="25">
        <v>0.73026786805404464</v>
      </c>
      <c s="25">
        <v>0.26973213194595547</v>
      </c>
    </row>
    <row>
      <c s="36" t="s">
        <v>6</v>
      </c>
      <c s="19">
        <v>3</v>
      </c>
      <c s="19">
        <v>3</v>
      </c>
      <c s="44">
        <v>6</v>
      </c>
      <c s="25">
        <v>0.5</v>
      </c>
      <c s="25">
        <v>0.5</v>
      </c>
    </row>
    <row>
      <c s="36" t="s">
        <v>5</v>
      </c>
      <c s="19">
        <v>1</v>
      </c>
      <c s="19">
        <v>2</v>
      </c>
      <c s="44">
        <v>3</v>
      </c>
      <c s="25">
        <v>0.33333333333333331</v>
      </c>
      <c s="25">
        <v>0.66666666666666663</v>
      </c>
    </row>
    <row>
      <c s="36" t="s">
        <v>279</v>
      </c>
      <c s="19">
        <v>21</v>
      </c>
      <c s="19">
        <v>2</v>
      </c>
      <c s="44">
        <v>23</v>
      </c>
      <c s="25">
        <v>0.91304347826086951</v>
      </c>
      <c s="25">
        <v>0.086956521739130432</v>
      </c>
    </row>
    <row>
      <c s="36" t="s">
        <v>154</v>
      </c>
      <c s="19">
        <v>257</v>
      </c>
      <c s="19">
        <v>170.30000000000001</v>
      </c>
      <c s="44">
        <v>427.30000000000001</v>
      </c>
      <c s="25">
        <v>0.60145097121460334</v>
      </c>
      <c s="25">
        <v>0.39854902878539672</v>
      </c>
    </row>
    <row>
      <c s="36" t="s">
        <v>106</v>
      </c>
      <c s="19">
        <v>19</v>
      </c>
      <c s="19">
        <v>11</v>
      </c>
      <c s="44">
        <v>30</v>
      </c>
      <c s="25">
        <v>0.6333333333333333</v>
      </c>
      <c s="25">
        <v>0.36666666666666664</v>
      </c>
    </row>
    <row>
      <c s="36" t="s">
        <v>213</v>
      </c>
      <c s="19">
        <v>12</v>
      </c>
      <c s="19">
        <v>13</v>
      </c>
      <c s="44">
        <v>25</v>
      </c>
      <c s="25">
        <v>0.47999999999999998</v>
      </c>
      <c s="25">
        <v>0.52000000000000002</v>
      </c>
    </row>
    <row>
      <c s="36" t="s">
        <v>246</v>
      </c>
      <c s="19">
        <v>9</v>
      </c>
      <c s="19">
        <v>6</v>
      </c>
      <c s="44">
        <v>15</v>
      </c>
      <c s="25">
        <v>0.59999999999999998</v>
      </c>
      <c s="25">
        <v>0.40000000000000002</v>
      </c>
    </row>
    <row>
      <c s="36" t="s">
        <v>84</v>
      </c>
      <c s="19">
        <v>10</v>
      </c>
      <c s="19">
        <v>9</v>
      </c>
      <c s="44">
        <v>19</v>
      </c>
      <c s="25">
        <v>0.52631578947368418</v>
      </c>
      <c s="25">
        <v>0.47368421052631576</v>
      </c>
    </row>
    <row>
      <c s="36" t="s">
        <v>36</v>
      </c>
      <c s="19">
        <v>66</v>
      </c>
      <c s="19">
        <v>32</v>
      </c>
      <c s="44">
        <v>98</v>
      </c>
      <c s="25">
        <v>0.67346938775510201</v>
      </c>
      <c s="25">
        <v>0.32653061224489793</v>
      </c>
    </row>
    <row>
      <c s="36" t="s">
        <v>227</v>
      </c>
      <c s="19">
        <v>1522</v>
      </c>
      <c s="19">
        <v>263</v>
      </c>
      <c s="44">
        <v>1785</v>
      </c>
      <c s="25">
        <v>0.85266106442577028</v>
      </c>
      <c s="25">
        <v>0.1473389355742297</v>
      </c>
    </row>
    <row>
      <c s="36" t="s">
        <v>270</v>
      </c>
      <c s="19">
        <v>940</v>
      </c>
      <c s="19">
        <v>307.5</v>
      </c>
      <c s="44">
        <v>1247.5</v>
      </c>
      <c s="25">
        <v>0.75350701402805609</v>
      </c>
      <c s="25">
        <v>0.24649298597194388</v>
      </c>
    </row>
    <row>
      <c s="36" t="s">
        <v>269</v>
      </c>
      <c s="19">
        <v>813</v>
      </c>
      <c s="19">
        <v>646</v>
      </c>
      <c s="44">
        <v>1459</v>
      </c>
      <c s="25">
        <v>0.55723098012337213</v>
      </c>
      <c s="25">
        <v>0.44276901987662781</v>
      </c>
    </row>
    <row>
      <c s="36" t="s">
        <v>83</v>
      </c>
      <c s="19">
        <v>27</v>
      </c>
      <c s="19">
        <v>36</v>
      </c>
      <c s="44">
        <v>63</v>
      </c>
      <c s="25">
        <v>0.42857142857142855</v>
      </c>
      <c s="25">
        <v>0.5714285714285714</v>
      </c>
    </row>
    <row>
      <c s="36" t="s">
        <v>226</v>
      </c>
      <c s="19">
        <v>364.99704999999994</v>
      </c>
      <c s="19">
        <v>692.26874999999995</v>
      </c>
      <c s="44">
        <v>1057.2658000000001</v>
      </c>
      <c s="25">
        <v>0.34522733072421324</v>
      </c>
      <c s="25">
        <v>0.65477266927578659</v>
      </c>
    </row>
    <row>
      <c s="36" t="s">
        <v>140</v>
      </c>
      <c s="19">
        <v>12</v>
      </c>
      <c s="19">
        <v>14</v>
      </c>
      <c s="44">
        <v>26</v>
      </c>
      <c s="25">
        <v>0.46153846153846156</v>
      </c>
      <c s="25">
        <v>0.53846153846153844</v>
      </c>
    </row>
    <row>
      <c s="36" t="s">
        <v>168</v>
      </c>
      <c s="19">
        <v>738</v>
      </c>
      <c s="19">
        <v>581</v>
      </c>
      <c s="44">
        <v>1319</v>
      </c>
      <c s="25">
        <v>0.55951478392721754</v>
      </c>
      <c s="25">
        <v>0.4404852160727824</v>
      </c>
    </row>
    <row>
      <c s="36" t="s">
        <v>122</v>
      </c>
      <c s="19">
        <v>0.47099999999999997</v>
      </c>
      <c s="19">
        <v>0.47099999999999997</v>
      </c>
      <c s="44">
        <v>0.94199999999999995</v>
      </c>
      <c s="25">
        <v>0.5</v>
      </c>
      <c s="25">
        <v>0.5</v>
      </c>
    </row>
    <row>
      <c s="36" t="s">
        <v>245</v>
      </c>
      <c s="19"/>
      <c s="19">
        <v>11</v>
      </c>
      <c s="44">
        <v>11</v>
      </c>
      <c s="25"/>
      <c s="25">
        <v>1</v>
      </c>
    </row>
    <row>
      <c s="36" t="s">
        <v>29</v>
      </c>
      <c s="19">
        <v>1901</v>
      </c>
      <c s="19">
        <v>668</v>
      </c>
      <c s="44">
        <v>2569</v>
      </c>
      <c s="25">
        <v>0.7399766446087972</v>
      </c>
      <c s="25">
        <v>0.2600233553912028</v>
      </c>
    </row>
    <row>
      <c s="36" t="s">
        <v>97</v>
      </c>
      <c s="19">
        <v>104.02304999999998</v>
      </c>
      <c s="19">
        <v>31.221049999999998</v>
      </c>
      <c s="44">
        <v>135.24409999999997</v>
      </c>
      <c s="25">
        <v>0.76915037328800295</v>
      </c>
      <c s="25">
        <v>0.23084962671199707</v>
      </c>
    </row>
    <row>
      <c s="36" t="s">
        <v>268</v>
      </c>
      <c s="19">
        <v>1275</v>
      </c>
      <c s="19">
        <v>301</v>
      </c>
      <c s="44">
        <v>1576</v>
      </c>
      <c s="25">
        <v>0.80901015228426398</v>
      </c>
      <c s="25">
        <v>0.19098984771573604</v>
      </c>
    </row>
    <row>
      <c s="36" t="s">
        <v>66</v>
      </c>
      <c s="19">
        <v>156</v>
      </c>
      <c s="19">
        <v>199</v>
      </c>
      <c s="44">
        <v>355</v>
      </c>
      <c s="25">
        <v>0.43943661971830988</v>
      </c>
      <c s="25">
        <v>0.56056338028169017</v>
      </c>
    </row>
    <row>
      <c s="36" t="s">
        <v>174</v>
      </c>
      <c s="19">
        <v>201</v>
      </c>
      <c s="19">
        <v>148</v>
      </c>
      <c s="44">
        <v>349</v>
      </c>
      <c s="25">
        <v>0.5759312320916905</v>
      </c>
      <c s="25">
        <v>0.42406876790830944</v>
      </c>
    </row>
    <row>
      <c s="36" t="s">
        <v>153</v>
      </c>
      <c s="19">
        <v>2673</v>
      </c>
      <c s="19">
        <v>1453</v>
      </c>
      <c s="44">
        <v>4126</v>
      </c>
      <c s="25">
        <v>0.64784294716432378</v>
      </c>
      <c s="25">
        <v>0.35215705283567622</v>
      </c>
    </row>
    <row>
      <c s="36" t="s">
        <v>173</v>
      </c>
      <c s="19">
        <v>10</v>
      </c>
      <c s="19">
        <v>11</v>
      </c>
      <c s="44">
        <v>21</v>
      </c>
      <c s="25">
        <v>0.47619047619047616</v>
      </c>
      <c s="25">
        <v>0.52380952380952384</v>
      </c>
    </row>
    <row>
      <c s="36" t="s">
        <v>172</v>
      </c>
      <c s="19">
        <v>17</v>
      </c>
      <c s="19">
        <v>8</v>
      </c>
      <c s="44">
        <v>25</v>
      </c>
      <c s="25">
        <v>0.68000000000000005</v>
      </c>
      <c s="25">
        <v>0.32000000000000001</v>
      </c>
    </row>
    <row>
      <c s="36" t="s">
        <v>267</v>
      </c>
      <c s="19">
        <v>35</v>
      </c>
      <c s="19">
        <v>17</v>
      </c>
      <c s="44">
        <v>52</v>
      </c>
      <c s="25">
        <v>0.67307692307692313</v>
      </c>
      <c s="25">
        <v>0.32692307692307693</v>
      </c>
    </row>
    <row>
      <c s="36" t="s">
        <v>266</v>
      </c>
      <c s="19">
        <v>79</v>
      </c>
      <c s="19">
        <v>45</v>
      </c>
      <c s="44">
        <v>124</v>
      </c>
      <c s="25">
        <v>0.63709677419354838</v>
      </c>
      <c s="25">
        <v>0.36290322580645162</v>
      </c>
    </row>
    <row>
      <c s="36" t="s">
        <v>26</v>
      </c>
      <c s="19">
        <v>373</v>
      </c>
      <c s="19">
        <v>130</v>
      </c>
      <c s="44">
        <v>503</v>
      </c>
      <c s="25">
        <v>0.74155069582504973</v>
      </c>
      <c s="25">
        <v>0.25844930417495032</v>
      </c>
    </row>
    <row>
      <c s="36" t="s">
        <v>4</v>
      </c>
      <c s="19">
        <v>8.0321499999999997</v>
      </c>
      <c s="19">
        <v>3.7796000000000003</v>
      </c>
      <c s="44">
        <v>11.81175</v>
      </c>
      <c s="25">
        <v>0.68001354583359785</v>
      </c>
      <c s="25">
        <v>0.31998645416640215</v>
      </c>
    </row>
    <row>
      <c s="36" t="s">
        <v>265</v>
      </c>
      <c s="19">
        <v>4</v>
      </c>
      <c s="19">
        <v>6</v>
      </c>
      <c s="44">
        <v>10</v>
      </c>
      <c s="25">
        <v>0.40000000000000002</v>
      </c>
      <c s="25">
        <v>0.59999999999999998</v>
      </c>
    </row>
    <row>
      <c s="36" t="s">
        <v>65</v>
      </c>
      <c s="19">
        <v>2</v>
      </c>
      <c s="19">
        <v>11</v>
      </c>
      <c s="44">
        <v>13</v>
      </c>
      <c s="25">
        <v>0.15384615384615385</v>
      </c>
      <c s="25">
        <v>0.84615384615384615</v>
      </c>
    </row>
    <row>
      <c s="36" t="s">
        <v>244</v>
      </c>
      <c s="19">
        <v>81</v>
      </c>
      <c s="19">
        <v>51</v>
      </c>
      <c s="44">
        <v>132</v>
      </c>
      <c s="25">
        <v>0.61363636363636365</v>
      </c>
      <c s="25">
        <v>0.38636363636363635</v>
      </c>
    </row>
    <row>
      <c s="36" t="s">
        <v>35</v>
      </c>
      <c s="19">
        <v>79</v>
      </c>
      <c s="19">
        <v>25</v>
      </c>
      <c s="44">
        <v>104</v>
      </c>
      <c s="25">
        <v>0.75961538461538458</v>
      </c>
      <c s="25">
        <v>0.24038461538461539</v>
      </c>
    </row>
    <row>
      <c s="36" t="s">
        <v>309</v>
      </c>
      <c s="19">
        <v>177</v>
      </c>
      <c s="19">
        <v>87</v>
      </c>
      <c s="44">
        <v>264</v>
      </c>
      <c s="25">
        <v>0.67045454545454541</v>
      </c>
      <c s="25">
        <v>0.32954545454545453</v>
      </c>
    </row>
    <row>
      <c s="36" t="s">
        <v>225</v>
      </c>
      <c s="19"/>
      <c s="19">
        <v>1.3715999999999999</v>
      </c>
      <c s="44">
        <v>1.3716000000000002</v>
      </c>
      <c s="25"/>
      <c s="25">
        <v>0.99999999999999989</v>
      </c>
    </row>
    <row>
      <c s="36" t="s">
        <v>243</v>
      </c>
      <c s="19">
        <v>9</v>
      </c>
      <c s="19">
        <v>5</v>
      </c>
      <c s="44">
        <v>14</v>
      </c>
      <c s="25">
        <v>0.6428571428571429</v>
      </c>
      <c s="25">
        <v>0.35714285714285715</v>
      </c>
    </row>
    <row>
      <c s="36" t="s">
        <v>105</v>
      </c>
      <c s="19">
        <v>131</v>
      </c>
      <c s="19">
        <v>41</v>
      </c>
      <c s="44">
        <v>172</v>
      </c>
      <c s="25">
        <v>0.76162790697674421</v>
      </c>
      <c s="25">
        <v>0.23837209302325582</v>
      </c>
    </row>
    <row>
      <c s="36" t="s">
        <v>52</v>
      </c>
      <c s="19">
        <v>68</v>
      </c>
      <c s="19">
        <v>21</v>
      </c>
      <c s="44">
        <v>89</v>
      </c>
      <c s="25">
        <v>0.7640449438202247</v>
      </c>
      <c s="25">
        <v>0.23595505617977527</v>
      </c>
    </row>
    <row>
      <c s="36" t="s">
        <v>51</v>
      </c>
      <c s="19">
        <v>954</v>
      </c>
      <c s="19">
        <v>358</v>
      </c>
      <c s="44">
        <v>1312</v>
      </c>
      <c s="25">
        <v>0.72713414634146345</v>
      </c>
      <c s="25">
        <v>0.27286585365853661</v>
      </c>
    </row>
    <row>
      <c s="36" t="s">
        <v>104</v>
      </c>
      <c s="19">
        <v>96.690300000000008</v>
      </c>
      <c s="19">
        <v>18.667950000000001</v>
      </c>
      <c s="44">
        <v>115.35825</v>
      </c>
      <c s="25">
        <v>0.83817412278705694</v>
      </c>
      <c s="25">
        <v>0.16182587721294317</v>
      </c>
    </row>
    <row>
      <c s="36" t="s">
        <v>264</v>
      </c>
      <c s="19">
        <v>46.838750000000005</v>
      </c>
      <c s="19">
        <v>10.4406</v>
      </c>
      <c s="44">
        <v>57.279350000000001</v>
      </c>
      <c s="25">
        <v>0.81772488689204759</v>
      </c>
      <c s="25">
        <v>0.18227511310795252</v>
      </c>
    </row>
    <row>
      <c s="36" t="s">
        <v>298</v>
      </c>
      <c s="19">
        <v>449.73579999999998</v>
      </c>
      <c s="19">
        <v>541.91880000000003</v>
      </c>
      <c s="44">
        <v>991.65460000000007</v>
      </c>
      <c s="25">
        <v>0.453520610906257</v>
      </c>
      <c s="25">
        <v>0.54647938909374294</v>
      </c>
    </row>
    <row>
      <c s="36" t="s">
        <v>34</v>
      </c>
      <c s="19">
        <v>18</v>
      </c>
      <c s="19">
        <v>5</v>
      </c>
      <c s="44">
        <v>23</v>
      </c>
      <c s="25">
        <v>0.78260869565217395</v>
      </c>
      <c s="25">
        <v>0.21739130434782608</v>
      </c>
    </row>
    <row>
      <c s="36" t="s">
        <v>152</v>
      </c>
      <c s="19">
        <v>448</v>
      </c>
      <c s="19">
        <v>105</v>
      </c>
      <c s="44">
        <v>553</v>
      </c>
      <c s="25">
        <v>0.810126582278481</v>
      </c>
      <c s="25">
        <v>0.189873417721519</v>
      </c>
    </row>
    <row>
      <c s="36" t="s">
        <v>297</v>
      </c>
      <c s="19">
        <v>259</v>
      </c>
      <c s="19">
        <v>274</v>
      </c>
      <c s="44">
        <v>533</v>
      </c>
      <c s="25">
        <v>0.48592870544090055</v>
      </c>
      <c s="25">
        <v>0.51407129455909939</v>
      </c>
    </row>
    <row>
      <c s="36" t="s">
        <v>296</v>
      </c>
      <c s="19">
        <v>3</v>
      </c>
      <c s="19">
        <v>1</v>
      </c>
      <c s="44">
        <v>4</v>
      </c>
      <c s="25">
        <v>0.75</v>
      </c>
      <c s="25">
        <v>0.25</v>
      </c>
    </row>
    <row>
      <c s="36" t="s">
        <v>33</v>
      </c>
      <c s="19">
        <v>22</v>
      </c>
      <c s="19">
        <v>12</v>
      </c>
      <c s="44">
        <v>34</v>
      </c>
      <c s="25">
        <v>0.6470588235294118</v>
      </c>
      <c s="25">
        <v>0.35294117647058826</v>
      </c>
    </row>
    <row>
      <c s="36" t="s">
        <v>284</v>
      </c>
      <c s="19">
        <v>281.5</v>
      </c>
      <c s="19">
        <v>349</v>
      </c>
      <c s="44">
        <v>630.5</v>
      </c>
      <c s="25">
        <v>0.44647105471847742</v>
      </c>
      <c s="25">
        <v>0.55352894528152263</v>
      </c>
    </row>
    <row>
      <c s="36" t="s">
        <v>224</v>
      </c>
      <c s="19">
        <v>219</v>
      </c>
      <c s="19">
        <v>376</v>
      </c>
      <c s="44">
        <v>595</v>
      </c>
      <c s="25">
        <v>0.36806722689075633</v>
      </c>
      <c s="25">
        <v>0.63193277310924367</v>
      </c>
    </row>
    <row>
      <c s="36" t="s">
        <v>263</v>
      </c>
      <c s="19">
        <v>156</v>
      </c>
      <c s="19">
        <v>401</v>
      </c>
      <c s="44">
        <v>557</v>
      </c>
      <c s="25">
        <v>0.28007181328545783</v>
      </c>
      <c s="25">
        <v>0.71992818671454217</v>
      </c>
    </row>
    <row>
      <c s="36" t="s">
        <v>50</v>
      </c>
      <c s="19">
        <v>64.156599999999997</v>
      </c>
      <c s="19">
        <v>14.297299999999998</v>
      </c>
      <c s="44">
        <v>78.453900000000004</v>
      </c>
      <c s="25">
        <v>0.81776176837607806</v>
      </c>
      <c s="25">
        <v>0.18223823162392178</v>
      </c>
    </row>
    <row>
      <c s="36" t="s">
        <v>32</v>
      </c>
      <c s="19">
        <v>26</v>
      </c>
      <c s="19">
        <v>131</v>
      </c>
      <c s="44">
        <v>157</v>
      </c>
      <c s="25">
        <v>0.16560509554140126</v>
      </c>
      <c s="25">
        <v>0.83439490445859876</v>
      </c>
    </row>
    <row>
      <c s="36" t="s">
        <v>192</v>
      </c>
      <c s="19">
        <v>0.5</v>
      </c>
      <c s="19"/>
      <c s="44">
        <v>0.5</v>
      </c>
      <c s="25">
        <v>1</v>
      </c>
      <c s="25"/>
    </row>
    <row>
      <c s="36" t="s">
        <v>103</v>
      </c>
      <c s="19">
        <v>618</v>
      </c>
      <c s="19">
        <v>218</v>
      </c>
      <c s="44">
        <v>836</v>
      </c>
      <c s="25">
        <v>0.73923444976076558</v>
      </c>
      <c s="25">
        <v>0.26076555023923442</v>
      </c>
    </row>
    <row>
      <c s="36" t="s">
        <v>283</v>
      </c>
      <c s="19">
        <v>3</v>
      </c>
      <c s="19">
        <v>5</v>
      </c>
      <c s="44">
        <v>8</v>
      </c>
      <c s="25">
        <v>0.375</v>
      </c>
      <c s="25">
        <v>0.625</v>
      </c>
    </row>
    <row>
      <c s="36" t="s">
        <v>191</v>
      </c>
      <c s="19">
        <v>3</v>
      </c>
      <c s="19">
        <v>8</v>
      </c>
      <c s="44">
        <v>11</v>
      </c>
      <c s="25">
        <v>0.27272727272727271</v>
      </c>
      <c s="25">
        <v>0.72727272727272729</v>
      </c>
    </row>
    <row>
      <c s="36" t="s">
        <v>171</v>
      </c>
      <c s="19">
        <v>22</v>
      </c>
      <c s="19">
        <v>11</v>
      </c>
      <c s="44">
        <v>33</v>
      </c>
      <c s="25">
        <v>0.66666666666666663</v>
      </c>
      <c s="25">
        <v>0.33333333333333331</v>
      </c>
    </row>
    <row>
      <c s="36" t="s">
        <v>201</v>
      </c>
      <c s="19">
        <v>5</v>
      </c>
      <c s="19">
        <v>11</v>
      </c>
      <c s="44">
        <v>16</v>
      </c>
      <c s="25">
        <v>0.3125</v>
      </c>
      <c s="25">
        <v>0.6875</v>
      </c>
    </row>
    <row>
      <c s="36" t="s">
        <v>121</v>
      </c>
      <c s="19">
        <v>0.47099999999999997</v>
      </c>
      <c s="19"/>
      <c s="44">
        <v>0.47099999999999997</v>
      </c>
      <c s="25">
        <v>1</v>
      </c>
      <c s="25"/>
    </row>
    <row>
      <c s="36" t="s">
        <v>139</v>
      </c>
      <c s="19">
        <v>528</v>
      </c>
      <c s="19">
        <v>93</v>
      </c>
      <c s="44">
        <v>621</v>
      </c>
      <c s="25">
        <v>0.85024154589371981</v>
      </c>
      <c s="25">
        <v>0.14975845410628019</v>
      </c>
    </row>
    <row>
      <c s="36" t="s">
        <v>223</v>
      </c>
      <c s="19">
        <v>23</v>
      </c>
      <c s="19">
        <v>55</v>
      </c>
      <c s="44">
        <v>78</v>
      </c>
      <c s="25">
        <v>0.29487179487179488</v>
      </c>
      <c s="25">
        <v>0.70512820512820518</v>
      </c>
    </row>
    <row>
      <c s="36" t="s">
        <v>82</v>
      </c>
      <c s="19">
        <v>326</v>
      </c>
      <c s="19">
        <v>245</v>
      </c>
      <c s="44">
        <v>571</v>
      </c>
      <c s="25">
        <v>0.57092819614711032</v>
      </c>
      <c s="25">
        <v>0.42907180385288968</v>
      </c>
    </row>
    <row>
      <c s="36" t="s">
        <v>3</v>
      </c>
      <c s="19">
        <v>77</v>
      </c>
      <c s="19">
        <v>58</v>
      </c>
      <c s="44">
        <v>135</v>
      </c>
      <c s="25">
        <v>0.57037037037037042</v>
      </c>
      <c s="25">
        <v>0.42962962962962964</v>
      </c>
    </row>
    <row>
      <c s="36" t="s">
        <v>242</v>
      </c>
      <c s="19">
        <v>54</v>
      </c>
      <c s="19">
        <v>163</v>
      </c>
      <c s="44">
        <v>217</v>
      </c>
      <c s="25">
        <v>0.24884792626728111</v>
      </c>
      <c s="25">
        <v>0.75115207373271886</v>
      </c>
    </row>
    <row>
      <c s="36" t="s">
        <v>295</v>
      </c>
      <c s="19">
        <v>287</v>
      </c>
      <c s="19">
        <v>60</v>
      </c>
      <c s="44">
        <v>347</v>
      </c>
      <c s="25">
        <v>0.82708933717579247</v>
      </c>
      <c s="25">
        <v>0.1729106628242075</v>
      </c>
    </row>
    <row>
      <c s="36" t="s">
        <v>294</v>
      </c>
      <c s="19">
        <v>50</v>
      </c>
      <c s="19">
        <v>82</v>
      </c>
      <c s="44">
        <v>132</v>
      </c>
      <c s="25">
        <v>0.37878787878787878</v>
      </c>
      <c s="25">
        <v>0.62121212121212122</v>
      </c>
    </row>
    <row>
      <c s="36" t="s">
        <v>61</v>
      </c>
      <c s="19">
        <v>310</v>
      </c>
      <c s="19">
        <v>75</v>
      </c>
      <c s="44">
        <v>385</v>
      </c>
      <c s="25">
        <v>0.80519480519480524</v>
      </c>
      <c s="25">
        <v>0.19480519480519481</v>
      </c>
    </row>
    <row>
      <c s="36" t="s">
        <v>282</v>
      </c>
      <c s="19">
        <v>22</v>
      </c>
      <c s="19">
        <v>7</v>
      </c>
      <c s="44">
        <v>29</v>
      </c>
      <c s="25">
        <v>0.75862068965517238</v>
      </c>
      <c s="25">
        <v>0.2413793103448276</v>
      </c>
    </row>
    <row>
      <c s="36" t="s">
        <v>222</v>
      </c>
      <c s="19">
        <v>4</v>
      </c>
      <c s="19">
        <v>1</v>
      </c>
      <c s="44">
        <v>5</v>
      </c>
      <c s="25">
        <v>0.80000000000000004</v>
      </c>
      <c s="25">
        <v>0.20000000000000001</v>
      </c>
    </row>
    <row>
      <c s="36" t="s">
        <v>310</v>
      </c>
      <c s="19">
        <v>47</v>
      </c>
      <c s="19">
        <v>33</v>
      </c>
      <c s="44">
        <v>80</v>
      </c>
      <c s="25">
        <v>0.58750000000000002</v>
      </c>
      <c s="25">
        <v>0.41249999999999998</v>
      </c>
    </row>
    <row>
      <c s="36" t="s">
        <v>221</v>
      </c>
      <c s="19">
        <v>21</v>
      </c>
      <c s="19">
        <v>16</v>
      </c>
      <c s="44">
        <v>37</v>
      </c>
      <c s="25">
        <v>0.56756756756756754</v>
      </c>
      <c s="25">
        <v>0.43243243243243246</v>
      </c>
    </row>
    <row>
      <c s="36" t="s">
        <v>220</v>
      </c>
      <c s="19">
        <v>373.69999999999999</v>
      </c>
      <c s="19">
        <v>482</v>
      </c>
      <c s="44">
        <v>855.70000000000005</v>
      </c>
      <c s="25">
        <v>0.43671847610143738</v>
      </c>
      <c s="25">
        <v>0.56328152389856256</v>
      </c>
    </row>
    <row>
      <c s="36" t="s">
        <v>293</v>
      </c>
      <c s="19">
        <v>9</v>
      </c>
      <c s="19">
        <v>7</v>
      </c>
      <c s="44">
        <v>16</v>
      </c>
      <c s="25">
        <v>0.5625</v>
      </c>
      <c s="25">
        <v>0.4375</v>
      </c>
    </row>
    <row>
      <c s="36" t="s">
        <v>49</v>
      </c>
      <c s="19">
        <v>7</v>
      </c>
      <c s="19">
        <v>11</v>
      </c>
      <c s="44">
        <v>18</v>
      </c>
      <c s="25">
        <v>0.3888888888888889</v>
      </c>
      <c s="25">
        <v>0.61111111111111116</v>
      </c>
    </row>
    <row>
      <c s="36" t="s">
        <v>200</v>
      </c>
      <c s="19">
        <v>0.5</v>
      </c>
      <c s="19">
        <v>1</v>
      </c>
      <c s="44">
        <v>1.5</v>
      </c>
      <c s="25">
        <v>0.33333333333333331</v>
      </c>
      <c s="25">
        <v>0.66666666666666663</v>
      </c>
    </row>
    <row>
      <c s="36" t="s">
        <v>120</v>
      </c>
      <c s="19">
        <v>16</v>
      </c>
      <c s="19">
        <v>47</v>
      </c>
      <c s="44">
        <v>63</v>
      </c>
      <c s="25">
        <v>0.25396825396825395</v>
      </c>
      <c s="25">
        <v>0.74603174603174605</v>
      </c>
    </row>
    <row>
      <c s="36" t="s">
        <v>262</v>
      </c>
      <c s="19">
        <v>25</v>
      </c>
      <c s="19">
        <v>36</v>
      </c>
      <c s="44">
        <v>61.000000000000014</v>
      </c>
      <c s="25">
        <v>0.40983606557377039</v>
      </c>
      <c s="25">
        <v>0.59016393442622939</v>
      </c>
    </row>
    <row>
      <c s="36" t="s">
        <v>151</v>
      </c>
      <c s="19">
        <v>2582</v>
      </c>
      <c s="19">
        <v>3019</v>
      </c>
      <c s="44">
        <v>5601</v>
      </c>
      <c s="25">
        <v>0.46098910908766294</v>
      </c>
      <c s="25">
        <v>0.53901089091233712</v>
      </c>
    </row>
    <row>
      <c s="36" t="s">
        <v>102</v>
      </c>
      <c s="19">
        <v>234</v>
      </c>
      <c s="19">
        <v>461</v>
      </c>
      <c s="44">
        <v>695</v>
      </c>
      <c s="25">
        <v>0.33669064748201438</v>
      </c>
      <c s="25">
        <v>0.66330935251798562</v>
      </c>
    </row>
    <row>
      <c s="36" t="s">
        <v>101</v>
      </c>
      <c s="19">
        <v>9</v>
      </c>
      <c s="19">
        <v>11</v>
      </c>
      <c s="44">
        <v>20</v>
      </c>
      <c s="25">
        <v>0.45000000000000001</v>
      </c>
      <c s="25">
        <v>0.55000000000000004</v>
      </c>
    </row>
    <row>
      <c s="36" t="s">
        <v>292</v>
      </c>
      <c s="19">
        <v>127</v>
      </c>
      <c s="19">
        <v>591</v>
      </c>
      <c s="44">
        <v>718</v>
      </c>
      <c s="25">
        <v>0.17688022284122562</v>
      </c>
      <c s="25">
        <v>0.82311977715877438</v>
      </c>
    </row>
    <row>
      <c s="36" t="s">
        <v>260</v>
      </c>
      <c s="19">
        <v>209</v>
      </c>
      <c s="19">
        <v>80</v>
      </c>
      <c s="44">
        <v>289</v>
      </c>
      <c s="25">
        <v>0.72318339100346019</v>
      </c>
      <c s="25">
        <v>0.27681660899653981</v>
      </c>
    </row>
    <row>
      <c s="36" t="s">
        <v>241</v>
      </c>
      <c s="19">
        <v>1232</v>
      </c>
      <c s="19">
        <v>1049.5</v>
      </c>
      <c s="44">
        <v>2281.5</v>
      </c>
      <c s="25">
        <v>0.5399956169186938</v>
      </c>
      <c s="25">
        <v>0.46000438308130615</v>
      </c>
    </row>
    <row>
      <c s="36" t="s">
        <v>2</v>
      </c>
      <c s="19">
        <v>839</v>
      </c>
      <c s="19">
        <v>998</v>
      </c>
      <c s="44">
        <v>1837</v>
      </c>
      <c s="25">
        <v>0.45672291780076213</v>
      </c>
      <c s="25">
        <v>0.54327708219923787</v>
      </c>
    </row>
    <row>
      <c s="36" t="s">
        <v>100</v>
      </c>
      <c s="19">
        <v>115</v>
      </c>
      <c s="19">
        <v>55</v>
      </c>
      <c s="44">
        <v>170</v>
      </c>
      <c s="25">
        <v>0.67647058823529416</v>
      </c>
      <c s="25">
        <v>0.3235294117647059</v>
      </c>
    </row>
    <row>
      <c s="36" t="s">
        <v>64</v>
      </c>
      <c s="19">
        <v>47367.650499999996</v>
      </c>
      <c s="19">
        <v>37429.602619999998</v>
      </c>
      <c s="44">
        <v>84797.253119999965</v>
      </c>
      <c s="25">
        <v>0.55859887858593893</v>
      </c>
      <c s="25">
        <v>0.44140112141406135</v>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sheetData>
  <mergeCells count="6">
    <mergeCell ref="A4:I4"/>
    <mergeCell ref="A5:I5"/>
    <mergeCell ref="A6:I6"/>
    <mergeCell ref="B24:F24"/>
    <mergeCell ref="B25:D25"/>
    <mergeCell ref="E25:F25"/>
  </mergeCells>
  <pageMargins left="0.70866141732283472" right="0.70866141732283472" top="0.78740157480314965" bottom="0.78740157480314965" header="0.31496062992125984" footer="0.31496062992125984"/>
  <pageSetup paperSize="9" scale="93" fitToHeight="0" orientation="landscape"/>
  <headerFooter>
    <oddHeader>&amp;L&amp;"Tahoma,Standard"&amp;10unidata.gv.at&amp;R&amp;"Tahoma,Standard"&amp;10&amp;D</oddHeader>
    <oddFooter>&amp;R&amp;"Tahoma,Standard"&amp;10&amp;P/&amp;N</oddFooter>
  </headerFooter>
  <drawing r:id="rId1"/>
</worksheet>
</file>

<file path=xl/worksheets/sheet2.xml><?xml version="1.0" encoding="utf-8"?>
<worksheet xmlns:r="http://schemas.openxmlformats.org/officeDocument/2006/relationships" xmlns="http://schemas.openxmlformats.org/spreadsheetml/2006/main">
  <dimension ref="A1:Z33"/>
  <sheetViews>
    <sheetView workbookViewId="0">
      <selection activeCell="E27" sqref="E27:E30"/>
    </sheetView>
  </sheetViews>
  <sheetFormatPr defaultColWidth="9.140625" defaultRowHeight="13.6"/>
  <cols>
    <col min="1" max="1" width="13.5703125" style="17" customWidth="1"/>
    <col min="2" max="2" width="40.85546875" style="17" customWidth="1"/>
    <col min="3" max="3" width="28.140625" style="17" customWidth="1"/>
    <col min="4" max="4" width="16.28515625" style="17" customWidth="1"/>
    <col min="5" max="5" width="19.42578125" style="17" customWidth="1"/>
    <col min="6" max="6" width="11.140625" style="17" customWidth="1"/>
    <col min="7" max="7" width="9.140625" style="17" customWidth="1"/>
    <col min="8" max="8" width="17.28515625" style="17" customWidth="1"/>
    <col min="9" max="9" width="19.5703125" style="17" customWidth="1"/>
    <col min="10" max="12" width="12.42578125" style="17" customWidth="1"/>
    <col min="13" max="13" width="16" style="17" customWidth="1"/>
    <col min="14" max="14" width="14.28515625" style="17" customWidth="1"/>
    <col min="15" max="15" width="18.28515625" style="17" customWidth="1"/>
    <col min="16" max="25" width="9.140625" style="17" customWidth="1"/>
    <col min="26" max="26" width="9.140625" style="17" hidden="1" customWidth="1"/>
    <col min="27" max="27" width="9.140625" style="17" customWidth="1"/>
    <col min="28" max="16384" width="9.140625" style="17"/>
  </cols>
  <sheetData>
    <row>
      <c s="59"/>
      <c r="H1" s="61">
        <v>129806172700000000</v>
      </c>
      <c r="Z1" s="39" t="b">
        <f>0=1</f>
        <v>0</v>
      </c>
    </row>
    <row>
      <c r="Z2" s="39" t="b">
        <f>1=1</f>
        <v>1</v>
      </c>
    </row>
    <row>
      <c r="Z3" s="39"/>
    </row>
    <row>
      <c r="I4" s="17" t="s">
        <v>117</v>
      </c>
      <c s="30" t="s">
        <v>234</v>
      </c>
      <c s="8"/>
      <c s="8"/>
      <c s="8"/>
      <c s="8"/>
      <c s="8"/>
    </row>
    <row>
      <c r="J5" s="18" t="s">
        <v>91</v>
      </c>
      <c s="13" t="s">
        <v>163</v>
      </c>
      <c s="13" t="s">
        <v>209</v>
      </c>
      <c s="18" t="s">
        <v>304</v>
      </c>
      <c s="58" t="s">
        <v>252</v>
      </c>
      <c s="13" t="s">
        <v>21</v>
      </c>
    </row>
    <row>
      <c r="B6" s="24" t="s">
        <v>253</v>
      </c>
      <c s="15" t="s">
        <v>276</v>
      </c>
      <c s="57" t="s">
        <v>43</v>
      </c>
      <c s="3" t="s">
        <v>164</v>
      </c>
    </row>
    <row>
      <c r="C7" s="14"/>
      <c s="29" t="s">
        <v>44</v>
      </c>
      <c s="3" t="s">
        <v>187</v>
      </c>
    </row>
    <row>
      <c r="C8" s="29" t="s">
        <v>22</v>
      </c>
      <c s="14"/>
    </row>
    <row>
      <c r="C9" s="14"/>
      <c s="15" t="s">
        <v>92</v>
      </c>
      <c s="43"/>
    </row>
    <row>
      <c r="C10" s="15" t="s">
        <v>146</v>
      </c>
      <c s="45" t="s">
        <v>210</v>
      </c>
      <c s="3" t="s">
        <v>59</v>
      </c>
    </row>
    <row>
      <c r="B11" s="24" t="s">
        <v>165</v>
      </c>
      <c s="54" t="s">
        <v>147</v>
      </c>
      <c s="55">
        <v>60398</v>
      </c>
      <c s="3" t="s">
        <v>93</v>
      </c>
    </row>
    <row>
      <c r="B12" s="24"/>
      <c s="41"/>
      <c s="60"/>
      <c s="51" t="s">
        <v>235</v>
      </c>
    </row>
    <row>
      <c r="B13" s="24" t="s">
        <v>148</v>
      </c>
      <c s="31" t="s">
        <v>79</v>
      </c>
      <c s="33">
        <v>1212</v>
      </c>
      <c s="17" t="b">
        <v>0</v>
      </c>
      <c s="3" t="s">
        <v>211</v>
      </c>
    </row>
    <row ht="12.75" hidden="1">
      <c r="B14" s="24"/>
      <c s="31"/>
      <c s="32"/>
      <c s="17" t="b">
        <v>0</v>
      </c>
    </row>
    <row>
      <c r="B15" s="24" t="s">
        <v>277</v>
      </c>
      <c s="17" t="s">
        <v>290</v>
      </c>
      <c s="62">
        <v>1212</v>
      </c>
      <c s="17" t="b">
        <v>0</v>
      </c>
      <c s="3" t="s">
        <v>80</v>
      </c>
    </row>
    <row ht="12.75" hidden="1">
      <c r="B16" s="24"/>
      <c r="D16" s="16"/>
      <c s="17" t="b">
        <v>0</v>
      </c>
      <c s="3"/>
    </row>
    <row>
      <c r="B17" s="24"/>
      <c s="17" t="s">
        <v>94</v>
      </c>
      <c s="52">
        <v>3434</v>
      </c>
      <c s="17" t="b">
        <v>0</v>
      </c>
      <c s="3" t="s">
        <v>212</v>
      </c>
    </row>
    <row>
      <c r="B18" s="24"/>
      <c r="D18" s="16"/>
      <c s="17" t="b">
        <v>0</v>
      </c>
      <c s="3"/>
    </row>
    <row>
      <c r="B19" s="24"/>
      <c s="17" t="s">
        <v>23</v>
      </c>
      <c s="64">
        <v>3434</v>
      </c>
      <c s="17" t="b">
        <v>0</v>
      </c>
      <c s="3" t="s">
        <v>254</v>
      </c>
    </row>
    <row>
      <c r="B20" s="24"/>
      <c r="D20" s="16"/>
      <c s="17" t="b">
        <v>0</v>
      </c>
      <c s="3"/>
    </row>
    <row>
      <c r="B21" s="24"/>
      <c s="17" t="s">
        <v>255</v>
      </c>
      <c s="49">
        <v>5656</v>
      </c>
      <c s="17" t="b">
        <v>0</v>
      </c>
      <c s="3" t="s">
        <v>305</v>
      </c>
    </row>
    <row>
      <c r="B22" s="24"/>
      <c r="E22" s="3"/>
      <c r="I22" s="40"/>
    </row>
    <row>
      <c r="B23" s="28" t="s">
        <v>24</v>
      </c>
      <c s="28"/>
    </row>
    <row>
      <c r="B24" s="2" t="s">
        <v>166</v>
      </c>
      <c s="2" t="s">
        <v>95</v>
      </c>
      <c s="2" t="s">
        <v>45</v>
      </c>
      <c s="2" t="s">
        <v>256</v>
      </c>
      <c s="2"/>
      <c s="2"/>
      <c s="2" t="s">
        <v>306</v>
      </c>
    </row>
    <row>
      <c s="17" t="s">
        <v>188</v>
      </c>
      <c r="C25" s="42" t="s">
        <v>167</v>
      </c>
      <c s="22" t="s">
        <v>236</v>
      </c>
      <c s="22">
        <v>1234.5599999999999</v>
      </c>
      <c s="3" t="s">
        <v>237</v>
      </c>
      <c r="H25" s="17" t="s">
        <v>257</v>
      </c>
    </row>
    <row>
      <c s="17" t="s">
        <v>278</v>
      </c>
      <c r="C26" s="42" t="s">
        <v>167</v>
      </c>
      <c s="22" t="s">
        <v>236</v>
      </c>
      <c s="22">
        <v>1234.5599999999999</v>
      </c>
      <c s="3" t="s">
        <v>189</v>
      </c>
      <c r="H26" s="17" t="s">
        <v>307</v>
      </c>
    </row>
    <row>
      <c r="C27" s="42" t="s">
        <v>167</v>
      </c>
      <c s="38" t="s">
        <v>236</v>
      </c>
      <c s="22">
        <v>1234.5599999999999</v>
      </c>
      <c r="H27" s="17" t="s">
        <v>190</v>
      </c>
    </row>
    <row>
      <c r="C28" s="63" t="s">
        <v>167</v>
      </c>
      <c s="38" t="s">
        <v>149</v>
      </c>
      <c s="22">
        <v>1234.5599999999999</v>
      </c>
      <c r="H28" s="17" t="s">
        <v>96</v>
      </c>
    </row>
    <row>
      <c r="C29" s="63" t="s">
        <v>167</v>
      </c>
      <c s="38" t="s">
        <v>48</v>
      </c>
      <c s="22">
        <v>1234.5599999999999</v>
      </c>
      <c r="H29" s="17" t="s">
        <v>308</v>
      </c>
    </row>
    <row>
      <c r="C30" s="63" t="s">
        <v>25</v>
      </c>
      <c s="38" t="s">
        <v>31</v>
      </c>
      <c s="22">
        <v>1234.5599999999999</v>
      </c>
    </row>
    <row>
      <c r="C31" s="63" t="s">
        <v>258</v>
      </c>
      <c s="47" t="s">
        <v>64</v>
      </c>
      <c s="53">
        <v>1234.5599999999999</v>
      </c>
    </row>
    <row>
      <c r="C32" s="63" t="s">
        <v>25</v>
      </c>
      <c s="23" t="s">
        <v>198</v>
      </c>
      <c s="23">
        <v>1234.5599999999999</v>
      </c>
    </row>
    <row>
      <c r="C33" s="63" t="s">
        <v>60</v>
      </c>
      <c s="56" t="s">
        <v>64</v>
      </c>
      <c s="50">
        <v>1234.5599999999999</v>
      </c>
    </row>
  </sheetData>
  <mergeCells count="2">
    <mergeCell ref="J4:O4"/>
    <mergeCell ref="B23:C23"/>
  </mergeCells>
  <dataValidations count="1">
    <dataValidation type="list" allowBlank="1" showInputMessage="1" showErrorMessage="1" sqref="E13:E21">
      <formula1>$Z$1:$Z$2</formula1>
    </dataValidation>
  </dataValidations>
  <pageMargins left="0.7" right="0.7" top="0.787401575" bottom="0.787401575" header="0.3" footer="0.3"/>
  <pageSetup paperSize="9" orientation="portrait"/>
  <drawing r:id="rId1"/>
</worksheet>
</file>
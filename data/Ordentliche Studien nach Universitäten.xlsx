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0065"/>
  </bookViews>
  <sheets>
    <sheet name="Tab" sheetId="1" r:id="rId1"/>
    <sheet name="XLCubedFormats" sheetId="2" state="hidden" r:id="rId2"/>
  </sheets>
  <definedNames>
    <definedName name="_xlnm.Print_Area" localSheetId="0">Tab!$A$1:$I$45</definedName>
    <definedName name="XL3DisableCameraObjects" hidden="1">XLCubedFormats!A1</definedName>
    <definedName name="XL3ObjLocation6dd36f0e_b97c_4129_8553_f637565fde5f">Tab!$A$9</definedName>
  </definedNames>
  <calcPr calcId="40001"/>
</workbook>
</file>

<file path=xl/sharedStrings.xml><?xml version="1.0" encoding="utf-8"?>
<sst xmlns="http://schemas.openxmlformats.org/spreadsheetml/2006/main" uniqueCount="109">
  <si>
    <t>Universität</t>
  </si>
  <si>
    <t xml:space="preserve">Ordentliche Studien </t>
  </si>
  <si>
    <t>Wirtschaftsuniversität Wien</t>
  </si>
  <si>
    <t>Semester und Datenstichtag</t>
  </si>
  <si>
    <t>Frauen</t>
  </si>
  <si>
    <t>Slicer Button Background</t>
  </si>
  <si>
    <t>Grid Title</t>
  </si>
  <si>
    <t>Oth Written Member</t>
  </si>
  <si>
    <t>Fill in Grid Name, Dimension or Both</t>
  </si>
  <si>
    <t>[ALLG Wertart].[Wertart]</t>
  </si>
  <si>
    <t>(Members of Studienfach (Fachcode)) - (Erweiterungsstudium, Zweitfach)</t>
  </si>
  <si>
    <t>Wintersemester 2024 (Stichtag: 28.02.2025)</t>
  </si>
  <si>
    <t>Absolutwert</t>
  </si>
  <si>
    <t>Universität für Musik und darstellende Kunst Wien</t>
  </si>
  <si>
    <t>All Marital Status</t>
  </si>
  <si>
    <t>Male</t>
  </si>
  <si>
    <t>Member1 Name</t>
  </si>
  <si>
    <t>Staatengruppe (Ö, EU, andere)</t>
  </si>
  <si>
    <t>Studien Universitäten</t>
  </si>
  <si>
    <t>ord. Studium</t>
  </si>
  <si>
    <t>Universität für angewandte Kunst Wien</t>
  </si>
  <si>
    <t>Universität Wien</t>
  </si>
  <si>
    <t>&lt;-- default Column Member Format</t>
  </si>
  <si>
    <t>Begonnene Studien</t>
  </si>
  <si>
    <t>[ALLG Universität].[Universität]</t>
  </si>
  <si>
    <t>Gesamt</t>
  </si>
  <si>
    <t>Universität Mozarteum Salzburg</t>
  </si>
  <si>
    <t>Universität Klagenfurt</t>
  </si>
  <si>
    <t>Alternate Rows</t>
  </si>
  <si>
    <t>&lt;--  writeable cell format</t>
  </si>
  <si>
    <t xml:space="preserve"> 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</si>
  <si>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</si>
  <si>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</si>
  <si>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</si>
  <si>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</si>
  <si>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</si>
  <si>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</si>
  <si>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Dadurch sind Studien auf ganze Zahlen zu runden und es kann zu Abweichungen zwischen der Gesamtsumme und den addierten Detailergebnissen kommen.</t>
  </si>
  <si>
    <t>Medizinische Universität Innsbruck</t>
  </si>
  <si>
    <t>Männer</t>
  </si>
  <si>
    <t>Slice Name (Optional)</t>
  </si>
  <si>
    <t>LEVEL: 2</t>
  </si>
  <si>
    <t>Veterinärmedizinische Universität Wien</t>
  </si>
  <si>
    <t>Montanuniversität Leoben</t>
  </si>
  <si>
    <t>Universität für Weiterbildung Krems</t>
  </si>
  <si>
    <t>Customer</t>
  </si>
  <si>
    <t>-All Customer</t>
  </si>
  <si>
    <t>Default Alternate Row Member Format --&gt;</t>
  </si>
  <si>
    <t>Studien von Erstzugelassenen</t>
  </si>
  <si>
    <t>Wintersemester 2015 (Stichtag: 28.02.2016)</t>
  </si>
  <si>
    <t>Studientyp</t>
  </si>
  <si>
    <t>Bundesland Universität</t>
  </si>
  <si>
    <t>Medizinische Universität Graz</t>
  </si>
  <si>
    <t>Universität Innsbruck</t>
  </si>
  <si>
    <t>Slicer Item</t>
  </si>
  <si>
    <t>&lt;-- default Slicer Member Format</t>
  </si>
  <si>
    <t>Default Row Member Format --&gt;</t>
  </si>
  <si>
    <t>Grid/Table Name</t>
  </si>
  <si>
    <t>[Measures]</t>
  </si>
  <si>
    <t>ISCED2013 3.Ebene (Code, Langtext)</t>
  </si>
  <si>
    <t>Technische Universität Graz</t>
  </si>
  <si>
    <t>&lt;-- writeable Slicer Member Format</t>
  </si>
  <si>
    <t>Slice Format 1</t>
  </si>
  <si>
    <t>&lt;-- Gesamtzeile</t>
  </si>
  <si>
    <t>3) Formatierung der Gesamtspalte und -zeile (siehe E25:E26)</t>
  </si>
  <si>
    <t>(ohne Erweiterungsstudien; bei kombinationspflichtigen Studien bis STJ 2015/16 nur Erstfach gezählt)</t>
  </si>
  <si>
    <t>Studienfach (Fachcode)</t>
  </si>
  <si>
    <t>Frauen-/Männeranteil in %</t>
  </si>
  <si>
    <t>Institute of Digital Sciences Austria</t>
  </si>
  <si>
    <t>Slicer Button</t>
  </si>
  <si>
    <t>+2009</t>
  </si>
  <si>
    <t>&lt;-- default alternate row cell format</t>
  </si>
  <si>
    <t>&lt;--  written cell format</t>
  </si>
  <si>
    <t>Universität für künstlerische und industrielle Gestaltung Linz</t>
  </si>
  <si>
    <t>Studienart</t>
  </si>
  <si>
    <t>Akademie der bildenden Künste Wien</t>
  </si>
  <si>
    <t>Display Formats For:</t>
  </si>
  <si>
    <t>Enabled?</t>
  </si>
  <si>
    <t>&lt;-- Gesamtspalte</t>
  </si>
  <si>
    <t>Datenprüfung und -aufbereitung: bmfwf, Abt. I/10</t>
  </si>
  <si>
    <t>Ordentliche Studien nach Universitäten</t>
  </si>
  <si>
    <t>Universität-Ausrichtung</t>
  </si>
  <si>
    <t>Universität für Musik und darstellende Kunst Graz</t>
  </si>
  <si>
    <t>Universität Graz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</si>
  <si>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</si>
  <si>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</si>
  <si>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</si>
  <si>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</si>
  <si>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</si>
  <si>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[SU Studierende].[Geschlecht]</t>
  </si>
  <si>
    <t>1) Spaltenüberschrift mittels Menüpunkt Daten/Gruppieren/Gruppieren ausblenden</t>
  </si>
  <si>
    <t>Universität Linz</t>
  </si>
  <si>
    <t>Universität für Bodenkultur Wien</t>
  </si>
  <si>
    <t>Universität Salzburg</t>
  </si>
  <si>
    <t>Medizinische Universität Wien</t>
  </si>
  <si>
    <t>Marital Status</t>
  </si>
  <si>
    <t>Default Writeable Member Format --&gt;</t>
  </si>
  <si>
    <t>Slice Format 2</t>
  </si>
  <si>
    <t>LEVEL: 0</t>
  </si>
  <si>
    <t>Quelle: Datenmeldungen der Universitäten auf Basis UHSBV zum jeweiligen Stichtag</t>
  </si>
  <si>
    <t>Technische Universität Wien</t>
  </si>
  <si>
    <t>Writeable Member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</si>
  <si>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</si>
  <si>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</si>
  <si>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</si>
  <si>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</si>
  <si>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</si>
  <si>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[SU Studierende].[Semester-plus-Stichtag]</t>
  </si>
  <si>
    <t>Anmerkung: Ab dem WS 2016 erfolgt die zähltechnische Abbildung der Studien auf Basis des Verteilungsschlüssels gemäß § 22 Abs. 2 und Abs. 5 bis 7 UHSBV.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</si>
</sst>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8"/>
      <color indexed="23"/>
      <name val="Tahoma"/>
      <family val="2"/>
    </font>
    <font>
      <b/>
      <sz val="11"/>
      <color rgb="FF000000"/>
      <name val="Tahoma"/>
      <family val="2"/>
    </font>
    <font>
      <sz val="10"/>
      <color rgb="FF262626"/>
      <name val="Tahoma"/>
      <family val="2"/>
    </font>
    <font>
      <sz val="9"/>
      <name val="Tahoma"/>
      <family val="2"/>
    </font>
    <font>
      <sz val="11"/>
      <color rgb="FF000000"/>
      <name val="Tahoma"/>
      <family val="2"/>
    </font>
    <font>
      <sz val="10"/>
      <color theme="1" tint="0.0499893185216834"/>
      <name val="Tahoma"/>
      <family val="2"/>
    </font>
    <font>
      <sz val="8"/>
      <name val="Tahoma"/>
      <family val="2"/>
    </font>
    <font>
      <sz val="10"/>
      <color theme="1" tint="0.34998626667073579"/>
      <name val="Tahoma"/>
      <family val="2"/>
    </font>
    <font>
      <sz val="10"/>
      <name val="Tahoma"/>
      <family val="2"/>
    </font>
    <font>
      <sz val="10"/>
      <color rgb="FF595959"/>
      <name val="Tahoma"/>
    </font>
    <font>
      <sz val="10"/>
      <color theme="1" tint="0.14996795556505021"/>
      <name val="Tahoma"/>
      <family val="2"/>
    </font>
    <font>
      <sz val="10"/>
      <color rgb="FFFF0000"/>
      <name val="Tahoma"/>
      <family val="2"/>
    </font>
    <font>
      <b/>
      <sz val="11"/>
      <color theme="1"/>
      <name val="Calibri"/>
      <family val="2"/>
      <scheme val="minor"/>
    </font>
    <font>
      <b/>
      <sz val="8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9D9D9"/>
        <bgColor rgb="FFFFFFFF"/>
      </patternFill>
    </fill>
    <fill>
      <patternFill patternType="solid">
        <fgColor rgb="FFDDDDDD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rgb="FFC6D9F1"/>
        <bgColor rgb="FFFFFFFF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indexed="4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/>
      <top/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2" fillId="0" borderId="0" xfId="0" applyFont="1" applyFill="1" applyBorder="1"/>
    <xf numFmtId="0" fontId="3" fillId="0" borderId="0" xfId="0" quotePrefix="1" applyFont="1" applyFill="1" applyAlignment="1">
      <alignment horizontal="left" vertical="top" wrapText="1"/>
    </xf>
    <xf numFmtId="3" fontId="4" fillId="0" borderId="0" xfId="0" applyNumberFormat="1" applyFont="1" applyFill="1" applyBorder="1"/>
    <xf numFmtId="0" fontId="5" fillId="0" borderId="0" xfId="0" applyFont="1"/>
    <xf numFmtId="0" fontId="6" fillId="0" borderId="0" xfId="0" applyFont="1"/>
    <xf numFmtId="0" fontId="0" fillId="0" borderId="0" xfId="0" applyFill="1" applyAlignment="1"/>
    <xf numFmtId="0" fontId="7" fillId="0" borderId="0" xfId="0" applyFont="1" applyFill="1" applyAlignment="1">
      <alignment vertical="top"/>
    </xf>
    <xf numFmtId="0" fontId="8" fillId="0" borderId="1" xfId="0" quotePrefix="1" applyFont="1" applyFill="1" applyBorder="1" applyAlignment="1" applyProtection="1">
      <alignment horizontal="center"/>
    </xf>
    <xf numFmtId="0" fontId="9" fillId="2" borderId="0" xfId="1" applyFont="1" applyFill="1" applyBorder="1" applyAlignment="1">
      <alignment horizontal="center"/>
    </xf>
    <xf numFmtId="0" fontId="10" fillId="0" borderId="0" xfId="0" applyFont="1" applyFill="1" applyAlignment="1">
      <alignment vertical="center"/>
    </xf>
    <xf numFmtId="0" fontId="3" fillId="0" borderId="0" xfId="0" applyFont="1" applyFill="1" applyAlignment="1"/>
    <xf numFmtId="0" fontId="7" fillId="0" borderId="0" xfId="0" applyFont="1" applyFill="1" applyAlignment="1">
      <alignment horizontal="left" vertical="top"/>
    </xf>
    <xf numFmtId="0" fontId="8" fillId="0" borderId="1" xfId="0" applyFont="1" applyFill="1" applyBorder="1" applyAlignment="1" applyProtection="1">
      <alignment horizontal="right"/>
    </xf>
    <xf numFmtId="0" fontId="3" fillId="0" borderId="0" xfId="0" applyFont="1" applyFill="1" applyAlignment="1">
      <alignment vertical="top"/>
    </xf>
    <xf numFmtId="0" fontId="11" fillId="0" borderId="0" xfId="0" applyFont="1"/>
    <xf numFmtId="0" fontId="12" fillId="0" borderId="0" xfId="1" applyFont="1"/>
    <xf numFmtId="0" fontId="13" fillId="3" borderId="0" xfId="0" applyFont="1" applyFill="1" applyAlignment="1"/>
    <xf numFmtId="0" fontId="14" fillId="0" borderId="0" xfId="0" applyNumberFormat="1" applyFont="1" applyAlignment="1"/>
    <xf numFmtId="3" fontId="8" fillId="4" borderId="1" xfId="0" applyNumberFormat="1" applyFont="1" applyFill="1" applyBorder="1" applyAlignment="1" applyProtection="1">
      <alignment horizontal="right" vertical="center"/>
    </xf>
    <xf numFmtId="0" fontId="6" fillId="0" borderId="0" xfId="0" applyFont="1" applyAlignment="1">
      <alignment horizontal="right"/>
    </xf>
    <xf numFmtId="3" fontId="8" fillId="0" borderId="1" xfId="0" applyNumberFormat="1" applyFont="1" applyFill="1" applyBorder="1" applyAlignment="1" applyProtection="1">
      <alignment horizontal="right"/>
    </xf>
    <xf numFmtId="0" fontId="14" fillId="0" borderId="0" xfId="0" applyFont="1" applyAlignment="1">
      <alignment horizontal="center"/>
    </xf>
    <xf numFmtId="0" fontId="8" fillId="5" borderId="2" xfId="0" applyFont="1" applyFill="1" applyBorder="1" applyAlignment="1" applyProtection="1">
      <alignment horizontal="right"/>
    </xf>
    <xf numFmtId="0" fontId="12" fillId="3" borderId="0" xfId="1" applyFont="1" applyFill="1"/>
    <xf numFmtId="164" fontId="8" fillId="6" borderId="1" xfId="0" applyNumberFormat="1" applyFont="1" applyFill="1" applyBorder="1" applyAlignment="1" applyProtection="1">
      <alignment horizontal="right"/>
    </xf>
    <xf numFmtId="0" fontId="8" fillId="0" borderId="2" xfId="0" applyFont="1" applyBorder="1" applyAlignment="1" applyProtection="1">
      <alignment horizontal="right"/>
    </xf>
    <xf numFmtId="0" fontId="14" fillId="0" borderId="0" xfId="0" applyFont="1"/>
    <xf numFmtId="164" fontId="8" fillId="4" borderId="1" xfId="0" applyNumberFormat="1" applyFont="1" applyFill="1" applyBorder="1" applyAlignment="1" applyProtection="1">
      <alignment horizontal="right" vertical="center"/>
    </xf>
    <xf numFmtId="0" fontId="15" fillId="7" borderId="3" xfId="0" quotePrefix="1" applyFont="1" applyFill="1" applyBorder="1" applyAlignment="1" applyProtection="1"/>
    <xf numFmtId="164" fontId="8" fillId="6" borderId="1" xfId="0" quotePrefix="1" applyNumberFormat="1" applyFont="1" applyFill="1" applyBorder="1" applyAlignment="1" applyProtection="1">
      <alignment horizontal="center"/>
    </xf>
    <xf numFmtId="0" fontId="16" fillId="0" borderId="0" xfId="0" applyFont="1"/>
    <xf numFmtId="0" fontId="8" fillId="5" borderId="4" xfId="0" applyFont="1" applyFill="1" applyBorder="1" applyAlignment="1" applyProtection="1">
      <alignment horizontal="right"/>
    </xf>
    <xf numFmtId="0" fontId="8" fillId="0" borderId="2" xfId="0" applyFont="1" applyBorder="1" applyAlignment="1" applyProtection="1">
      <alignment horizontal="center"/>
    </xf>
    <xf numFmtId="0" fontId="8" fillId="0" borderId="4" xfId="0" applyFont="1" applyBorder="1" applyAlignment="1" applyProtection="1">
      <alignment horizontal="right"/>
    </xf>
    <xf numFmtId="0" fontId="17" fillId="0" borderId="0" xfId="0" applyFont="1"/>
    <xf numFmtId="0" fontId="0" fillId="0" borderId="0" xfId="0" applyFont="1"/>
    <xf numFmtId="2" fontId="14" fillId="0" borderId="0" xfId="0" applyNumberFormat="1" applyFont="1"/>
    <xf numFmtId="0" fontId="12" fillId="8" borderId="0" xfId="1" applyFont="1" applyFill="1"/>
    <xf numFmtId="0" fontId="3" fillId="0" borderId="0" xfId="0" quotePrefix="1" applyFont="1" applyFill="1" applyAlignment="1">
      <alignment horizontal="left" vertical="top"/>
    </xf>
    <xf numFmtId="3" fontId="8" fillId="9" borderId="1" xfId="0" applyNumberFormat="1" applyFont="1" applyFill="1" applyBorder="1" applyAlignment="1" applyProtection="1">
      <alignment horizontal="right"/>
    </xf>
    <xf numFmtId="0" fontId="8" fillId="9" borderId="1" xfId="0" applyFont="1" applyFill="1" applyBorder="1" applyAlignment="1" applyProtection="1">
      <alignment horizontal="right"/>
    </xf>
    <xf numFmtId="3" fontId="16" fillId="0" borderId="5" xfId="0" applyNumberFormat="1" applyFont="1" applyFill="1" applyBorder="1" applyAlignment="1"/>
    <xf numFmtId="0" fontId="14" fillId="0" borderId="0" xfId="0" applyNumberFormat="1" applyFont="1" applyFill="1" applyBorder="1" applyAlignment="1"/>
    <xf numFmtId="164" fontId="8" fillId="0" borderId="2" xfId="0" applyNumberFormat="1" applyFont="1" applyBorder="1" applyAlignment="1" applyProtection="1">
      <alignment horizontal="right"/>
    </xf>
    <xf numFmtId="0" fontId="9" fillId="2" borderId="6" xfId="1" applyFont="1" applyFill="1" applyBorder="1" applyAlignment="1">
      <alignment horizontal="center"/>
    </xf>
    <xf numFmtId="3" fontId="14" fillId="10" borderId="0" xfId="0" applyNumberFormat="1" applyFont="1" applyFill="1" applyAlignment="1"/>
    <xf numFmtId="0" fontId="0" fillId="0" borderId="0" xfId="0" applyFont="1" applyFill="1" applyAlignment="1"/>
    <xf numFmtId="164" fontId="8" fillId="11" borderId="2" xfId="0" applyNumberFormat="1" applyFont="1" applyFill="1" applyBorder="1" applyAlignment="1" applyProtection="1">
      <alignment horizontal="right"/>
    </xf>
    <xf numFmtId="0" fontId="14" fillId="0" borderId="0" xfId="0" quotePrefix="1" applyFont="1"/>
    <xf numFmtId="0" fontId="18" fillId="0" borderId="0" xfId="0" applyFont="1"/>
    <xf numFmtId="0" fontId="8" fillId="0" borderId="2" xfId="0" applyFont="1" applyBorder="1" applyAlignment="1" applyProtection="1">
      <alignment horizontal="right" wrapText="1"/>
    </xf>
    <xf numFmtId="3" fontId="14" fillId="0" borderId="0" xfId="0" applyNumberFormat="1" applyFont="1" applyAlignment="1"/>
    <xf numFmtId="3" fontId="14" fillId="8" borderId="0" xfId="0" applyNumberFormat="1" applyFont="1" applyFill="1" applyAlignment="1"/>
    <xf numFmtId="0" fontId="19" fillId="0" borderId="0" xfId="0" applyFont="1"/>
    <xf numFmtId="0" fontId="14" fillId="0" borderId="0" xfId="0" quotePrefix="1" applyFont="1" applyFill="1"/>
    <xf numFmtId="0" fontId="3" fillId="0" borderId="0" xfId="0" quotePrefix="1" applyFont="1" applyFill="1" applyAlignment="1"/>
    <xf numFmtId="0" fontId="16" fillId="0" borderId="5" xfId="0" quotePrefix="1" applyFont="1" applyFill="1" applyBorder="1" applyAlignment="1"/>
    <xf numFmtId="0" fontId="6" fillId="0" borderId="0" xfId="0" applyFont="1" applyAlignment="1">
      <alignment horizontal="center"/>
    </xf>
    <xf numFmtId="0" fontId="16" fillId="0" borderId="5" xfId="0" applyFont="1" applyFill="1" applyBorder="1" applyAlignment="1">
      <alignment vertical="center"/>
    </xf>
    <xf numFmtId="0" fontId="14" fillId="8" borderId="0" xfId="0" applyNumberFormat="1" applyFont="1" applyFill="1" applyAlignment="1"/>
    <xf numFmtId="0" fontId="14" fillId="0" borderId="0" xfId="0" applyNumberFormat="1" applyFont="1"/>
    <xf numFmtId="0" fontId="16" fillId="0" borderId="5" xfId="0" quotePrefix="1" applyFont="1" applyFill="1" applyBorder="1" applyAlignment="1">
      <alignment horizontal="right"/>
    </xf>
    <xf numFmtId="0" fontId="8" fillId="0" borderId="4" xfId="0" applyFont="1" applyBorder="1" applyAlignment="1" applyProtection="1">
      <alignment horizontal="right" wrapText="1"/>
    </xf>
    <xf numFmtId="0" fontId="14" fillId="0" borderId="0" xfId="0" applyFont="1" applyFill="1" applyBorder="1" applyAlignment="1">
      <alignment vertical="center"/>
    </xf>
    <xf numFmtId="164" fontId="8" fillId="11" borderId="2" xfId="0" applyNumberFormat="1" applyFont="1" applyFill="1" applyBorder="1" applyAlignment="1" applyProtection="1">
      <alignment horizontal="center"/>
    </xf>
    <xf numFmtId="0" fontId="14" fillId="8" borderId="0" xfId="0" applyFont="1" applyFill="1"/>
    <xf numFmtId="0" fontId="8" fillId="0" borderId="1" xfId="0" quotePrefix="1" applyFont="1" applyBorder="1" applyAlignment="1" applyProtection="1"/>
    <xf numFmtId="165" fontId="14" fillId="0" borderId="0" xfId="0" applyNumberFormat="1" applyFont="1"/>
    <xf numFmtId="0" fontId="3" fillId="0" borderId="0" xfId="0" quotePrefix="1" applyFont="1" applyFill="1" applyAlignment="1">
      <alignment vertical="top"/>
    </xf>
    <xf numFmtId="0" fontId="18" fillId="0" borderId="0" xfId="0" applyFont="1" applyFill="1" applyAlignment="1"/>
    <xf numFmtId="3" fontId="14" fillId="12" borderId="0" xfId="0" applyNumberFormat="1" applyFont="1" applyFill="1" applyAlignment="1"/>
    <xf numFmtId="164" fontId="8" fillId="0" borderId="4" xfId="0" applyNumberFormat="1" applyFont="1" applyBorder="1" applyAlignment="1" applyProtection="1">
      <alignment horizontal="right"/>
    </xf>
    <xf numFmtId="0" fontId="5" fillId="0" borderId="0" xfId="0" applyFont="1" applyFill="1" applyBorder="1" applyAlignment="1">
      <alignment vertical="center"/>
    </xf>
    <xf numFmtId="0" fontId="8" fillId="13" borderId="7" xfId="0" applyFont="1" applyFill="1" applyBorder="1" applyAlignment="1" applyProtection="1">
      <alignment vertical="center"/>
    </xf>
    <xf numFmtId="3" fontId="5" fillId="0" borderId="0" xfId="0" applyNumberFormat="1" applyFont="1" applyFill="1" applyAlignment="1"/>
    <xf numFmtId="0" fontId="8" fillId="13" borderId="1" xfId="0" applyFont="1" applyFill="1" applyBorder="1" applyAlignment="1" applyProtection="1">
      <alignment vertical="center"/>
    </xf>
    <xf numFmtId="0" fontId="8" fillId="0" borderId="1" xfId="0" applyFont="1" applyFill="1" applyBorder="1" applyAlignment="1" applyProtection="1">
      <alignment vertical="center"/>
    </xf>
    <xf numFmtId="0" fontId="8" fillId="4" borderId="1" xfId="0" applyFont="1" applyFill="1" applyBorder="1" applyAlignment="1" applyProtection="1">
      <alignment vertical="center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3697820</xdr:colOff>
      <xdr:row>8</xdr:row>
      <xdr:rowOff>0</xdr:rowOff>
    </xdr:from>
    <xdr:to>
      <xdr:col>5</xdr:col>
      <xdr:colOff>281181</xdr:colOff>
      <xdr:row>9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7820" y="153987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8</xdr:row>
      <xdr:rowOff>189865</xdr:rowOff>
    </xdr:from>
    <xdr:to>
      <xdr:col>5</xdr:col>
      <xdr:colOff>281181</xdr:colOff>
      <xdr:row>9</xdr:row>
      <xdr:rowOff>189865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172974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9</xdr:row>
      <xdr:rowOff>189865</xdr:rowOff>
    </xdr:from>
    <xdr:to>
      <xdr:col>5</xdr:col>
      <xdr:colOff>281181</xdr:colOff>
      <xdr:row>11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191960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11</xdr:row>
      <xdr:rowOff>0</xdr:rowOff>
    </xdr:from>
    <xdr:to>
      <xdr:col>5</xdr:col>
      <xdr:colOff>281181</xdr:colOff>
      <xdr:row>11</xdr:row>
      <xdr:rowOff>189865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210947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12</xdr:row>
      <xdr:rowOff>0</xdr:rowOff>
    </xdr:from>
    <xdr:to>
      <xdr:col>5</xdr:col>
      <xdr:colOff>281181</xdr:colOff>
      <xdr:row>13</xdr:row>
      <xdr:rowOff>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229933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13</xdr:row>
      <xdr:rowOff>0</xdr:rowOff>
    </xdr:from>
    <xdr:to>
      <xdr:col>5</xdr:col>
      <xdr:colOff>281181</xdr:colOff>
      <xdr:row>14</xdr:row>
      <xdr:rowOff>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248920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39"/>
  <sheetViews>
    <sheetView tabSelected="1" workbookViewId="0"/>
  </sheetViews>
  <sheetFormatPr defaultColWidth="11.42578125" defaultRowHeight="14.95"/>
  <cols>
    <col min="1" max="1" width="50.7109375" style="36" customWidth="1"/>
    <col min="2" max="10" width="11.7109375" customWidth="1"/>
    <col min="11" max="11" width="11.28515625" customWidth="1"/>
    <col min="12" max="12" width="9.85546875" customWidth="1"/>
    <col min="13" max="13" width="7.28515625" customWidth="1"/>
    <col min="14" max="14" width="11.28515625" customWidth="1"/>
    <col min="15" max="15" width="9.85546875" customWidth="1"/>
    <col min="16" max="16" width="7.28515625" customWidth="1"/>
    <col min="17" max="17" width="11.28515625" customWidth="1"/>
    <col min="18" max="18" width="7.28515625" customWidth="1"/>
    <col min="19" max="19" width="11.28515625" customWidth="1"/>
    <col min="20" max="20" width="9.85546875" customWidth="1"/>
    <col min="21" max="21" width="7.28515625" customWidth="1"/>
    <col min="22" max="22" width="11.28515625" customWidth="1"/>
    <col min="23" max="23" width="9.85546875" customWidth="1"/>
    <col min="24" max="24" width="7.28515625" customWidth="1"/>
    <col min="25" max="25" width="11.28515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10" t="s">
        <v>18</v>
      </c>
      <c s="10"/>
      <c s="10"/>
      <c s="10"/>
      <c s="10"/>
      <c s="6"/>
    </row>
    <row s="50" customFormat="1">
      <c s="7" t="s">
        <v>80</v>
      </c>
      <c s="7"/>
      <c s="7"/>
      <c s="7"/>
      <c s="7"/>
      <c s="70"/>
    </row>
    <row ht="15" customHeight="1" s="50" customFormat="1">
      <c s="39" t="s">
        <v>65</v>
      </c>
      <c s="12"/>
      <c s="12"/>
      <c s="12"/>
      <c s="12"/>
      <c s="70"/>
    </row>
    <row s="50" customFormat="1">
      <c s="2" t="s">
        <v>108</v>
      </c>
      <c s="2"/>
      <c s="2"/>
      <c s="2"/>
      <c s="2"/>
      <c s="2"/>
      <c s="2"/>
      <c s="2"/>
      <c s="2"/>
    </row>
    <row s="50" customFormat="1">
      <c s="2" t="s">
        <v>37</v>
      </c>
      <c s="2"/>
      <c s="2"/>
      <c s="2"/>
      <c s="2"/>
      <c s="2"/>
      <c s="2"/>
      <c s="2"/>
      <c s="2"/>
    </row>
    <row ht="15" customHeight="1">
      <c s="56" t="s">
        <v>99</v>
      </c>
      <c s="11"/>
      <c s="11"/>
      <c s="11"/>
      <c s="11"/>
      <c s="11"/>
    </row>
    <row>
      <c s="69" t="s">
        <v>79</v>
      </c>
      <c s="14"/>
      <c s="14"/>
      <c s="14"/>
      <c s="14"/>
      <c s="6"/>
    </row>
    <row ht="16.5" customHeight="1">
      <c s="47"/>
      <c s="6"/>
      <c s="6"/>
      <c s="6"/>
      <c s="6"/>
      <c s="6"/>
    </row>
    <row>
      <c s="29" t="s">
        <v>3</v>
      </c>
      <c s="67" t="s">
        <v>11</v>
      </c>
      <c r="F9" t="s">
        <v>30</v>
      </c>
    </row>
    <row>
      <c s="29" t="s">
        <v>59</v>
      </c>
      <c s="67" t="s">
        <v>25</v>
      </c>
      <c r="F10" t="s">
        <v>30</v>
      </c>
    </row>
    <row>
      <c s="29" t="s">
        <v>17</v>
      </c>
      <c s="67" t="s">
        <v>25</v>
      </c>
      <c r="F11" t="s">
        <v>30</v>
      </c>
    </row>
    <row>
      <c s="29" t="s">
        <v>74</v>
      </c>
      <c s="67" t="s">
        <v>25</v>
      </c>
      <c r="F12" t="s">
        <v>30</v>
      </c>
    </row>
    <row>
      <c s="29" t="s">
        <v>51</v>
      </c>
      <c s="67" t="s">
        <v>25</v>
      </c>
      <c r="F13" t="s">
        <v>30</v>
      </c>
    </row>
    <row>
      <c s="29" t="s">
        <v>81</v>
      </c>
      <c s="67" t="s">
        <v>25</v>
      </c>
      <c r="F14" t="s">
        <v>30</v>
      </c>
    </row>
    <row ht="15" hidden="1">
      <c s="29" t="s">
        <v>66</v>
      </c>
      <c s="67" t="s">
        <v>10</v>
      </c>
    </row>
    <row ht="15" hidden="1">
      <c s="29" t="s">
        <v>50</v>
      </c>
      <c s="67" t="s">
        <v>19</v>
      </c>
    </row>
    <row>
      <c/>
    </row>
    <row>
      <c/>
    </row>
    <row>
      <c/>
      <c s="8" t="s">
        <v>1</v>
      </c>
      <c s="8"/>
      <c s="8"/>
      <c s="8"/>
      <c s="8"/>
    </row>
    <row ht="15" customHeight="1">
      <c/>
      <c s="8" t="s">
        <v>12</v>
      </c>
      <c s="8"/>
      <c s="8"/>
      <c s="30" t="s">
        <v>67</v>
      </c>
      <c s="30"/>
    </row>
    <row>
      <c s="29" t="s">
        <v>0</v>
      </c>
      <c s="13" t="s">
        <v>4</v>
      </c>
      <c s="13" t="s">
        <v>39</v>
      </c>
      <c s="41" t="s">
        <v>25</v>
      </c>
      <c s="13" t="s">
        <v>4</v>
      </c>
      <c s="13" t="s">
        <v>39</v>
      </c>
    </row>
    <row>
      <c s="77" t="s">
        <v>21</v>
      </c>
      <c s="21">
        <v>55827.09227999991</v>
      </c>
      <c s="21">
        <v>33757.054249999979</v>
      </c>
      <c s="40">
        <v>89584.146529999794</v>
      </c>
      <c s="25">
        <v>0.62318048943296711</v>
      </c>
      <c s="25">
        <v>0.376819510567034</v>
      </c>
    </row>
    <row>
      <c s="77" t="s">
        <v>83</v>
      </c>
      <c s="21">
        <v>16283.834449999982</v>
      </c>
      <c s="21">
        <v>9618.8171499999899</v>
      </c>
      <c s="40">
        <v>25902.651600000001</v>
      </c>
      <c s="25">
        <v>0.62865511614262615</v>
      </c>
      <c s="25">
        <v>0.37134488385737269</v>
      </c>
    </row>
    <row>
      <c s="77" t="s">
        <v>53</v>
      </c>
      <c s="21">
        <v>15379.543699999998</v>
      </c>
      <c s="21">
        <v>13637.305499999995</v>
      </c>
      <c s="40">
        <v>29016.849199999993</v>
      </c>
      <c s="25">
        <v>0.53002114716162918</v>
      </c>
      <c s="25">
        <v>0.46997885283837082</v>
      </c>
    </row>
    <row>
      <c s="77" t="s">
        <v>94</v>
      </c>
      <c s="21">
        <v>4188.0000000000009</v>
      </c>
      <c s="21">
        <v>3292</v>
      </c>
      <c s="40">
        <v>7480</v>
      </c>
      <c s="25">
        <v>0.5598930481283424</v>
      </c>
      <c s="25">
        <v>0.44010695187165777</v>
      </c>
    </row>
    <row>
      <c s="77" t="s">
        <v>52</v>
      </c>
      <c s="21">
        <v>2377.3110000000015</v>
      </c>
      <c s="21">
        <v>1835.6496000000006</v>
      </c>
      <c s="40">
        <v>4212.9606000000049</v>
      </c>
      <c s="25">
        <v>0.56428512528695352</v>
      </c>
      <c s="25">
        <v>0.43571487471304587</v>
      </c>
    </row>
    <row>
      <c s="77" t="s">
        <v>38</v>
      </c>
      <c s="21">
        <v>2118.5</v>
      </c>
      <c s="21">
        <v>1624</v>
      </c>
      <c s="40">
        <v>3742.5</v>
      </c>
      <c s="25">
        <v>0.566065464261857</v>
      </c>
      <c s="25">
        <v>0.43393453573814295</v>
      </c>
    </row>
    <row>
      <c s="77" t="s">
        <v>93</v>
      </c>
      <c s="21">
        <v>8771.5398499999974</v>
      </c>
      <c s="21">
        <v>4937.8255999999965</v>
      </c>
      <c s="40">
        <v>13709.36545000001</v>
      </c>
      <c s="25">
        <v>0.63982099550785487</v>
      </c>
      <c s="25">
        <v>0.36017900449214391</v>
      </c>
    </row>
    <row>
      <c s="77" t="s">
        <v>100</v>
      </c>
      <c s="21">
        <v>8359.8334400000022</v>
      </c>
      <c s="21">
        <v>18273.333500000001</v>
      </c>
      <c s="40">
        <v>26633.166940000003</v>
      </c>
      <c s="25">
        <v>0.31388807267394392</v>
      </c>
      <c s="25">
        <v>0.68611192732605608</v>
      </c>
    </row>
    <row>
      <c s="77" t="s">
        <v>60</v>
      </c>
      <c s="21">
        <v>4279.2666000000017</v>
      </c>
      <c s="21">
        <v>9871.3023500000036</v>
      </c>
      <c s="40">
        <v>14150.568949999997</v>
      </c>
      <c s="25">
        <v>0.30240950841768116</v>
      </c>
      <c s="25">
        <v>0.69759049158231945</v>
      </c>
    </row>
    <row>
      <c s="77" t="s">
        <v>43</v>
      </c>
      <c s="21">
        <v>758</v>
      </c>
      <c s="21">
        <v>2054</v>
      </c>
      <c s="40">
        <v>2812</v>
      </c>
      <c s="25">
        <v>0.26955903271692744</v>
      </c>
      <c s="25">
        <v>0.73044096728307251</v>
      </c>
    </row>
    <row>
      <c s="77" t="s">
        <v>92</v>
      </c>
      <c s="21">
        <v>5537.9432799999995</v>
      </c>
      <c s="21">
        <v>4998.4632499999998</v>
      </c>
      <c s="40">
        <v>10536.406530000004</v>
      </c>
      <c s="25">
        <v>0.52560076001547351</v>
      </c>
      <c s="25">
        <v>0.4743992399845261</v>
      </c>
    </row>
    <row>
      <c s="77" t="s">
        <v>42</v>
      </c>
      <c s="21">
        <v>1737.7899999999997</v>
      </c>
      <c s="21">
        <v>449.15000000000003</v>
      </c>
      <c s="40">
        <v>2186.9399999999996</v>
      </c>
      <c s="25">
        <v>0.79462170887175687</v>
      </c>
      <c s="25">
        <v>0.20537829112824316</v>
      </c>
    </row>
    <row>
      <c s="77" t="s">
        <v>2</v>
      </c>
      <c s="21">
        <v>10251</v>
      </c>
      <c s="21">
        <v>11936</v>
      </c>
      <c s="40">
        <v>22187</v>
      </c>
      <c s="25">
        <v>0.46202731329156715</v>
      </c>
      <c s="25">
        <v>0.5379726867084329</v>
      </c>
    </row>
    <row>
      <c s="77" t="s">
        <v>91</v>
      </c>
      <c s="21">
        <v>10214.116500000009</v>
      </c>
      <c s="21">
        <v>11351.562750000012</v>
      </c>
      <c s="40">
        <v>21565.679250000059</v>
      </c>
      <c s="25">
        <v>0.47362832311437542</v>
      </c>
      <c s="25">
        <v>0.52637167688562281</v>
      </c>
    </row>
    <row>
      <c s="77" t="s">
        <v>27</v>
      </c>
      <c s="21">
        <v>4884.2064499999915</v>
      </c>
      <c s="21">
        <v>3124.1696000000002</v>
      </c>
      <c s="40">
        <v>8008.376049999978</v>
      </c>
      <c s="25">
        <v>0.60988725048694548</v>
      </c>
      <c s="25">
        <v>0.39011274951305625</v>
      </c>
    </row>
    <row>
      <c s="77" t="s">
        <v>20</v>
      </c>
      <c s="21">
        <v>1249</v>
      </c>
      <c s="21">
        <v>683.5</v>
      </c>
      <c s="40">
        <v>1932.5</v>
      </c>
      <c s="25">
        <v>0.64631306597671412</v>
      </c>
      <c s="25">
        <v>0.35368693402328588</v>
      </c>
    </row>
    <row>
      <c s="77" t="s">
        <v>13</v>
      </c>
      <c s="21">
        <v>1482</v>
      </c>
      <c s="21">
        <v>1309.5</v>
      </c>
      <c s="40">
        <v>2791.5</v>
      </c>
      <c s="25">
        <v>0.53089736700698553</v>
      </c>
      <c s="25">
        <v>0.46910263299301452</v>
      </c>
    </row>
    <row>
      <c s="77" t="s">
        <v>26</v>
      </c>
      <c s="21">
        <v>1021.2687499999995</v>
      </c>
      <c s="21">
        <v>614.15044999999998</v>
      </c>
      <c s="40">
        <v>1635.4192000000005</v>
      </c>
      <c s="25">
        <v>0.62446909636379422</v>
      </c>
      <c s="25">
        <v>0.37553090363620517</v>
      </c>
    </row>
    <row>
      <c s="77" t="s">
        <v>82</v>
      </c>
      <c s="21">
        <v>812.80045000000018</v>
      </c>
      <c s="21">
        <v>885.80610000000013</v>
      </c>
      <c s="40">
        <v>1698.60655</v>
      </c>
      <c s="25">
        <v>0.47851013526351949</v>
      </c>
      <c s="25">
        <v>0.52148986473648073</v>
      </c>
    </row>
    <row>
      <c s="77" t="s">
        <v>73</v>
      </c>
      <c s="21">
        <v>906.31489999999997</v>
      </c>
      <c s="21">
        <v>462.60935000000001</v>
      </c>
      <c s="40">
        <v>1368.92425</v>
      </c>
      <c s="25">
        <v>0.6620635875213694</v>
      </c>
      <c s="25">
        <v>0.3379364124786306</v>
      </c>
    </row>
    <row>
      <c s="77" t="s">
        <v>75</v>
      </c>
      <c s="21">
        <v>1112.5</v>
      </c>
      <c s="21">
        <v>538.5</v>
      </c>
      <c s="40">
        <v>1651</v>
      </c>
      <c s="25">
        <v>0.67383403997577229</v>
      </c>
      <c s="25">
        <v>0.32616596002422776</v>
      </c>
    </row>
    <row>
      <c s="77" t="s">
        <v>44</v>
      </c>
      <c s="21">
        <v>23</v>
      </c>
      <c s="21">
        <v>14</v>
      </c>
      <c s="40">
        <v>37</v>
      </c>
      <c s="25">
        <v>0.6216216216216216</v>
      </c>
      <c s="25">
        <v>0.3783783783783784</v>
      </c>
    </row>
    <row>
      <c s="77" t="s">
        <v>68</v>
      </c>
      <c s="21">
        <v>5</v>
      </c>
      <c s="21">
        <v>7</v>
      </c>
      <c s="40">
        <v>12</v>
      </c>
      <c s="25">
        <v>0.41666666666666669</v>
      </c>
      <c s="25">
        <v>0.58333333333333337</v>
      </c>
    </row>
    <row>
      <c s="78" t="s">
        <v>25</v>
      </c>
      <c s="19">
        <v>157579.86165000009</v>
      </c>
      <c s="19">
        <v>135275.6994500001</v>
      </c>
      <c s="19">
        <v>292855.56110000011</v>
      </c>
      <c s="28">
        <v>0.53808048260415986</v>
      </c>
      <c s="28">
        <v>0.46191951739584042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73"/>
      <c s="3"/>
      <c s="3"/>
      <c s="3"/>
      <c s="3"/>
      <c s="3"/>
      <c s="3"/>
      <c s="3"/>
      <c s="3"/>
      <c s="3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5">
    <mergeCell ref="A4:I4"/>
    <mergeCell ref="A5:I5"/>
    <mergeCell ref="B19:F19"/>
    <mergeCell ref="B20:D20"/>
    <mergeCell ref="E20:F20"/>
  </mergeCells>
  <pageMargins left="0.70866141732283472" right="0.70866141732283472" top="0.78740157480314965" bottom="0.78740157480314965" header="0.31496062992125984" footer="0.31496062992125984"/>
  <pageSetup paperSize="9" scale="77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6"/>
  <sheetViews>
    <sheetView workbookViewId="0">
      <selection activeCell="E32" sqref="E32"/>
    </sheetView>
  </sheetViews>
  <sheetFormatPr defaultColWidth="9.140625" defaultRowHeight="13.6"/>
  <cols>
    <col min="1" max="1" width="13.5703125" style="27" customWidth="1"/>
    <col min="2" max="2" width="40.85546875" style="27" customWidth="1"/>
    <col min="3" max="3" width="28.140625" style="27" customWidth="1"/>
    <col min="4" max="4" width="16.28515625" style="27" customWidth="1"/>
    <col min="5" max="5" width="19.42578125" style="27" customWidth="1"/>
    <col min="6" max="6" width="11.140625" style="27" customWidth="1"/>
    <col min="7" max="7" width="9.140625" style="27" customWidth="1"/>
    <col min="8" max="8" width="17.28515625" style="27" customWidth="1"/>
    <col min="9" max="9" width="19.5703125" style="27" customWidth="1"/>
    <col min="10" max="12" width="12.42578125" style="27" customWidth="1"/>
    <col min="13" max="13" width="16" style="27" customWidth="1"/>
    <col min="14" max="14" width="14.28515625" style="27" customWidth="1"/>
    <col min="15" max="15" width="18.28515625" style="27" customWidth="1"/>
    <col min="16" max="25" width="9.140625" style="27" customWidth="1"/>
    <col min="26" max="26" width="9.140625" style="27" hidden="1" customWidth="1"/>
    <col min="27" max="27" width="9.140625" style="27" customWidth="1"/>
    <col min="28" max="16384" width="9.140625" style="27"/>
  </cols>
  <sheetData>
    <row>
      <c s="61"/>
      <c r="H1" s="68">
        <v>129806172700000000</v>
      </c>
      <c r="Z1" s="37" t="b">
        <f>0=1</f>
        <v>0</v>
      </c>
    </row>
    <row>
      <c r="Z2" s="37" t="b">
        <f>1=1</f>
        <v>1</v>
      </c>
    </row>
    <row>
      <c r="Z3" s="37"/>
    </row>
    <row>
      <c r="I4" s="27" t="s">
        <v>40</v>
      </c>
      <c s="45" t="s">
        <v>76</v>
      </c>
      <c s="9"/>
      <c s="9"/>
      <c s="9"/>
      <c s="9"/>
      <c s="9"/>
    </row>
    <row>
      <c r="J5" s="24" t="s">
        <v>31</v>
      </c>
      <c s="16" t="s">
        <v>54</v>
      </c>
      <c s="16" t="s">
        <v>69</v>
      </c>
      <c s="24" t="s">
        <v>102</v>
      </c>
      <c s="38" t="s">
        <v>84</v>
      </c>
      <c s="16" t="s">
        <v>5</v>
      </c>
    </row>
    <row>
      <c r="B6" s="20" t="s">
        <v>85</v>
      </c>
      <c s="17" t="s">
        <v>95</v>
      </c>
      <c s="57" t="s">
        <v>14</v>
      </c>
      <c s="5" t="s">
        <v>55</v>
      </c>
    </row>
    <row>
      <c r="C7" s="15"/>
      <c s="31" t="s">
        <v>15</v>
      </c>
      <c s="5" t="s">
        <v>61</v>
      </c>
    </row>
    <row>
      <c r="C8" s="31" t="s">
        <v>6</v>
      </c>
      <c s="15"/>
    </row>
    <row>
      <c r="C9" s="15"/>
      <c s="17" t="s">
        <v>32</v>
      </c>
      <c s="54"/>
    </row>
    <row>
      <c r="C10" s="17" t="s">
        <v>45</v>
      </c>
      <c s="62" t="s">
        <v>70</v>
      </c>
      <c s="5" t="s">
        <v>22</v>
      </c>
    </row>
    <row>
      <c r="B11" s="20" t="s">
        <v>56</v>
      </c>
      <c s="59" t="s">
        <v>46</v>
      </c>
      <c s="42">
        <v>60398</v>
      </c>
      <c s="5" t="s">
        <v>33</v>
      </c>
    </row>
    <row>
      <c r="B12" s="20"/>
      <c s="64"/>
      <c s="43"/>
      <c s="58" t="s">
        <v>77</v>
      </c>
    </row>
    <row>
      <c r="B13" s="20" t="s">
        <v>47</v>
      </c>
      <c s="66" t="s">
        <v>28</v>
      </c>
      <c s="53">
        <v>1212</v>
      </c>
      <c s="27" t="b">
        <v>0</v>
      </c>
      <c s="5" t="s">
        <v>71</v>
      </c>
    </row>
    <row ht="12.75" hidden="1">
      <c r="B14" s="20"/>
      <c s="66"/>
      <c s="60"/>
      <c s="27" t="b">
        <v>0</v>
      </c>
    </row>
    <row>
      <c r="B15" s="20" t="s">
        <v>96</v>
      </c>
      <c s="27" t="s">
        <v>101</v>
      </c>
      <c s="52">
        <v>1212</v>
      </c>
      <c s="27" t="b">
        <v>0</v>
      </c>
      <c s="5" t="s">
        <v>29</v>
      </c>
    </row>
    <row ht="12.75" hidden="1">
      <c r="B16" s="20"/>
      <c r="D16" s="18"/>
      <c s="27" t="b">
        <v>0</v>
      </c>
      <c s="5"/>
    </row>
    <row>
      <c r="B17" s="20"/>
      <c s="27" t="s">
        <v>34</v>
      </c>
      <c s="46">
        <v>3434</v>
      </c>
      <c s="27" t="b">
        <v>0</v>
      </c>
      <c s="5" t="s">
        <v>72</v>
      </c>
    </row>
    <row>
      <c r="B18" s="20"/>
      <c r="D18" s="18"/>
      <c s="27" t="b">
        <v>0</v>
      </c>
      <c s="5"/>
    </row>
    <row>
      <c r="B19" s="20"/>
      <c s="27" t="s">
        <v>7</v>
      </c>
      <c s="71">
        <v>3434</v>
      </c>
      <c s="27" t="b">
        <v>0</v>
      </c>
      <c s="5" t="s">
        <v>86</v>
      </c>
    </row>
    <row>
      <c r="B20" s="20"/>
      <c r="D20" s="18"/>
      <c s="27" t="b">
        <v>0</v>
      </c>
      <c s="5"/>
    </row>
    <row>
      <c r="B21" s="20"/>
      <c s="27" t="s">
        <v>87</v>
      </c>
      <c s="75">
        <v>5656</v>
      </c>
      <c s="27" t="b">
        <v>0</v>
      </c>
      <c s="5" t="s">
        <v>103</v>
      </c>
    </row>
    <row>
      <c r="B22" s="20"/>
      <c r="E22" s="5"/>
      <c r="I22" s="35"/>
    </row>
    <row>
      <c r="B23" s="22" t="s">
        <v>8</v>
      </c>
      <c s="22"/>
    </row>
    <row>
      <c r="B24" s="4" t="s">
        <v>57</v>
      </c>
      <c s="4" t="s">
        <v>35</v>
      </c>
      <c s="4" t="s">
        <v>16</v>
      </c>
      <c s="4" t="s">
        <v>88</v>
      </c>
      <c s="4"/>
      <c s="4"/>
      <c s="4" t="s">
        <v>104</v>
      </c>
    </row>
    <row>
      <c s="27" t="s">
        <v>62</v>
      </c>
      <c r="C25" s="55" t="s">
        <v>89</v>
      </c>
      <c s="23" t="s">
        <v>25</v>
      </c>
      <c s="32">
        <v>1234.5599999999999</v>
      </c>
      <c s="5" t="s">
        <v>78</v>
      </c>
      <c r="H25" s="27" t="s">
        <v>90</v>
      </c>
    </row>
    <row>
      <c s="27" t="s">
        <v>97</v>
      </c>
      <c r="C26" s="55" t="s">
        <v>89</v>
      </c>
      <c s="26" t="s">
        <v>25</v>
      </c>
      <c s="34">
        <v>1234.5599999999999</v>
      </c>
      <c s="5" t="s">
        <v>63</v>
      </c>
      <c r="H26" s="27" t="s">
        <v>105</v>
      </c>
    </row>
    <row>
      <c r="C27" s="55" t="s">
        <v>89</v>
      </c>
      <c s="23" t="s">
        <v>25</v>
      </c>
      <c s="32">
        <v>1234.5599999999999</v>
      </c>
      <c r="H27" s="27" t="s">
        <v>64</v>
      </c>
    </row>
    <row>
      <c r="C28" s="49" t="s">
        <v>58</v>
      </c>
      <c s="33" t="s">
        <v>1</v>
      </c>
      <c s="26">
        <v>1234.5599999999999</v>
      </c>
      <c r="H28" s="27" t="s">
        <v>36</v>
      </c>
    </row>
    <row>
      <c r="C29" s="49" t="s">
        <v>58</v>
      </c>
      <c s="33" t="s">
        <v>48</v>
      </c>
      <c s="26">
        <v>1234.5599999999999</v>
      </c>
      <c r="H29" s="27" t="s">
        <v>106</v>
      </c>
    </row>
    <row>
      <c r="C30" s="49" t="s">
        <v>58</v>
      </c>
      <c s="33" t="s">
        <v>23</v>
      </c>
      <c s="26">
        <v>1234.5599999999999</v>
      </c>
    </row>
    <row>
      <c r="C31" s="49" t="s">
        <v>9</v>
      </c>
      <c s="33" t="s">
        <v>12</v>
      </c>
      <c s="26">
        <v>1234.5599999999999</v>
      </c>
    </row>
    <row>
      <c r="C32" s="49" t="s">
        <v>9</v>
      </c>
      <c s="65" t="s">
        <v>67</v>
      </c>
      <c s="48">
        <v>1234.5599999999999</v>
      </c>
    </row>
    <row ht="37.45">
      <c r="C33" s="49" t="s">
        <v>107</v>
      </c>
      <c s="51" t="s">
        <v>49</v>
      </c>
      <c s="63">
        <v>1234.5599999999999</v>
      </c>
    </row>
    <row>
      <c r="C34" s="49" t="s">
        <v>107</v>
      </c>
      <c s="51" t="s">
        <v>41</v>
      </c>
      <c s="63">
        <v>1234.5599999999999</v>
      </c>
    </row>
    <row>
      <c r="C35" s="49" t="s">
        <v>107</v>
      </c>
      <c s="44" t="s">
        <v>98</v>
      </c>
      <c s="72">
        <v>1234.5599999999999</v>
      </c>
    </row>
    <row>
      <c r="C36" s="49" t="s">
        <v>24</v>
      </c>
      <c s="74" t="s">
        <v>25</v>
      </c>
      <c s="76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
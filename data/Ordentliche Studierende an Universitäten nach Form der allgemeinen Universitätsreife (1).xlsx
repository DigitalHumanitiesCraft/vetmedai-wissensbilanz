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XLCubedFormats" sheetId="2" state="hidden" r:id="rId2"/>
  </sheets>
  <definedNames>
    <definedName name="_xlnm.Print_Area" localSheetId="0">Tab!$A$1:$I$71</definedName>
    <definedName name="_xlnm.Print_Titles" localSheetId="0">Tab!$18:$19</definedName>
    <definedName name="XL3DisableCameraObjects" hidden="1">XLCubedFormats!A1</definedName>
    <definedName name="XL3ObjLocation9562a449_68a7_448d_8114_3b54ee7e5291">Tab!$A$7</definedName>
  </definedNames>
  <calcPr calcId="40001"/>
</workbook>
</file>

<file path=xl/sharedStrings.xml><?xml version="1.0" encoding="utf-8"?>
<sst xmlns="http://schemas.openxmlformats.org/spreadsheetml/2006/main" uniqueCount="131">
  <si>
    <t>Universität</t>
  </si>
  <si>
    <t>Semester und Datenstichtag</t>
  </si>
  <si>
    <t>Reife/Koop.-Vertrag (Inland)</t>
  </si>
  <si>
    <t>Slicer Button Background</t>
  </si>
  <si>
    <t>Grid Title</t>
  </si>
  <si>
    <t>Oth Written Member</t>
  </si>
  <si>
    <t>Fill in Grid Name, Dimension or Both</t>
  </si>
  <si>
    <t>[ALLG Wertart].[Wertart]</t>
  </si>
  <si>
    <t>Frauen</t>
  </si>
  <si>
    <t>Staatengruppe (Ö, EU, andere)</t>
  </si>
  <si>
    <t>Absolutwert</t>
  </si>
  <si>
    <t>inl. akkred. Privatuniversität</t>
  </si>
  <si>
    <t>IB Diploma (Ausland)</t>
  </si>
  <si>
    <t>All Marital Status</t>
  </si>
  <si>
    <t>Male</t>
  </si>
  <si>
    <t>Member1 Name</t>
  </si>
  <si>
    <t>LEVEL: 1</t>
  </si>
  <si>
    <t>Wintersemester 2024 (Stichtag: 28.02.2025)</t>
  </si>
  <si>
    <t>Anmerkung: Ab dem WS 2016 erfolgt die zähltechnische Abbildung der Studierenden auf Basis des Verteilungsschlüssels gemäß § 22 Abs. 2 UHSBV.</t>
  </si>
  <si>
    <t>Studienberechtigung HStudBerG</t>
  </si>
  <si>
    <t>Frauenoberschule</t>
  </si>
  <si>
    <t>Aufbaurealgymnasium</t>
  </si>
  <si>
    <t>ord. Studierende (PU)</t>
  </si>
  <si>
    <t>&lt;-- default Column Member Format</t>
  </si>
  <si>
    <t>[SU Studierende].[Schulform]</t>
  </si>
  <si>
    <t>Gesamt</t>
  </si>
  <si>
    <t>Oberstufenrealgymnasium</t>
  </si>
  <si>
    <t>keine Reifeprüfung</t>
  </si>
  <si>
    <t>ausl. postsekund.Bildungseinr.</t>
  </si>
  <si>
    <t>Alternate Rows</t>
  </si>
  <si>
    <t>&lt;--  writeable cell format</t>
  </si>
  <si>
    <t xml:space="preserve"> </t>
  </si>
  <si>
    <t>Wirtschaftskundl.Realgymnasium</t>
  </si>
  <si>
    <t>Handelsakademie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</si>
  <si>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</si>
  <si>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</si>
  <si>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</si>
  <si>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</si>
  <si>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</si>
  <si>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</si>
  <si>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Naturwissensch. Realgymnasium</t>
  </si>
  <si>
    <t>inl. FH-Diplom-/MA-Studiengang</t>
  </si>
  <si>
    <t>Gymnasium</t>
  </si>
  <si>
    <t>Externistenreifeprüfung</t>
  </si>
  <si>
    <t>Berufsreifeprüfung</t>
  </si>
  <si>
    <t>Männer</t>
  </si>
  <si>
    <t>Slice Name (Optional)</t>
  </si>
  <si>
    <t>Master-/Diplomst.and.inl.Univ.</t>
  </si>
  <si>
    <t>Bachelorstud. and. inl. Univ.</t>
  </si>
  <si>
    <t>ausl. beschränkte HS-Reife</t>
  </si>
  <si>
    <t>Aufbaumittelschule</t>
  </si>
  <si>
    <t>(Wirtsch.kundl.) RG f.Berufst.</t>
  </si>
  <si>
    <t>Studienberechtigungsprüfung</t>
  </si>
  <si>
    <t>H.techn.u.gewerbl. Lehranstalt</t>
  </si>
  <si>
    <t>gilt als inländisch</t>
  </si>
  <si>
    <t>Europäisches Abitur (Ausland)</t>
  </si>
  <si>
    <t>Bachelorstudium eigene Univ.</t>
  </si>
  <si>
    <t>Customer</t>
  </si>
  <si>
    <t>-All Customer</t>
  </si>
  <si>
    <t>Default Alternate Row Member Format --&gt;</t>
  </si>
  <si>
    <t>Schulform-Gruppe</t>
  </si>
  <si>
    <t>Realistisches Gymnasium</t>
  </si>
  <si>
    <t>Realgymnasium</t>
  </si>
  <si>
    <t>Master-/Diplomst.eigene Univ.</t>
  </si>
  <si>
    <t>Lehrerbildungsanstalt</t>
  </si>
  <si>
    <t>inl. Pädagogische Hochschule</t>
  </si>
  <si>
    <t>Akademie</t>
  </si>
  <si>
    <t>Slicer Item</t>
  </si>
  <si>
    <t>&lt;-- default Slicer Member Format</t>
  </si>
  <si>
    <t>Default Row Member Format --&gt;</t>
  </si>
  <si>
    <t>Grid/Table Name</t>
  </si>
  <si>
    <t>[Measures]</t>
  </si>
  <si>
    <t>Erstzugelassene Studierende</t>
  </si>
  <si>
    <t>Studierende Universitäten</t>
  </si>
  <si>
    <t>IB Diploma (Inland)</t>
  </si>
  <si>
    <t>BA f.Kindergartenpädagogik</t>
  </si>
  <si>
    <t>&lt;-- writeable Slicer Member Format</t>
  </si>
  <si>
    <t>Slice Format 1</t>
  </si>
  <si>
    <t>&lt;-- Gesamtzeile</t>
  </si>
  <si>
    <t>3) Formatierung der Gesamtspalte und -zeile (siehe E25:E26)</t>
  </si>
  <si>
    <t>Ordentliche Studierende an Universitäten nach Form der allgemeinen Universitätsreife</t>
  </si>
  <si>
    <t>BA-Stud.bes.Stud.erf.and.BE</t>
  </si>
  <si>
    <t>(Gesamt) - (Unbekannt, Fehlerhafte Angabe)</t>
  </si>
  <si>
    <t>Frauen-/Männeranteil in %</t>
  </si>
  <si>
    <t>Reifeprüfung nicht relevant</t>
  </si>
  <si>
    <t>Mathematisches Realgymnasium</t>
  </si>
  <si>
    <t>Slicer Button</t>
  </si>
  <si>
    <t>+2009</t>
  </si>
  <si>
    <t>&lt;-- default alternate row cell format</t>
  </si>
  <si>
    <t>&lt;--  written cell format</t>
  </si>
  <si>
    <t>Insgesamt (bereinigt)</t>
  </si>
  <si>
    <t>Schulform-Obergruppe</t>
  </si>
  <si>
    <t>künstler. Zulassungsprüfung</t>
  </si>
  <si>
    <t>inl. postsekund. Bildungseinr.</t>
  </si>
  <si>
    <t>Humanistisches Gymnasium</t>
  </si>
  <si>
    <t>Display Formats For:</t>
  </si>
  <si>
    <t>Enabled?</t>
  </si>
  <si>
    <t>&lt;-- Gesamtspalte</t>
  </si>
  <si>
    <t>Datenprüfung und -aufbereitung: bmfwf, Abt. I/10</t>
  </si>
  <si>
    <t>Schulform</t>
  </si>
  <si>
    <t>Bundesland</t>
  </si>
  <si>
    <t>Neusprachliches Gymnasium</t>
  </si>
  <si>
    <t>Gymnasium für Berufstätige</t>
  </si>
  <si>
    <t>Arbeitermittelschule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</si>
  <si>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</si>
  <si>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</si>
  <si>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</si>
  <si>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</si>
  <si>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</si>
  <si>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</si>
  <si>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</si>
  <si>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Marital Status</t>
  </si>
  <si>
    <t>Default Writeable Member Format --&gt;</t>
  </si>
  <si>
    <t xml:space="preserve">Studierende </t>
  </si>
  <si>
    <t>Slice Format 2</t>
  </si>
  <si>
    <t>Reife/Koop.-Vertrag (Ausland)</t>
  </si>
  <si>
    <t>Quelle: Datenmeldungen der Universitäten auf Basis UHSBV zum jeweiligen Stichtag</t>
  </si>
  <si>
    <t>H.Lehranst. f.wirtsch. Berufe</t>
  </si>
  <si>
    <t>Europäisches Abitur (Inland)</t>
  </si>
  <si>
    <t>ausländische Reifeprüfung</t>
  </si>
  <si>
    <t>Aufbaugymnasium</t>
  </si>
  <si>
    <t>Writeable Member</t>
  </si>
  <si>
    <t>Realschule</t>
  </si>
  <si>
    <t>inl. FH-Bachelorstudiengang</t>
  </si>
  <si>
    <t>H.land- u.forstwirt. Lehranst.</t>
  </si>
  <si>
    <t>BA für Sozialpädagogik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</si>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</sst>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rgb="FF262626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9"/>
      <name val="Tahoma"/>
      <family val="2"/>
    </font>
    <font>
      <sz val="10"/>
      <color rgb="FF000000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14996795556505021"/>
      <name val="Tahoma"/>
      <family val="2"/>
    </font>
    <font>
      <sz val="10"/>
      <color rgb="FF595959"/>
      <name val="Tahoma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indexed="4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rgb="FFFFFFFF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/>
      <right style="hair">
        <color rgb="FFC0C0C0"/>
      </right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4" fillId="0" borderId="0" xfId="0" applyFont="1"/>
    <xf numFmtId="0" fontId="0" fillId="0" borderId="0" xfId="0" applyFill="1" applyAlignment="1"/>
    <xf numFmtId="0" fontId="5" fillId="0" borderId="0" xfId="0" applyFont="1"/>
    <xf numFmtId="0" fontId="6" fillId="0" borderId="1" xfId="0" quotePrefix="1" applyFont="1" applyFill="1" applyBorder="1" applyAlignment="1" applyProtection="1">
      <alignment horizontal="center"/>
    </xf>
    <xf numFmtId="0" fontId="7" fillId="0" borderId="0" xfId="0" applyFont="1" applyFill="1" applyAlignment="1">
      <alignment vertical="top"/>
    </xf>
    <xf numFmtId="0" fontId="8" fillId="0" borderId="0" xfId="0" applyFont="1" applyFill="1" applyAlignment="1">
      <alignment vertical="center"/>
    </xf>
    <xf numFmtId="0" fontId="9" fillId="2" borderId="0" xfId="1" applyFont="1" applyFill="1" applyBorder="1" applyAlignment="1">
      <alignment horizontal="center"/>
    </xf>
    <xf numFmtId="0" fontId="10" fillId="0" borderId="0" xfId="0" applyFont="1" applyFill="1" applyAlignment="1"/>
    <xf numFmtId="0" fontId="10" fillId="0" borderId="0" xfId="0" applyFont="1" applyFill="1" applyAlignment="1">
      <alignment vertical="top"/>
    </xf>
    <xf numFmtId="0" fontId="6" fillId="0" borderId="1" xfId="0" applyFont="1" applyFill="1" applyBorder="1" applyAlignment="1" applyProtection="1">
      <alignment horizontal="right"/>
    </xf>
    <xf numFmtId="0" fontId="6" fillId="0" borderId="2" xfId="0" applyFont="1" applyBorder="1" applyAlignment="1" applyProtection="1">
      <alignment horizontal="right"/>
    </xf>
    <xf numFmtId="0" fontId="11" fillId="0" borderId="0" xfId="1" applyFont="1"/>
    <xf numFmtId="0" fontId="12" fillId="0" borderId="0" xfId="0" applyFont="1"/>
    <xf numFmtId="0" fontId="13" fillId="3" borderId="0" xfId="0" applyFont="1" applyFill="1" applyAlignment="1"/>
    <xf numFmtId="3" fontId="6" fillId="4" borderId="1" xfId="0" applyNumberFormat="1" applyFont="1" applyFill="1" applyBorder="1" applyAlignment="1" applyProtection="1">
      <alignment horizontal="right"/>
    </xf>
    <xf numFmtId="0" fontId="14" fillId="0" borderId="0" xfId="0" applyNumberFormat="1" applyFont="1" applyAlignment="1"/>
    <xf numFmtId="0" fontId="15" fillId="0" borderId="0" xfId="0" applyFont="1"/>
    <xf numFmtId="3" fontId="6" fillId="0" borderId="1" xfId="0" applyNumberFormat="1" applyFont="1" applyFill="1" applyBorder="1" applyAlignment="1" applyProtection="1">
      <alignment horizontal="right"/>
    </xf>
    <xf numFmtId="0" fontId="14" fillId="0" borderId="0" xfId="0" applyFont="1"/>
    <xf numFmtId="164" fontId="6" fillId="5" borderId="1" xfId="0" applyNumberFormat="1" applyFont="1" applyFill="1" applyBorder="1" applyAlignment="1" applyProtection="1">
      <alignment horizontal="right"/>
    </xf>
    <xf numFmtId="0" fontId="11" fillId="3" borderId="0" xfId="1" applyFont="1" applyFill="1"/>
    <xf numFmtId="0" fontId="5" fillId="0" borderId="0" xfId="0" applyFont="1" applyAlignment="1">
      <alignment horizontal="right"/>
    </xf>
    <xf numFmtId="0" fontId="16" fillId="6" borderId="3" xfId="0" quotePrefix="1" applyFont="1" applyFill="1" applyBorder="1" applyAlignment="1" applyProtection="1"/>
    <xf numFmtId="0" fontId="6" fillId="0" borderId="2" xfId="0" applyFont="1" applyBorder="1" applyAlignment="1" applyProtection="1">
      <alignment horizontal="center"/>
    </xf>
    <xf numFmtId="0" fontId="14" fillId="0" borderId="0" xfId="0" applyFont="1" applyAlignment="1">
      <alignment horizontal="center"/>
    </xf>
    <xf numFmtId="164" fontId="6" fillId="4" borderId="1" xfId="0" applyNumberFormat="1" applyFont="1" applyFill="1" applyBorder="1" applyAlignment="1" applyProtection="1">
      <alignment horizontal="right"/>
    </xf>
    <xf numFmtId="164" fontId="6" fillId="5" borderId="1" xfId="0" quotePrefix="1" applyNumberFormat="1" applyFont="1" applyFill="1" applyBorder="1" applyAlignment="1" applyProtection="1">
      <alignment horizontal="center"/>
    </xf>
    <xf numFmtId="0" fontId="14" fillId="0" borderId="0" xfId="0" applyNumberFormat="1" applyFont="1" applyFill="1" applyBorder="1" applyAlignment="1"/>
    <xf numFmtId="3" fontId="14" fillId="7" borderId="0" xfId="0" applyNumberFormat="1" applyFont="1" applyFill="1" applyAlignment="1"/>
    <xf numFmtId="0" fontId="6" fillId="8" borderId="2" xfId="0" applyFont="1" applyFill="1" applyBorder="1" applyAlignment="1" applyProtection="1">
      <alignment vertical="center"/>
    </xf>
    <xf numFmtId="2" fontId="14" fillId="0" borderId="0" xfId="0" applyNumberFormat="1" applyFont="1"/>
    <xf numFmtId="164" fontId="6" fillId="9" borderId="2" xfId="0" applyNumberFormat="1" applyFont="1" applyFill="1" applyBorder="1" applyAlignment="1" applyProtection="1">
      <alignment horizontal="right"/>
    </xf>
    <xf numFmtId="0" fontId="14" fillId="0" borderId="0" xfId="0" quotePrefix="1" applyFont="1"/>
    <xf numFmtId="3" fontId="4" fillId="0" borderId="0" xfId="0" applyNumberFormat="1" applyFont="1" applyFill="1" applyAlignment="1"/>
    <xf numFmtId="0" fontId="17" fillId="0" borderId="0" xfId="0" applyFont="1"/>
    <xf numFmtId="0" fontId="4" fillId="0" borderId="0" xfId="0" applyFont="1" applyFill="1" applyBorder="1" applyAlignment="1">
      <alignment vertical="center"/>
    </xf>
    <xf numFmtId="0" fontId="15" fillId="0" borderId="4" xfId="0" quotePrefix="1" applyFont="1" applyFill="1" applyBorder="1" applyAlignment="1">
      <alignment horizontal="right"/>
    </xf>
    <xf numFmtId="0" fontId="17" fillId="0" borderId="0" xfId="0" applyFont="1" applyFill="1" applyAlignment="1"/>
    <xf numFmtId="164" fontId="6" fillId="9" borderId="2" xfId="0" applyNumberFormat="1" applyFont="1" applyFill="1" applyBorder="1" applyAlignment="1" applyProtection="1">
      <alignment horizontal="center"/>
    </xf>
    <xf numFmtId="0" fontId="14" fillId="0" borderId="0" xfId="0" applyNumberFormat="1" applyFont="1"/>
    <xf numFmtId="0" fontId="6" fillId="8" borderId="5" xfId="0" applyFont="1" applyFill="1" applyBorder="1" applyAlignment="1" applyProtection="1">
      <alignment vertical="center"/>
    </xf>
    <xf numFmtId="0" fontId="0" fillId="0" borderId="0" xfId="0" applyFont="1" applyFill="1" applyAlignment="1"/>
    <xf numFmtId="0" fontId="15" fillId="0" borderId="4" xfId="0" quotePrefix="1" applyFont="1" applyFill="1" applyBorder="1" applyAlignment="1"/>
    <xf numFmtId="0" fontId="6" fillId="0" borderId="1" xfId="0" applyFont="1" applyFill="1" applyBorder="1" applyAlignment="1" applyProtection="1">
      <alignment vertical="center"/>
    </xf>
    <xf numFmtId="0" fontId="6" fillId="10" borderId="5" xfId="0" applyFont="1" applyFill="1" applyBorder="1" applyAlignment="1" applyProtection="1">
      <alignment horizontal="right"/>
    </xf>
    <xf numFmtId="3" fontId="15" fillId="0" borderId="4" xfId="0" applyNumberFormat="1" applyFont="1" applyFill="1" applyBorder="1" applyAlignment="1"/>
    <xf numFmtId="3" fontId="14" fillId="11" borderId="0" xfId="0" applyNumberFormat="1" applyFont="1" applyFill="1" applyAlignment="1"/>
    <xf numFmtId="3" fontId="14" fillId="12" borderId="0" xfId="0" applyNumberFormat="1" applyFont="1" applyFill="1" applyAlignment="1"/>
    <xf numFmtId="0" fontId="15" fillId="0" borderId="4" xfId="0" applyFont="1" applyFill="1" applyBorder="1" applyAlignment="1">
      <alignment vertical="center"/>
    </xf>
    <xf numFmtId="0" fontId="18" fillId="0" borderId="0" xfId="0" applyFont="1"/>
    <xf numFmtId="0" fontId="6" fillId="13" borderId="1" xfId="0" applyFont="1" applyFill="1" applyBorder="1" applyAlignment="1" applyProtection="1">
      <alignment horizontal="right"/>
    </xf>
    <xf numFmtId="0" fontId="14" fillId="0" borderId="0" xfId="0" quotePrefix="1" applyFont="1" applyFill="1"/>
    <xf numFmtId="0" fontId="19" fillId="0" borderId="0" xfId="0" applyFont="1"/>
    <xf numFmtId="0" fontId="6" fillId="10" borderId="2" xfId="0" applyFont="1" applyFill="1" applyBorder="1" applyAlignment="1" applyProtection="1">
      <alignment horizontal="right"/>
    </xf>
    <xf numFmtId="0" fontId="9" fillId="2" borderId="6" xfId="1" applyFont="1" applyFill="1" applyBorder="1" applyAlignment="1">
      <alignment horizontal="center"/>
    </xf>
    <xf numFmtId="0" fontId="6" fillId="0" borderId="7" xfId="0" applyFont="1" applyBorder="1" applyAlignment="1" applyProtection="1">
      <alignment horizontal="right"/>
    </xf>
    <xf numFmtId="165" fontId="14" fillId="0" borderId="0" xfId="0" applyNumberFormat="1" applyFont="1"/>
    <xf numFmtId="0" fontId="14" fillId="12" borderId="0" xfId="0" applyFont="1" applyFill="1"/>
    <xf numFmtId="0" fontId="11" fillId="12" borderId="0" xfId="1" applyFont="1" applyFill="1"/>
    <xf numFmtId="0" fontId="0" fillId="0" borderId="0" xfId="0" applyFont="1"/>
    <xf numFmtId="0" fontId="14" fillId="12" borderId="0" xfId="0" applyNumberFormat="1" applyFont="1" applyFill="1" applyAlignment="1"/>
    <xf numFmtId="0" fontId="6" fillId="4" borderId="1" xfId="0" applyFont="1" applyFill="1" applyBorder="1" applyAlignment="1" applyProtection="1">
      <alignment vertical="center"/>
    </xf>
    <xf numFmtId="0" fontId="6" fillId="0" borderId="7" xfId="0" applyFont="1" applyBorder="1" applyAlignment="1" applyProtection="1">
      <alignment horizontal="center"/>
    </xf>
    <xf numFmtId="0" fontId="6" fillId="0" borderId="1" xfId="0" quotePrefix="1" applyFont="1" applyBorder="1" applyAlignment="1" applyProtection="1"/>
    <xf numFmtId="0" fontId="10" fillId="0" borderId="0" xfId="0" quotePrefix="1" applyFont="1" applyFill="1" applyAlignment="1">
      <alignment vertical="center"/>
    </xf>
    <xf numFmtId="0" fontId="5" fillId="0" borderId="0" xfId="0" applyFont="1" applyAlignment="1">
      <alignment horizontal="center"/>
    </xf>
    <xf numFmtId="0" fontId="14" fillId="0" borderId="0" xfId="0" applyFont="1" applyFill="1" applyBorder="1" applyAlignment="1">
      <alignment vertical="center"/>
    </xf>
    <xf numFmtId="3" fontId="14" fillId="0" borderId="0" xfId="0" applyNumberFormat="1" applyFont="1" applyAlignment="1"/>
    <xf numFmtId="3" fontId="6" fillId="13" borderId="1" xfId="0" applyNumberFormat="1" applyFont="1" applyFill="1" applyBorder="1" applyAlignment="1" applyProtection="1">
      <alignment horizontal="right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2.png" /><Relationship Id="rId3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3697820</xdr:colOff>
      <xdr:row>6</xdr:row>
      <xdr:rowOff>0</xdr:rowOff>
    </xdr:from>
    <xdr:to>
      <xdr:col>5</xdr:col>
      <xdr:colOff>187454</xdr:colOff>
      <xdr:row>7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7820" y="113982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6</xdr:row>
      <xdr:rowOff>189865</xdr:rowOff>
    </xdr:from>
    <xdr:to>
      <xdr:col>5</xdr:col>
      <xdr:colOff>187454</xdr:colOff>
      <xdr:row>8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32969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8</xdr:row>
      <xdr:rowOff>0</xdr:rowOff>
    </xdr:from>
    <xdr:to>
      <xdr:col>5</xdr:col>
      <xdr:colOff>187454</xdr:colOff>
      <xdr:row>9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7820" y="151955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9</xdr:row>
      <xdr:rowOff>0</xdr:rowOff>
    </xdr:from>
    <xdr:to>
      <xdr:col>5</xdr:col>
      <xdr:colOff>187454</xdr:colOff>
      <xdr:row>9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7820" y="170942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10</xdr:row>
      <xdr:rowOff>0</xdr:rowOff>
    </xdr:from>
    <xdr:to>
      <xdr:col>5</xdr:col>
      <xdr:colOff>187454</xdr:colOff>
      <xdr:row>11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7820" y="189928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11</xdr:row>
      <xdr:rowOff>0</xdr:rowOff>
    </xdr:from>
    <xdr:to>
      <xdr:col>5</xdr:col>
      <xdr:colOff>187454</xdr:colOff>
      <xdr:row>12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7820" y="208915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7"/>
  <sheetViews>
    <sheetView tabSelected="1" workbookViewId="0"/>
  </sheetViews>
  <sheetFormatPr defaultColWidth="11.42578125" defaultRowHeight="14.95"/>
  <cols>
    <col min="1" max="1" width="50.7109375" style="62" customWidth="1"/>
    <col min="2" max="7" width="11.7109375" customWidth="1"/>
    <col min="8" max="8" width="8.28515625" customWidth="1"/>
    <col min="9" max="9" width="7.140625" customWidth="1"/>
    <col min="10" max="10" width="7.855468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8" t="s">
        <v>73</v>
      </c>
      <c s="8"/>
      <c s="8"/>
      <c s="8"/>
      <c s="8"/>
      <c s="4"/>
    </row>
    <row s="37" customFormat="1">
      <c s="7" t="s">
        <v>80</v>
      </c>
      <c s="7"/>
      <c s="7"/>
      <c s="7"/>
      <c s="7"/>
      <c s="40"/>
    </row>
    <row s="37" customFormat="1">
      <c s="67" t="s">
        <v>18</v>
      </c>
      <c s="7"/>
      <c s="7"/>
      <c s="7"/>
      <c s="7"/>
      <c s="40"/>
    </row>
    <row>
      <c s="67" t="s">
        <v>116</v>
      </c>
      <c s="10"/>
      <c s="10"/>
      <c s="10"/>
      <c s="10"/>
      <c s="10"/>
    </row>
    <row>
      <c s="67" t="s">
        <v>98</v>
      </c>
      <c s="11"/>
      <c s="11"/>
      <c s="11"/>
      <c s="11"/>
      <c s="4"/>
    </row>
    <row ht="15" customHeight="1">
      <c s="44"/>
      <c s="4"/>
      <c s="4"/>
      <c s="4"/>
      <c s="4"/>
      <c s="4"/>
    </row>
    <row>
      <c s="25" t="s">
        <v>1</v>
      </c>
      <c s="66" t="s">
        <v>17</v>
      </c>
      <c s="4"/>
      <c s="4"/>
      <c s="4"/>
      <c s="4" t="s">
        <v>31</v>
      </c>
    </row>
    <row>
      <c s="25" t="s">
        <v>0</v>
      </c>
      <c s="66" t="s">
        <v>90</v>
      </c>
      <c s="4"/>
      <c s="4"/>
      <c s="4"/>
      <c s="4" t="s">
        <v>31</v>
      </c>
    </row>
    <row>
      <c s="25" t="s">
        <v>91</v>
      </c>
      <c s="66" t="s">
        <v>25</v>
      </c>
      <c s="4"/>
      <c s="4"/>
      <c s="4"/>
      <c s="4" t="s">
        <v>31</v>
      </c>
    </row>
    <row>
      <c s="25" t="s">
        <v>60</v>
      </c>
      <c s="66" t="s">
        <v>82</v>
      </c>
      <c s="4"/>
      <c s="4"/>
      <c s="4"/>
      <c s="4" t="s">
        <v>31</v>
      </c>
    </row>
    <row>
      <c s="25" t="s">
        <v>9</v>
      </c>
      <c s="66" t="s">
        <v>25</v>
      </c>
      <c s="4"/>
      <c s="4"/>
      <c s="4"/>
      <c s="4" t="s">
        <v>31</v>
      </c>
    </row>
    <row>
      <c s="25" t="s">
        <v>100</v>
      </c>
      <c s="66" t="s">
        <v>25</v>
      </c>
      <c s="4"/>
      <c s="4"/>
      <c s="4"/>
      <c s="4" t="s">
        <v>31</v>
      </c>
    </row>
    <row>
      <c/>
      <c r="F13" s="4" t="s">
        <v>31</v>
      </c>
    </row>
    <row>
      <c/>
    </row>
    <row>
      <c/>
      <c s="6" t="s">
        <v>22</v>
      </c>
      <c s="6"/>
      <c s="6"/>
      <c s="6"/>
      <c s="6"/>
    </row>
    <row ht="15" customHeight="1">
      <c/>
      <c s="6" t="s">
        <v>10</v>
      </c>
      <c s="6"/>
      <c s="6"/>
      <c s="29" t="s">
        <v>83</v>
      </c>
      <c s="29"/>
    </row>
    <row>
      <c s="25" t="s">
        <v>99</v>
      </c>
      <c s="12" t="s">
        <v>8</v>
      </c>
      <c s="12" t="s">
        <v>45</v>
      </c>
      <c s="53" t="s">
        <v>25</v>
      </c>
      <c s="12" t="s">
        <v>8</v>
      </c>
      <c s="12" t="s">
        <v>45</v>
      </c>
    </row>
    <row ht="15" customHeight="1">
      <c s="46" t="s">
        <v>51</v>
      </c>
      <c s="20">
        <v>427</v>
      </c>
      <c s="20">
        <v>265</v>
      </c>
      <c s="71">
        <v>692</v>
      </c>
      <c s="22">
        <v>0.61705202312138729</v>
      </c>
      <c s="22">
        <v>0.38294797687861271</v>
      </c>
    </row>
    <row>
      <c s="46" t="s">
        <v>66</v>
      </c>
      <c s="20">
        <v>6</v>
      </c>
      <c s="20">
        <v>7</v>
      </c>
      <c s="71">
        <v>13</v>
      </c>
      <c s="22">
        <v>0.46153846153846156</v>
      </c>
      <c s="22">
        <v>0.53846153846153844</v>
      </c>
    </row>
    <row>
      <c s="46" t="s">
        <v>103</v>
      </c>
      <c s="20">
        <v>3</v>
      </c>
      <c s="20">
        <v>3</v>
      </c>
      <c s="71">
        <v>6</v>
      </c>
      <c s="22">
        <v>0.5</v>
      </c>
      <c s="22">
        <v>0.5</v>
      </c>
    </row>
    <row>
      <c s="46" t="s">
        <v>120</v>
      </c>
      <c s="20">
        <v>128</v>
      </c>
      <c s="20">
        <v>58</v>
      </c>
      <c s="71">
        <v>186</v>
      </c>
      <c s="22">
        <v>0.68817204301075274</v>
      </c>
      <c s="22">
        <v>0.31182795698924731</v>
      </c>
    </row>
    <row>
      <c s="46" t="s">
        <v>50</v>
      </c>
      <c s="20">
        <v>13</v>
      </c>
      <c s="20">
        <v>9</v>
      </c>
      <c s="71">
        <v>22</v>
      </c>
      <c s="22">
        <v>0.59090909090909094</v>
      </c>
      <c s="22">
        <v>0.40909090909090912</v>
      </c>
    </row>
    <row>
      <c s="46" t="s">
        <v>21</v>
      </c>
      <c s="20">
        <v>211</v>
      </c>
      <c s="20">
        <v>203</v>
      </c>
      <c s="71">
        <v>414</v>
      </c>
      <c s="22">
        <v>0.50966183574879231</v>
      </c>
      <c s="22">
        <v>0.49033816425120774</v>
      </c>
    </row>
    <row>
      <c s="46" t="s">
        <v>49</v>
      </c>
      <c s="20">
        <v>38</v>
      </c>
      <c s="20">
        <v>49</v>
      </c>
      <c s="71">
        <v>87</v>
      </c>
      <c s="22">
        <v>0.43678160919540232</v>
      </c>
      <c s="22">
        <v>0.56321839080459768</v>
      </c>
    </row>
    <row>
      <c s="46" t="s">
        <v>28</v>
      </c>
      <c s="20">
        <v>12828</v>
      </c>
      <c s="20">
        <v>12657</v>
      </c>
      <c s="71">
        <v>25485</v>
      </c>
      <c s="22">
        <v>0.50335491465567983</v>
      </c>
      <c s="22">
        <v>0.49664508534432017</v>
      </c>
    </row>
    <row>
      <c s="46" t="s">
        <v>119</v>
      </c>
      <c s="20">
        <v>25454</v>
      </c>
      <c s="20">
        <v>20672</v>
      </c>
      <c s="71">
        <v>46126</v>
      </c>
      <c s="22">
        <v>0.55183627455231321</v>
      </c>
      <c s="22">
        <v>0.44816372544768679</v>
      </c>
    </row>
    <row>
      <c s="46" t="s">
        <v>75</v>
      </c>
      <c s="20">
        <v>2070</v>
      </c>
      <c s="20">
        <v>161</v>
      </c>
      <c s="71">
        <v>2231</v>
      </c>
      <c s="22">
        <v>0.92783505154639179</v>
      </c>
      <c s="22">
        <v>0.072164948453608241</v>
      </c>
    </row>
    <row>
      <c s="46" t="s">
        <v>125</v>
      </c>
      <c s="20">
        <v>109</v>
      </c>
      <c s="20">
        <v>13</v>
      </c>
      <c s="71">
        <v>122</v>
      </c>
      <c s="22">
        <v>0.89344262295081966</v>
      </c>
      <c s="22">
        <v>0.10655737704918032</v>
      </c>
    </row>
    <row>
      <c s="46" t="s">
        <v>48</v>
      </c>
      <c s="20">
        <v>216</v>
      </c>
      <c s="20">
        <v>146</v>
      </c>
      <c s="71">
        <v>362</v>
      </c>
      <c s="22">
        <v>0.59668508287292821</v>
      </c>
      <c s="22">
        <v>0.40331491712707185</v>
      </c>
    </row>
    <row>
      <c s="46" t="s">
        <v>56</v>
      </c>
      <c s="20">
        <v>587</v>
      </c>
      <c s="20">
        <v>564</v>
      </c>
      <c s="71">
        <v>1151</v>
      </c>
      <c s="22">
        <v>0.50999131190269331</v>
      </c>
      <c s="22">
        <v>0.49000868809730669</v>
      </c>
    </row>
    <row>
      <c s="46" t="s">
        <v>81</v>
      </c>
      <c s="20"/>
      <c s="20">
        <v>1</v>
      </c>
      <c s="71">
        <v>1</v>
      </c>
      <c s="22"/>
      <c s="22">
        <v>1</v>
      </c>
    </row>
    <row>
      <c s="46" t="s">
        <v>44</v>
      </c>
      <c s="20">
        <v>2740</v>
      </c>
      <c s="20">
        <v>3523</v>
      </c>
      <c s="71">
        <v>6263</v>
      </c>
      <c s="22">
        <v>0.4374900207568258</v>
      </c>
      <c s="22">
        <v>0.56250997924317425</v>
      </c>
    </row>
    <row>
      <c s="46" t="s">
        <v>55</v>
      </c>
      <c s="20">
        <v>100</v>
      </c>
      <c s="20">
        <v>109</v>
      </c>
      <c s="71">
        <v>209</v>
      </c>
      <c s="22">
        <v>0.4784688995215311</v>
      </c>
      <c s="22">
        <v>0.52153110047846885</v>
      </c>
    </row>
    <row>
      <c s="46" t="s">
        <v>118</v>
      </c>
      <c s="20">
        <v>9</v>
      </c>
      <c s="20">
        <v>7</v>
      </c>
      <c s="71">
        <v>16</v>
      </c>
      <c s="22">
        <v>0.5625</v>
      </c>
      <c s="22">
        <v>0.4375</v>
      </c>
    </row>
    <row>
      <c s="46" t="s">
        <v>43</v>
      </c>
      <c s="20">
        <v>476</v>
      </c>
      <c s="20">
        <v>527</v>
      </c>
      <c s="71">
        <v>1003</v>
      </c>
      <c s="22">
        <v>0.47457627118644069</v>
      </c>
      <c s="22">
        <v>0.52542372881355937</v>
      </c>
    </row>
    <row>
      <c s="46" t="s">
        <v>20</v>
      </c>
      <c s="20">
        <v>5</v>
      </c>
      <c s="20"/>
      <c s="71">
        <v>5</v>
      </c>
      <c s="22">
        <v>1</v>
      </c>
      <c s="22"/>
    </row>
    <row>
      <c s="46" t="s">
        <v>54</v>
      </c>
      <c s="20">
        <v>2216</v>
      </c>
      <c s="20">
        <v>1865</v>
      </c>
      <c s="71">
        <v>4081</v>
      </c>
      <c s="22">
        <v>0.54300416564567511</v>
      </c>
      <c s="22">
        <v>0.45699583435432495</v>
      </c>
    </row>
    <row>
      <c s="46" t="s">
        <v>42</v>
      </c>
      <c s="20">
        <v>26679</v>
      </c>
      <c s="20">
        <v>15352</v>
      </c>
      <c s="71">
        <v>42031</v>
      </c>
      <c s="22">
        <v>0.63474578287454497</v>
      </c>
      <c s="22">
        <v>0.36525421712545503</v>
      </c>
    </row>
    <row>
      <c s="46" t="s">
        <v>102</v>
      </c>
      <c s="20">
        <v>736</v>
      </c>
      <c s="20">
        <v>539</v>
      </c>
      <c s="71">
        <v>1275</v>
      </c>
      <c s="22">
        <v>0.57725490196078433</v>
      </c>
      <c s="22">
        <v>0.42274509803921567</v>
      </c>
    </row>
    <row>
      <c s="46" t="s">
        <v>124</v>
      </c>
      <c s="20">
        <v>753</v>
      </c>
      <c s="20">
        <v>761</v>
      </c>
      <c s="71">
        <v>1514</v>
      </c>
      <c s="22">
        <v>0.49735799207397624</v>
      </c>
      <c s="22">
        <v>0.50264200792602376</v>
      </c>
    </row>
    <row>
      <c s="46" t="s">
        <v>117</v>
      </c>
      <c s="20">
        <v>10880</v>
      </c>
      <c s="20">
        <v>2128</v>
      </c>
      <c s="71">
        <v>13008</v>
      </c>
      <c s="22">
        <v>0.83640836408364083</v>
      </c>
      <c s="22">
        <v>0.16359163591635917</v>
      </c>
    </row>
    <row>
      <c s="46" t="s">
        <v>53</v>
      </c>
      <c s="20">
        <v>5172</v>
      </c>
      <c s="20">
        <v>18314</v>
      </c>
      <c s="71">
        <v>23486</v>
      </c>
      <c s="22">
        <v>0.22021629907178744</v>
      </c>
      <c s="22">
        <v>0.77978370092821259</v>
      </c>
    </row>
    <row>
      <c s="46" t="s">
        <v>33</v>
      </c>
      <c s="20">
        <v>9434</v>
      </c>
      <c s="20">
        <v>6547</v>
      </c>
      <c s="71">
        <v>15981</v>
      </c>
      <c s="22">
        <v>0.5903260121394156</v>
      </c>
      <c s="22">
        <v>0.40967398786058445</v>
      </c>
    </row>
    <row>
      <c s="46" t="s">
        <v>94</v>
      </c>
      <c s="20">
        <v>693</v>
      </c>
      <c s="20">
        <v>691</v>
      </c>
      <c s="71">
        <v>1384</v>
      </c>
      <c s="22">
        <v>0.50072254335260113</v>
      </c>
      <c s="22">
        <v>0.49927745664739887</v>
      </c>
    </row>
    <row>
      <c s="46" t="s">
        <v>12</v>
      </c>
      <c s="20">
        <v>408</v>
      </c>
      <c s="20">
        <v>307</v>
      </c>
      <c s="71">
        <v>715</v>
      </c>
      <c s="22">
        <v>0.57062937062937058</v>
      </c>
      <c s="22">
        <v>0.42937062937062936</v>
      </c>
    </row>
    <row>
      <c s="46" t="s">
        <v>74</v>
      </c>
      <c s="20">
        <v>201</v>
      </c>
      <c s="20">
        <v>148</v>
      </c>
      <c s="71">
        <v>349</v>
      </c>
      <c s="22">
        <v>0.5759312320916905</v>
      </c>
      <c s="22">
        <v>0.42406876790830944</v>
      </c>
    </row>
    <row>
      <c s="46" t="s">
        <v>11</v>
      </c>
      <c s="20">
        <v>50</v>
      </c>
      <c s="20">
        <v>26</v>
      </c>
      <c s="71">
        <v>76</v>
      </c>
      <c s="22">
        <v>0.65789473684210531</v>
      </c>
      <c s="22">
        <v>0.34210526315789475</v>
      </c>
    </row>
    <row>
      <c s="46" t="s">
        <v>123</v>
      </c>
      <c s="20">
        <v>855</v>
      </c>
      <c s="20">
        <v>753</v>
      </c>
      <c s="71">
        <v>1608</v>
      </c>
      <c s="22">
        <v>0.53171641791044777</v>
      </c>
      <c s="22">
        <v>0.46828358208955223</v>
      </c>
    </row>
    <row>
      <c s="46" t="s">
        <v>41</v>
      </c>
      <c s="20">
        <v>143</v>
      </c>
      <c s="20">
        <v>271</v>
      </c>
      <c s="71">
        <v>414</v>
      </c>
      <c s="22">
        <v>0.34541062801932365</v>
      </c>
      <c s="22">
        <v>0.65458937198067635</v>
      </c>
    </row>
    <row>
      <c s="46" t="s">
        <v>65</v>
      </c>
      <c s="20">
        <v>124</v>
      </c>
      <c s="20">
        <v>18</v>
      </c>
      <c s="71">
        <v>142</v>
      </c>
      <c s="22">
        <v>0.87323943661971826</v>
      </c>
      <c s="22">
        <v>0.12676056338028169</v>
      </c>
    </row>
    <row>
      <c s="46" t="s">
        <v>93</v>
      </c>
      <c s="20">
        <v>196</v>
      </c>
      <c s="20">
        <v>189</v>
      </c>
      <c s="71">
        <v>385</v>
      </c>
      <c s="22">
        <v>0.50909090909090904</v>
      </c>
      <c s="22">
        <v>0.49090909090909091</v>
      </c>
    </row>
    <row>
      <c s="46" t="s">
        <v>27</v>
      </c>
      <c s="20">
        <v>89</v>
      </c>
      <c s="20">
        <v>101</v>
      </c>
      <c s="71">
        <v>190</v>
      </c>
      <c s="22">
        <v>0.46842105263157896</v>
      </c>
      <c s="22">
        <v>0.53157894736842104</v>
      </c>
    </row>
    <row>
      <c s="46" t="s">
        <v>92</v>
      </c>
      <c s="20">
        <v>1506</v>
      </c>
      <c s="20">
        <v>1272</v>
      </c>
      <c s="71">
        <v>2778</v>
      </c>
      <c s="22">
        <v>0.54211663066954641</v>
      </c>
      <c s="22">
        <v>0.45788336933045354</v>
      </c>
    </row>
    <row>
      <c s="46" t="s">
        <v>64</v>
      </c>
      <c s="20">
        <v>22</v>
      </c>
      <c s="20">
        <v>10</v>
      </c>
      <c s="71">
        <v>32</v>
      </c>
      <c s="22">
        <v>0.6875</v>
      </c>
      <c s="22">
        <v>0.3125</v>
      </c>
    </row>
    <row>
      <c s="46" t="s">
        <v>47</v>
      </c>
      <c s="20">
        <v>110</v>
      </c>
      <c s="20">
        <v>114</v>
      </c>
      <c s="71">
        <v>224</v>
      </c>
      <c s="22">
        <v>0.49107142857142855</v>
      </c>
      <c s="22">
        <v>0.5089285714285714</v>
      </c>
    </row>
    <row>
      <c s="46" t="s">
        <v>63</v>
      </c>
      <c s="20">
        <v>225</v>
      </c>
      <c s="20">
        <v>193</v>
      </c>
      <c s="71">
        <v>418</v>
      </c>
      <c s="22">
        <v>0.53827751196172247</v>
      </c>
      <c s="22">
        <v>0.46172248803827753</v>
      </c>
    </row>
    <row>
      <c s="46" t="s">
        <v>85</v>
      </c>
      <c s="20">
        <v>98</v>
      </c>
      <c s="20">
        <v>160</v>
      </c>
      <c s="71">
        <v>258</v>
      </c>
      <c s="22">
        <v>0.37984496124031009</v>
      </c>
      <c s="22">
        <v>0.62015503875968991</v>
      </c>
    </row>
    <row>
      <c s="46" t="s">
        <v>40</v>
      </c>
      <c s="20">
        <v>2061</v>
      </c>
      <c s="20">
        <v>2628</v>
      </c>
      <c s="71">
        <v>4689</v>
      </c>
      <c s="22">
        <v>0.43953934740882916</v>
      </c>
      <c s="22">
        <v>0.56046065259117084</v>
      </c>
    </row>
    <row>
      <c s="46" t="s">
        <v>101</v>
      </c>
      <c s="20">
        <v>1406</v>
      </c>
      <c s="20">
        <v>840</v>
      </c>
      <c s="71">
        <v>2246</v>
      </c>
      <c s="22">
        <v>0.62600178094390024</v>
      </c>
      <c s="22">
        <v>0.37399821905609976</v>
      </c>
    </row>
    <row>
      <c s="46" t="s">
        <v>26</v>
      </c>
      <c s="20">
        <v>13523</v>
      </c>
      <c s="20">
        <v>8473</v>
      </c>
      <c s="71">
        <v>21996</v>
      </c>
      <c s="22">
        <v>0.61479359883615203</v>
      </c>
      <c s="22">
        <v>0.38520640116384797</v>
      </c>
    </row>
    <row>
      <c s="46" t="s">
        <v>62</v>
      </c>
      <c s="20">
        <v>13296</v>
      </c>
      <c s="20">
        <v>16103</v>
      </c>
      <c s="71">
        <v>29399</v>
      </c>
      <c s="22">
        <v>0.45226028096193749</v>
      </c>
      <c s="22">
        <v>0.54773971903806251</v>
      </c>
    </row>
    <row>
      <c s="46" t="s">
        <v>61</v>
      </c>
      <c s="20">
        <v>99</v>
      </c>
      <c s="20">
        <v>281</v>
      </c>
      <c s="71">
        <v>380</v>
      </c>
      <c s="22">
        <v>0.26052631578947366</v>
      </c>
      <c s="22">
        <v>0.73947368421052628</v>
      </c>
    </row>
    <row>
      <c s="46" t="s">
        <v>122</v>
      </c>
      <c s="20">
        <v>11</v>
      </c>
      <c s="20">
        <v>23</v>
      </c>
      <c s="71">
        <v>34</v>
      </c>
      <c s="22">
        <v>0.3235294117647059</v>
      </c>
      <c s="22">
        <v>0.67647058823529416</v>
      </c>
    </row>
    <row>
      <c s="46" t="s">
        <v>115</v>
      </c>
      <c s="20">
        <v>3077</v>
      </c>
      <c s="20">
        <v>1749</v>
      </c>
      <c s="71">
        <v>4826</v>
      </c>
      <c s="22">
        <v>0.63758806464981355</v>
      </c>
      <c s="22">
        <v>0.36241193535018651</v>
      </c>
    </row>
    <row>
      <c s="46" t="s">
        <v>2</v>
      </c>
      <c s="20">
        <v>8</v>
      </c>
      <c s="20">
        <v>3</v>
      </c>
      <c s="71">
        <v>11</v>
      </c>
      <c s="22">
        <v>0.72727272727272729</v>
      </c>
      <c s="22">
        <v>0.27272727272727271</v>
      </c>
    </row>
    <row>
      <c s="46" t="s">
        <v>84</v>
      </c>
      <c s="20">
        <v>1</v>
      </c>
      <c s="20"/>
      <c s="71">
        <v>1</v>
      </c>
      <c s="22">
        <v>1</v>
      </c>
      <c s="22"/>
    </row>
    <row>
      <c s="46" t="s">
        <v>19</v>
      </c>
      <c s="20">
        <v>15</v>
      </c>
      <c s="20">
        <v>11</v>
      </c>
      <c s="71">
        <v>26</v>
      </c>
      <c s="22">
        <v>0.57692307692307687</v>
      </c>
      <c s="22">
        <v>0.42307692307692307</v>
      </c>
    </row>
    <row>
      <c s="46" t="s">
        <v>52</v>
      </c>
      <c s="20">
        <v>946</v>
      </c>
      <c s="20">
        <v>1210</v>
      </c>
      <c s="71">
        <v>2156</v>
      </c>
      <c s="22">
        <v>0.43877551020408162</v>
      </c>
      <c s="22">
        <v>0.56122448979591832</v>
      </c>
    </row>
    <row>
      <c s="46" t="s">
        <v>32</v>
      </c>
      <c s="20">
        <v>2835</v>
      </c>
      <c s="20">
        <v>1585</v>
      </c>
      <c s="71">
        <v>4420</v>
      </c>
      <c s="22">
        <v>0.64140271493212675</v>
      </c>
      <c s="22">
        <v>0.35859728506787331</v>
      </c>
    </row>
    <row>
      <c s="64" t="s">
        <v>25</v>
      </c>
      <c s="17">
        <v>143288</v>
      </c>
      <c s="17">
        <v>121639</v>
      </c>
      <c s="17">
        <v>264927</v>
      </c>
      <c s="28">
        <v>0.5408584251510794</v>
      </c>
      <c s="28">
        <v>0.45914157484892065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38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">
    <mergeCell ref="B15:F15"/>
    <mergeCell ref="B16:D16"/>
    <mergeCell ref="E16:F16"/>
  </mergeCells>
  <pageMargins left="0.70866141732283472" right="0.70866141732283472" top="0.78740157480314965" bottom="0.78740157480314965" header="0.31496062992125984" footer="0.31496062992125984"/>
  <pageSetup paperSize="9" scale="95" fitToHeight="0" orientation="landscape"/>
  <headerFooter>
    <oddHeader>&amp;L&amp;"Tahoma,Standard"&amp;10unidata.gv.at&amp;R&amp;"Tahoma,Standard"&amp;10&amp;D</oddHeader>
    <oddFooter>&amp;R&amp;"Tahoma,Standard"&amp;10&amp;P/&amp;N</oddFooter>
  </headerFooter>
  <rowBreaks count="2" manualBreakCount="2">
    <brk id="35" max="8" man="1"/>
    <brk id="60" max="8" man="1"/>
  </row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3" sqref="E33"/>
    </sheetView>
  </sheetViews>
  <sheetFormatPr defaultColWidth="9.140625" defaultRowHeight="13.6"/>
  <cols>
    <col min="1" max="1" width="13.5703125" style="21" customWidth="1"/>
    <col min="2" max="2" width="40.85546875" style="21" customWidth="1"/>
    <col min="3" max="3" width="28.140625" style="21" customWidth="1"/>
    <col min="4" max="4" width="16.28515625" style="21" customWidth="1"/>
    <col min="5" max="5" width="19.42578125" style="21" customWidth="1"/>
    <col min="6" max="6" width="11.140625" style="21" customWidth="1"/>
    <col min="7" max="7" width="9.140625" style="21" customWidth="1"/>
    <col min="8" max="8" width="17.28515625" style="21" customWidth="1"/>
    <col min="9" max="9" width="19.5703125" style="21" customWidth="1"/>
    <col min="10" max="12" width="12.42578125" style="21" customWidth="1"/>
    <col min="13" max="13" width="16" style="21" customWidth="1"/>
    <col min="14" max="14" width="14.28515625" style="21" customWidth="1"/>
    <col min="15" max="15" width="18.28515625" style="21" customWidth="1"/>
    <col min="16" max="25" width="9.140625" style="21" customWidth="1"/>
    <col min="26" max="26" width="9.140625" style="21" hidden="1" customWidth="1"/>
    <col min="27" max="27" width="9.140625" style="21" customWidth="1"/>
    <col min="28" max="16384" width="9.140625" style="21"/>
  </cols>
  <sheetData>
    <row>
      <c s="42"/>
      <c r="H1" s="59">
        <v>129806172700000000</v>
      </c>
      <c r="Z1" s="33" t="b">
        <f>0=1</f>
        <v>0</v>
      </c>
    </row>
    <row>
      <c r="Z2" s="33" t="b">
        <f>1=1</f>
        <v>1</v>
      </c>
    </row>
    <row>
      <c r="Z3" s="33"/>
    </row>
    <row>
      <c r="I4" s="21" t="s">
        <v>46</v>
      </c>
      <c s="57" t="s">
        <v>95</v>
      </c>
      <c s="9"/>
      <c s="9"/>
      <c s="9"/>
      <c s="9"/>
      <c s="9"/>
    </row>
    <row>
      <c r="J5" s="23" t="s">
        <v>34</v>
      </c>
      <c s="14" t="s">
        <v>67</v>
      </c>
      <c s="14" t="s">
        <v>86</v>
      </c>
      <c s="23" t="s">
        <v>126</v>
      </c>
      <c s="61" t="s">
        <v>104</v>
      </c>
      <c s="14" t="s">
        <v>3</v>
      </c>
    </row>
    <row>
      <c r="B6" s="24" t="s">
        <v>105</v>
      </c>
      <c s="16" t="s">
        <v>111</v>
      </c>
      <c s="45" t="s">
        <v>13</v>
      </c>
      <c s="5" t="s">
        <v>68</v>
      </c>
    </row>
    <row>
      <c r="C7" s="15"/>
      <c s="19" t="s">
        <v>14</v>
      </c>
      <c s="5" t="s">
        <v>76</v>
      </c>
    </row>
    <row>
      <c r="C8" s="19" t="s">
        <v>4</v>
      </c>
      <c s="15"/>
    </row>
    <row>
      <c r="C9" s="15"/>
      <c s="16" t="s">
        <v>35</v>
      </c>
      <c s="52"/>
    </row>
    <row>
      <c r="C10" s="16" t="s">
        <v>57</v>
      </c>
      <c s="39" t="s">
        <v>87</v>
      </c>
      <c s="5" t="s">
        <v>23</v>
      </c>
    </row>
    <row>
      <c r="B11" s="24" t="s">
        <v>69</v>
      </c>
      <c s="51" t="s">
        <v>58</v>
      </c>
      <c s="48">
        <v>60398</v>
      </c>
      <c s="5" t="s">
        <v>36</v>
      </c>
    </row>
    <row>
      <c r="B12" s="24"/>
      <c s="69"/>
      <c s="30"/>
      <c s="68" t="s">
        <v>96</v>
      </c>
    </row>
    <row>
      <c r="B13" s="24" t="s">
        <v>59</v>
      </c>
      <c s="60" t="s">
        <v>29</v>
      </c>
      <c s="50">
        <v>1212</v>
      </c>
      <c s="21" t="b">
        <v>0</v>
      </c>
      <c s="5" t="s">
        <v>88</v>
      </c>
    </row>
    <row ht="12.75" hidden="1">
      <c r="B14" s="24"/>
      <c s="60"/>
      <c s="63"/>
      <c s="21" t="b">
        <v>0</v>
      </c>
    </row>
    <row>
      <c r="B15" s="24" t="s">
        <v>112</v>
      </c>
      <c s="21" t="s">
        <v>121</v>
      </c>
      <c s="70">
        <v>1212</v>
      </c>
      <c s="21" t="b">
        <v>0</v>
      </c>
      <c s="5" t="s">
        <v>30</v>
      </c>
    </row>
    <row ht="12.75" hidden="1">
      <c r="B16" s="24"/>
      <c r="D16" s="18"/>
      <c s="21" t="b">
        <v>0</v>
      </c>
      <c s="5"/>
    </row>
    <row>
      <c r="B17" s="24"/>
      <c s="21" t="s">
        <v>37</v>
      </c>
      <c s="49">
        <v>3434</v>
      </c>
      <c s="21" t="b">
        <v>0</v>
      </c>
      <c s="5" t="s">
        <v>89</v>
      </c>
    </row>
    <row>
      <c r="B18" s="24"/>
      <c r="D18" s="18"/>
      <c s="21" t="b">
        <v>0</v>
      </c>
      <c s="5"/>
    </row>
    <row>
      <c r="B19" s="24"/>
      <c s="21" t="s">
        <v>5</v>
      </c>
      <c s="31">
        <v>3434</v>
      </c>
      <c s="21" t="b">
        <v>0</v>
      </c>
      <c s="5" t="s">
        <v>106</v>
      </c>
    </row>
    <row>
      <c r="B20" s="24"/>
      <c r="D20" s="18"/>
      <c s="21" t="b">
        <v>0</v>
      </c>
      <c s="5"/>
    </row>
    <row>
      <c r="B21" s="24"/>
      <c s="21" t="s">
        <v>107</v>
      </c>
      <c s="36">
        <v>5656</v>
      </c>
      <c s="21" t="b">
        <v>0</v>
      </c>
      <c s="5" t="s">
        <v>127</v>
      </c>
    </row>
    <row>
      <c r="B22" s="24"/>
      <c r="E22" s="5"/>
      <c r="I22" s="55"/>
    </row>
    <row>
      <c r="B23" s="27" t="s">
        <v>6</v>
      </c>
      <c s="27"/>
    </row>
    <row>
      <c r="B24" s="3" t="s">
        <v>70</v>
      </c>
      <c s="3" t="s">
        <v>38</v>
      </c>
      <c s="3" t="s">
        <v>15</v>
      </c>
      <c s="3" t="s">
        <v>108</v>
      </c>
      <c s="3"/>
      <c s="3"/>
      <c s="3" t="s">
        <v>128</v>
      </c>
    </row>
    <row>
      <c s="21" t="s">
        <v>77</v>
      </c>
      <c r="C25" s="54" t="s">
        <v>71</v>
      </c>
      <c s="13" t="s">
        <v>113</v>
      </c>
      <c s="13">
        <v>1234.5599999999999</v>
      </c>
      <c s="5" t="s">
        <v>97</v>
      </c>
      <c r="H25" s="21" t="s">
        <v>109</v>
      </c>
    </row>
    <row>
      <c s="21" t="s">
        <v>114</v>
      </c>
      <c r="C26" s="54" t="s">
        <v>71</v>
      </c>
      <c s="26" t="s">
        <v>113</v>
      </c>
      <c s="13">
        <v>1234.5599999999999</v>
      </c>
      <c s="5" t="s">
        <v>78</v>
      </c>
      <c r="H26" s="21" t="s">
        <v>129</v>
      </c>
    </row>
    <row>
      <c r="C27" s="54" t="s">
        <v>71</v>
      </c>
      <c s="26" t="s">
        <v>113</v>
      </c>
      <c s="13">
        <v>1234.5599999999999</v>
      </c>
      <c r="H27" s="21" t="s">
        <v>79</v>
      </c>
    </row>
    <row>
      <c r="C28" s="35" t="s">
        <v>7</v>
      </c>
      <c s="26" t="s">
        <v>10</v>
      </c>
      <c s="13">
        <v>1234.5599999999999</v>
      </c>
      <c r="H28" s="21" t="s">
        <v>39</v>
      </c>
    </row>
    <row>
      <c r="C29" s="35" t="s">
        <v>7</v>
      </c>
      <c s="41" t="s">
        <v>83</v>
      </c>
      <c s="34">
        <v>1234.5599999999999</v>
      </c>
      <c r="H29" s="21" t="s">
        <v>130</v>
      </c>
    </row>
    <row>
      <c r="C30" s="35" t="s">
        <v>110</v>
      </c>
      <c s="56" t="s">
        <v>25</v>
      </c>
      <c s="47">
        <v>1234.5599999999999</v>
      </c>
    </row>
    <row>
      <c r="C31" s="35" t="s">
        <v>71</v>
      </c>
      <c s="26" t="s">
        <v>72</v>
      </c>
      <c s="13">
        <v>1234.5599999999999</v>
      </c>
    </row>
    <row>
      <c r="C32" s="35" t="s">
        <v>24</v>
      </c>
      <c s="32" t="s">
        <v>25</v>
      </c>
      <c s="43">
        <v>1234.5599999999999</v>
      </c>
    </row>
    <row>
      <c r="C33" s="35" t="s">
        <v>71</v>
      </c>
      <c s="65" t="s">
        <v>16</v>
      </c>
      <c s="58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
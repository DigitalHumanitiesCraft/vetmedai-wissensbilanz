
<file path=[Content_Types].xml><?xml version="1.0" encoding="utf-8"?>
<Types xmlns="http://schemas.openxmlformats.org/package/2006/content-types">
  <Default Extension="rels" ContentType="application/vnd.openxmlformats-package.relationships+xml"/>
  <Override PartName="/xl/media/image1.png" ContentType="image/p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3.25.102"/>
  <workbookPr defaultThemeVersion="124226"/>
  <bookViews>
    <workbookView xWindow="0" yWindow="0" windowWidth="18435" windowHeight="7545"/>
  </bookViews>
  <sheets>
    <sheet name="Tab" sheetId="1" r:id="rId1"/>
    <sheet name="XLCubedFormats" sheetId="2" state="hidden" r:id="rId2"/>
  </sheets>
  <definedNames>
    <definedName name="_xlnm.Print_Area" localSheetId="0">Tab!$A$1:$G$112</definedName>
    <definedName name="_xlnm.Print_Titles" localSheetId="0">Tab!$15:$17</definedName>
    <definedName name="XL3DisableCameraObjects" hidden="1">XLCubedFormats!A1</definedName>
    <definedName name="XL3ObjLocationaa5c9034_7702_4ce8_a883_af331128817b">Tab!$A$10</definedName>
  </definedNames>
  <calcPr calcId="40001"/>
</workbook>
</file>

<file path=xl/sharedStrings.xml><?xml version="1.0" encoding="utf-8"?>
<sst xmlns="http://schemas.openxmlformats.org/spreadsheetml/2006/main" uniqueCount="101">
  <si>
    <t>Semester und Datenstichtag</t>
  </si>
  <si>
    <t>Wintersemester 2018 (Stichtag: 31.12.2018)</t>
  </si>
  <si>
    <t>Universität</t>
  </si>
  <si>
    <t>Frauen</t>
  </si>
  <si>
    <t>Slicer Button Background</t>
  </si>
  <si>
    <t>Grid Title</t>
  </si>
  <si>
    <t>Oth Written Member</t>
  </si>
  <si>
    <t>Fill in Grid Name, Dimension or Both</t>
  </si>
  <si>
    <t>[ALLG Wertart].[Wertart]</t>
  </si>
  <si>
    <t>Absolutwert</t>
  </si>
  <si>
    <t>Wintersemester 2011 (Stichtag: 31.12.2011)</t>
  </si>
  <si>
    <t>All Marital Status</t>
  </si>
  <si>
    <t>Male</t>
  </si>
  <si>
    <t>Member1 Name</t>
  </si>
  <si>
    <t>Datenaufbereitung: bmfwf, Abt. I/10</t>
  </si>
  <si>
    <t>&lt;-- default Column Member Format</t>
  </si>
  <si>
    <t>Beschäftigungsausmaß in Prozent</t>
  </si>
  <si>
    <t>Gesamt</t>
  </si>
  <si>
    <t>Wintersemester 2013 (Stichtag: 31.12.2013)</t>
  </si>
  <si>
    <t>Alternate Rows</t>
  </si>
  <si>
    <t>&lt;--  writeable cell format</t>
  </si>
  <si>
    <t>Wintersemester 2021 (Stichtag: 31.12.2021)</t>
  </si>
  <si>
    <t>Slicer Title</t>
  </si>
  <si>
    <t>Calendar Period</t>
  </si>
  <si>
    <t>&lt;-- default cell format</t>
  </si>
  <si>
    <t>Written Member</t>
  </si>
  <si>
    <t>Dimension/Column</t>
  </si>
  <si>
    <t>4) Prozentangaben werden standardmäßig mit einer Kommastelle angezeigt</t>
  </si>
  <si>
    <t>Wintersemester 2007 (Stichtag: 31.12.2007)</t>
  </si>
  <si>
    <t>Personal Universitäten</t>
  </si>
  <si>
    <t>Funktionen an Universitäten</t>
  </si>
  <si>
    <t>Wertart</t>
  </si>
  <si>
    <t>Wintersemester 2015 (Stichtag: 31.12.2015)</t>
  </si>
  <si>
    <t>Männer</t>
  </si>
  <si>
    <t>Slice Name (Optional)</t>
  </si>
  <si>
    <t>Measures</t>
  </si>
  <si>
    <t>Wintersemester 2009 (Stichtag: 31.12.2009)</t>
  </si>
  <si>
    <t>Wintersemester 2023 (Stichtag: 31.12.2023)</t>
  </si>
  <si>
    <t>Vizerektor/in</t>
  </si>
  <si>
    <t>[PU Person].[Geschlecht]</t>
  </si>
  <si>
    <t>Leiter/in OrgEinheit Lehre/Forschung/EEK</t>
  </si>
  <si>
    <t>Wintersemester 2017 (Stichtag: 31.12.2017)</t>
  </si>
  <si>
    <t>Customer</t>
  </si>
  <si>
    <t>-All Customer</t>
  </si>
  <si>
    <t>Default Alternate Row Member Format --&gt;</t>
  </si>
  <si>
    <t>Organ für studienrechtliche Angelegenheiten</t>
  </si>
  <si>
    <t>Rektor/in</t>
  </si>
  <si>
    <t>Wintersemester 2010 (Stichtag: 31.12.2010)</t>
  </si>
  <si>
    <t>Leiter/in OrgEinheit mit anderen Aufgaben</t>
  </si>
  <si>
    <t>Slicer Item</t>
  </si>
  <si>
    <t>&lt;-- default Slicer Member Format</t>
  </si>
  <si>
    <t>Default Row Member Format --&gt;</t>
  </si>
  <si>
    <t>Grid/Table Name</t>
  </si>
  <si>
    <t>[Measures]</t>
  </si>
  <si>
    <t>(bereinigte Kopfzahlen ohne karenzierte und ausgeschiedene Personen)</t>
  </si>
  <si>
    <t>Wintersemester 2019 (Stichtag: 31.12.2019)</t>
  </si>
  <si>
    <t>&lt;-- writeable Slicer Member Format</t>
  </si>
  <si>
    <t>Slice Format 1</t>
  </si>
  <si>
    <t>&lt;-- Gesamtzeile</t>
  </si>
  <si>
    <t>3) Formatierung der Gesamtspalte und -zeile (siehe E25:E26)</t>
  </si>
  <si>
    <t>Frauen-/Männeranteil in %</t>
  </si>
  <si>
    <t>Funktion</t>
  </si>
  <si>
    <t>Wintersemester 2012 (Stichtag: 31.12.2012)</t>
  </si>
  <si>
    <t>Slicer Button</t>
  </si>
  <si>
    <t>+2009</t>
  </si>
  <si>
    <t>&lt;-- default alternate row cell format</t>
  </si>
  <si>
    <t>&lt;--  written cell format</t>
  </si>
  <si>
    <t>bereinigte Kopfzahlen</t>
  </si>
  <si>
    <t>Wintersemester 2006 (Stichtag: 31.12.2006)</t>
  </si>
  <si>
    <t>Wintersemester 2020 (Stichtag: 31.12.2020)</t>
  </si>
  <si>
    <t>Display Formats For:</t>
  </si>
  <si>
    <t>Enabled?</t>
  </si>
  <si>
    <t>&lt;-- Gesamtspalte</t>
  </si>
  <si>
    <t>Datenprüfung: bmfwf, Abt. I/2</t>
  </si>
  <si>
    <t>Quelle: Datenmeldungen der Universitäten auf Basis UHSBV</t>
  </si>
  <si>
    <t>Wintersemester 2014 (Stichtag: 31.12.2014)</t>
  </si>
  <si>
    <t>Vorsitzende/r des Senats</t>
  </si>
  <si>
    <t>Slicer Button Hover</t>
  </si>
  <si>
    <t>Label Format--&gt;</t>
  </si>
  <si>
    <t>&lt;--  written cell by another user cell format</t>
  </si>
  <si>
    <t>Summary Written Member</t>
  </si>
  <si>
    <t>Data Format</t>
  </si>
  <si>
    <t>1) Spaltenüberschrift mittels Menüpunkt Daten/Gruppieren/Gruppieren ausblenden</t>
  </si>
  <si>
    <t>(Members of Beschäftigungsausmaß in Prozent) - (0, Fehler, Keine Angabe, Unknown, Ausgeschieden)</t>
  </si>
  <si>
    <t>Wintersemester 2022 (Stichtag: 31.12.2022)</t>
  </si>
  <si>
    <t>Marital Status</t>
  </si>
  <si>
    <t>Default Writeable Member Format --&gt;</t>
  </si>
  <si>
    <t>Slice Format 2</t>
  </si>
  <si>
    <t>Anmerkung zur Technischen Universität Wien: seit Wintersemester 2019 (Stichtag: 31.12.2019) - vorläufige Zahlen</t>
  </si>
  <si>
    <t>Wintersemester 2008 (Stichtag: 31.12.2008)</t>
  </si>
  <si>
    <t>Wintersemester 2016 (Stichtag: 31.12.2016)</t>
  </si>
  <si>
    <t>Writeable Member</t>
  </si>
  <si>
    <t>Alle Funktionskategorien gemäß Z 3.7 der Anlage 9 UHSBV</t>
  </si>
  <si>
    <t>Geschlecht</t>
  </si>
  <si>
    <t>Wintersemester 2024 (Stichtag: 31.12.2024)</t>
  </si>
  <si>
    <t>Slicer Button Selected</t>
  </si>
  <si>
    <t>&lt;--  summary written cell</t>
  </si>
  <si>
    <t>Formatierungsrichtlinien</t>
  </si>
  <si>
    <t>2) Wenn möglich die nicht hierarchische Darstellung eines Slicers wählen (Slicer Type)</t>
  </si>
  <si>
    <t>5) Formatierung von Zahlen prüfen (Ganzzahl oder Zahl mit einer Kommastelle)</t>
  </si>
  <si>
    <t>Wintersemester 2005 (Stichtag: 15.10.2005)</t>
  </si>
</sst>
</file>

<file path=xl/styles.xml><?xml version="1.0" encoding="utf-8"?>
<styleSheet xmlns="http://schemas.openxmlformats.org/spreadsheetml/2006/main">
  <numFmts count="2">
    <numFmt numFmtId="164" formatCode="0.0%"/>
    <numFmt numFmtId="165" formatCode=";;;"/>
  </numFmts>
  <fonts count="35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0000"/>
      <name val="Tahoma"/>
      <family val="2"/>
    </font>
    <font>
      <b/>
      <sz val="10"/>
      <name val="Tahoma"/>
      <family val="2"/>
    </font>
    <font>
      <sz val="10"/>
      <color rgb="FF595959"/>
      <name val="Tahoma"/>
    </font>
    <font>
      <b/>
      <sz val="8"/>
      <color indexed="23"/>
      <name val="Tahoma"/>
      <family val="2"/>
    </font>
    <font>
      <sz val="9"/>
      <name val="Tahoma"/>
      <family val="2"/>
    </font>
    <font>
      <b/>
      <sz val="11"/>
      <color rgb="FF000000"/>
      <name val="Tahoma"/>
      <family val="2"/>
    </font>
    <font>
      <sz val="10"/>
      <color rgb="FF262626"/>
      <name val="Tahoma"/>
      <family val="2"/>
    </font>
    <font>
      <sz val="11"/>
      <color rgb="FF000000"/>
      <name val="Tahoma"/>
      <family val="2"/>
    </font>
    <font>
      <sz val="8"/>
      <name val="Tahoma"/>
      <family val="2"/>
    </font>
    <font>
      <sz val="10"/>
      <name val="Tahoma"/>
      <family val="2"/>
    </font>
    <font>
      <sz val="10"/>
      <color theme="1" tint="0.0499893185216834"/>
      <name val="Tahoma"/>
      <family val="2"/>
    </font>
    <font>
      <sz val="10"/>
      <color theme="1" tint="0.34998626667073579"/>
      <name val="Tahoma"/>
      <family val="2"/>
    </font>
    <font>
      <sz val="10"/>
      <color theme="1" tint="0.14996795556505021"/>
      <name val="Tahoma"/>
      <family val="2"/>
    </font>
    <font>
      <b/>
      <sz val="8"/>
      <color rgb="FFFF0000"/>
      <name val="Tahoma"/>
      <family val="2"/>
    </font>
    <font>
      <b/>
      <sz val="11"/>
      <color theme="1"/>
      <name val="Calibri"/>
      <family val="2"/>
      <scheme val="minor"/>
    </font>
    <font>
      <sz val="10"/>
      <color rgb="FFFF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i/>
      <sz val="11"/>
      <color rgb="FF7F7F7F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6D9F1"/>
        <bgColor rgb="FFFFFFFF"/>
      </patternFill>
    </fill>
    <fill>
      <patternFill patternType="solid">
        <fgColor indexed="22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0C0C0"/>
        <bgColor rgb="FFFFFFFF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rgb="FFFFFFFF"/>
      </patternFill>
    </fill>
    <fill>
      <patternFill patternType="solid">
        <fgColor rgb="FFDDDDDD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0"/>
        <bgColor indexed="64"/>
      </patternFill>
    </fill>
  </fills>
  <borders count="8">
    <border>
      <left/>
      <right/>
      <top/>
      <bottom/>
      <diagonal/>
    </border>
    <border>
      <left/>
      <right style="hair">
        <color rgb="FFC0C0C0"/>
      </right>
      <top/>
      <bottom/>
      <diagonal/>
    </border>
    <border>
      <left style="hair">
        <color rgb="FFC0C0C0"/>
      </left>
      <right style="hair">
        <color rgb="FFC0C0C0"/>
      </right>
      <top style="hair">
        <color rgb="FFC0C0C0"/>
      </top>
      <bottom style="hair">
        <color rgb="FFC0C0C0"/>
      </bottom>
      <diagonal/>
    </border>
    <border>
      <left style="hair">
        <color rgb="FFC0C0C0"/>
      </left>
      <right/>
      <top style="hair">
        <color rgb="FFC0C0C0"/>
      </top>
      <bottom/>
      <diagonal/>
    </border>
    <border>
      <left style="hair">
        <color rgb="FFC0C0C0"/>
      </left>
      <right/>
      <top style="hair">
        <color rgb="FFC0C0C0"/>
      </top>
      <bottom style="hair">
        <color rgb="FFC0C0C0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rgb="FFC0C0C0"/>
      </left>
      <right style="hair">
        <color rgb="FFC0C0C0"/>
      </right>
      <top style="hair">
        <color rgb="FFC0C0C0"/>
      </top>
      <bottom/>
      <diagonal/>
    </border>
    <border>
      <left style="thin">
        <color indexed="23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67">
    <xf numFmtId="0" fontId="0" fillId="0" borderId="0" xfId="0"/>
    <xf numFmtId="0" fontId="2" fillId="0" borderId="0" xfId="0" applyFont="1" applyFill="1" applyBorder="1"/>
    <xf numFmtId="3" fontId="3" fillId="0" borderId="0" xfId="0" applyNumberFormat="1" applyFont="1" applyFill="1" applyBorder="1"/>
    <xf numFmtId="0" fontId="4" fillId="0" borderId="0" xfId="0" applyFont="1" applyFill="1" applyBorder="1" applyAlignment="1">
      <alignment horizontal="left" vertical="center"/>
    </xf>
    <xf numFmtId="0" fontId="5" fillId="0" borderId="0" xfId="0" applyFont="1"/>
    <xf numFmtId="0" fontId="0" fillId="0" borderId="0" xfId="0" applyFill="1" applyBorder="1" applyAlignment="1"/>
    <xf numFmtId="0" fontId="6" fillId="2" borderId="1" xfId="0" quotePrefix="1" applyFont="1" applyFill="1" applyBorder="1" applyAlignment="1" applyProtection="1"/>
    <xf numFmtId="0" fontId="7" fillId="0" borderId="0" xfId="0" applyFont="1"/>
    <xf numFmtId="0" fontId="8" fillId="3" borderId="0" xfId="1" applyFont="1" applyFill="1" applyBorder="1" applyAlignment="1">
      <alignment horizontal="center"/>
    </xf>
    <xf numFmtId="0" fontId="9" fillId="0" borderId="0" xfId="0" applyFont="1" applyFill="1" applyBorder="1" applyAlignment="1">
      <alignment vertical="top"/>
    </xf>
    <xf numFmtId="0" fontId="10" fillId="0" borderId="2" xfId="0" quotePrefix="1" applyFont="1" applyFill="1" applyBorder="1" applyAlignment="1" applyProtection="1">
      <alignment horizontal="center"/>
    </xf>
    <xf numFmtId="0" fontId="11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10" fillId="0" borderId="2" xfId="0" applyFont="1" applyFill="1" applyBorder="1" applyAlignment="1" applyProtection="1">
      <alignment horizontal="right"/>
    </xf>
    <xf numFmtId="0" fontId="12" fillId="0" borderId="0" xfId="1" applyFont="1"/>
    <xf numFmtId="0" fontId="13" fillId="0" borderId="0" xfId="0" applyNumberFormat="1" applyFont="1" applyAlignment="1"/>
    <xf numFmtId="0" fontId="14" fillId="0" borderId="0" xfId="0" applyFont="1"/>
    <xf numFmtId="0" fontId="15" fillId="4" borderId="0" xfId="0" applyFont="1" applyFill="1" applyAlignment="1"/>
    <xf numFmtId="0" fontId="7" fillId="0" borderId="0" xfId="0" applyFont="1" applyAlignment="1">
      <alignment horizontal="right"/>
    </xf>
    <xf numFmtId="0" fontId="13" fillId="0" borderId="0" xfId="0" applyFont="1"/>
    <xf numFmtId="0" fontId="10" fillId="0" borderId="3" xfId="0" applyFont="1" applyBorder="1" applyAlignment="1" applyProtection="1">
      <alignment horizontal="center"/>
    </xf>
    <xf numFmtId="3" fontId="10" fillId="0" borderId="2" xfId="0" applyNumberFormat="1" applyFont="1" applyFill="1" applyBorder="1" applyAlignment="1" applyProtection="1">
      <alignment horizontal="right"/>
    </xf>
    <xf numFmtId="0" fontId="13" fillId="0" borderId="0" xfId="0" applyFont="1" applyAlignment="1">
      <alignment horizontal="center"/>
    </xf>
    <xf numFmtId="0" fontId="12" fillId="4" borderId="0" xfId="1" applyFont="1" applyFill="1"/>
    <xf numFmtId="164" fontId="10" fillId="5" borderId="4" xfId="0" applyNumberFormat="1" applyFont="1" applyFill="1" applyBorder="1" applyAlignment="1" applyProtection="1">
      <alignment horizontal="right"/>
    </xf>
    <xf numFmtId="164" fontId="10" fillId="6" borderId="2" xfId="0" applyNumberFormat="1" applyFont="1" applyFill="1" applyBorder="1" applyAlignment="1" applyProtection="1">
      <alignment horizontal="right"/>
    </xf>
    <xf numFmtId="164" fontId="10" fillId="6" borderId="2" xfId="0" quotePrefix="1" applyNumberFormat="1" applyFont="1" applyFill="1" applyBorder="1" applyAlignment="1" applyProtection="1">
      <alignment horizontal="right"/>
    </xf>
    <xf numFmtId="0" fontId="10" fillId="0" borderId="3" xfId="0" applyFont="1" applyBorder="1" applyAlignment="1" applyProtection="1">
      <alignment horizontal="right"/>
    </xf>
    <xf numFmtId="0" fontId="16" fillId="0" borderId="0" xfId="0" applyFont="1"/>
    <xf numFmtId="0" fontId="9" fillId="0" borderId="0" xfId="0" applyFont="1" applyFill="1" applyBorder="1" applyAlignment="1">
      <alignment horizontal="left" vertical="top"/>
    </xf>
    <xf numFmtId="0" fontId="13" fillId="7" borderId="0" xfId="0" applyFont="1" applyFill="1"/>
    <xf numFmtId="0" fontId="17" fillId="0" borderId="0" xfId="0" applyFont="1"/>
    <xf numFmtId="0" fontId="13" fillId="0" borderId="0" xfId="0" applyNumberFormat="1" applyFont="1" applyFill="1" applyBorder="1" applyAlignment="1"/>
    <xf numFmtId="0" fontId="10" fillId="8" borderId="2" xfId="0" applyFont="1" applyFill="1" applyBorder="1" applyAlignment="1" applyProtection="1">
      <alignment horizontal="right"/>
    </xf>
    <xf numFmtId="165" fontId="13" fillId="0" borderId="0" xfId="0" applyNumberFormat="1" applyFont="1"/>
    <xf numFmtId="0" fontId="4" fillId="0" borderId="0" xfId="0" quotePrefix="1" applyFont="1" applyFill="1" applyAlignment="1">
      <alignment vertical="top"/>
    </xf>
    <xf numFmtId="0" fontId="18" fillId="0" borderId="0" xfId="0" applyFont="1" applyFill="1" applyBorder="1" applyAlignment="1"/>
    <xf numFmtId="0" fontId="10" fillId="0" borderId="2" xfId="0" quotePrefix="1" applyFont="1" applyBorder="1" applyAlignment="1" applyProtection="1"/>
    <xf numFmtId="0" fontId="5" fillId="0" borderId="0" xfId="0" applyFont="1" applyFill="1" applyBorder="1" applyAlignment="1">
      <alignment vertical="center"/>
    </xf>
    <xf numFmtId="0" fontId="19" fillId="0" borderId="0" xfId="0" applyFont="1"/>
    <xf numFmtId="0" fontId="13" fillId="0" borderId="0" xfId="0" applyFont="1" applyFill="1" applyBorder="1" applyAlignment="1">
      <alignment vertical="center"/>
    </xf>
    <xf numFmtId="0" fontId="0" fillId="0" borderId="0" xfId="0" applyFont="1"/>
    <xf numFmtId="0" fontId="16" fillId="0" borderId="5" xfId="0" quotePrefix="1" applyFont="1" applyFill="1" applyBorder="1" applyAlignment="1">
      <alignment horizontal="right"/>
    </xf>
    <xf numFmtId="0" fontId="13" fillId="0" borderId="0" xfId="0" quotePrefix="1" applyFont="1" applyFill="1"/>
    <xf numFmtId="0" fontId="10" fillId="0" borderId="2" xfId="0" applyFont="1" applyFill="1" applyBorder="1" applyAlignment="1" applyProtection="1">
      <alignment vertical="center"/>
    </xf>
    <xf numFmtId="3" fontId="13" fillId="0" borderId="0" xfId="0" applyNumberFormat="1" applyFont="1" applyAlignment="1"/>
    <xf numFmtId="2" fontId="13" fillId="0" borderId="0" xfId="0" applyNumberFormat="1" applyFont="1"/>
    <xf numFmtId="3" fontId="13" fillId="7" borderId="0" xfId="0" applyNumberFormat="1" applyFont="1" applyFill="1" applyAlignment="1"/>
    <xf numFmtId="0" fontId="10" fillId="9" borderId="6" xfId="0" applyFont="1" applyFill="1" applyBorder="1" applyAlignment="1" applyProtection="1">
      <alignment horizontal="right"/>
    </xf>
    <xf numFmtId="0" fontId="13" fillId="0" borderId="0" xfId="0" quotePrefix="1" applyFont="1"/>
    <xf numFmtId="3" fontId="10" fillId="8" borderId="2" xfId="0" applyNumberFormat="1" applyFont="1" applyFill="1" applyBorder="1" applyAlignment="1" applyProtection="1">
      <alignment horizontal="right"/>
    </xf>
    <xf numFmtId="0" fontId="13" fillId="7" borderId="0" xfId="0" applyNumberFormat="1" applyFont="1" applyFill="1" applyAlignment="1"/>
    <xf numFmtId="3" fontId="16" fillId="0" borderId="5" xfId="0" applyNumberFormat="1" applyFont="1" applyFill="1" applyBorder="1" applyAlignment="1"/>
    <xf numFmtId="0" fontId="18" fillId="0" borderId="0" xfId="0" applyFont="1"/>
    <xf numFmtId="0" fontId="10" fillId="9" borderId="3" xfId="0" applyFont="1" applyFill="1" applyBorder="1" applyAlignment="1" applyProtection="1">
      <alignment horizontal="right"/>
    </xf>
    <xf numFmtId="0" fontId="12" fillId="7" borderId="0" xfId="1" applyFont="1" applyFill="1"/>
    <xf numFmtId="0" fontId="7" fillId="0" borderId="0" xfId="0" applyFont="1" applyAlignment="1">
      <alignment horizontal="center"/>
    </xf>
    <xf numFmtId="3" fontId="13" fillId="10" borderId="0" xfId="0" applyNumberFormat="1" applyFont="1" applyFill="1" applyAlignment="1"/>
    <xf numFmtId="0" fontId="0" fillId="0" borderId="0" xfId="0" applyFont="1" applyFill="1" applyBorder="1" applyAlignment="1"/>
    <xf numFmtId="0" fontId="16" fillId="0" borderId="5" xfId="0" quotePrefix="1" applyFont="1" applyFill="1" applyBorder="1" applyAlignment="1"/>
    <xf numFmtId="0" fontId="16" fillId="0" borderId="5" xfId="0" applyFont="1" applyFill="1" applyBorder="1" applyAlignment="1">
      <alignment vertical="center"/>
    </xf>
    <xf numFmtId="3" fontId="13" fillId="11" borderId="0" xfId="0" applyNumberFormat="1" applyFont="1" applyFill="1" applyAlignment="1"/>
    <xf numFmtId="3" fontId="5" fillId="0" borderId="0" xfId="0" applyNumberFormat="1" applyFont="1" applyFill="1" applyAlignment="1"/>
    <xf numFmtId="0" fontId="0" fillId="0" borderId="0" xfId="0" applyFill="1" applyBorder="1" applyAlignment="1">
      <alignment vertical="center"/>
    </xf>
    <xf numFmtId="0" fontId="13" fillId="0" borderId="0" xfId="0" applyNumberFormat="1" applyFont="1"/>
    <xf numFmtId="0" fontId="8" fillId="3" borderId="7" xfId="1" applyFont="1" applyFill="1" applyBorder="1" applyAlignment="1">
      <alignment horizontal="center"/>
    </xf>
    <xf numFmtId="0" fontId="10" fillId="0" borderId="2" xfId="0" quotePrefix="1" applyFont="1" applyFill="1" applyBorder="1" applyAlignment="1" applyProtection="1">
      <alignment vertical="center"/>
    </xf>
  </cellXfs>
  <cellStyles count="2">
    <cellStyle name="Normal" xfId="0" builtinId="0"/>
    <cellStyle name="Normal_Sheet1" xfId="1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1</xdr:col>
      <xdr:colOff>0</xdr:colOff>
      <xdr:row>9</xdr:row>
      <xdr:rowOff>0</xdr:rowOff>
    </xdr:from>
    <xdr:to>
      <xdr:col>2</xdr:col>
      <xdr:colOff>728987</xdr:colOff>
      <xdr:row>10</xdr:row>
      <xdr:rowOff>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14463" y="1711325"/>
          <a:ext cx="3697611" cy="189865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absolute">
    <xdr:from>
      <xdr:col>9</xdr:col>
      <xdr:colOff>114300</xdr:colOff>
      <xdr:row>3</xdr:row>
      <xdr:rowOff>109220</xdr:rowOff>
    </xdr:from>
    <xdr:to>
      <xdr:col>10</xdr:col>
      <xdr:colOff>305497</xdr:colOff>
      <xdr:row>7</xdr:row>
      <xdr:rowOff>104140</xdr:rowOff>
    </xdr:to>
    <xdr:sp macro="" textlink="">
      <xdr:nvSpPr>
        <xdr:cNvPr id="2" name="Comment 1" hidden="1"/>
        <xdr:cNvSpPr txBox="1"/>
      </xdr:nvSpPr>
      <xdr:spPr>
        <a:xfrm>
          <a:off x="12905418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XLCubed:</a:t>
          </a:r>
        </a:p>
        <a:p>
          <a:pPr algn="l"/>
          <a:r>
            <a:rPr/>
            <a:t>Blank name gives the default format.</a:t>
          </a:r>
        </a:p>
        <a:p>
          <a:pPr algn="l"/>
          <a:r>
            <a:rPr/>
            <a:t>Specify slicer name for slicer specific formats</a:t>
          </a:r>
        </a:p>
      </xdr:txBody>
    </xdr:sp>
    <xdr:clientData/>
  </xdr:twoCellAnchor>
  <xdr:twoCellAnchor editAs="absolute">
    <xdr:from>
      <xdr:col>10</xdr:col>
      <xdr:colOff>114300</xdr:colOff>
      <xdr:row>3</xdr:row>
      <xdr:rowOff>109220</xdr:rowOff>
    </xdr:from>
    <xdr:to>
      <xdr:col>11</xdr:col>
      <xdr:colOff>305497</xdr:colOff>
      <xdr:row>7</xdr:row>
      <xdr:rowOff>104140</xdr:rowOff>
    </xdr:to>
    <xdr:sp macro="" textlink="">
      <xdr:nvSpPr>
        <xdr:cNvPr id="3" name="Comment 2" hidden="1"/>
        <xdr:cNvSpPr txBox="1"/>
      </xdr:nvSpPr>
      <xdr:spPr>
        <a:xfrm>
          <a:off x="13811500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slicer title</a:t>
          </a:r>
        </a:p>
        <a:p>
          <a:pPr algn="l"/>
          <a:endParaRPr/>
        </a:p>
        <a:p>
          <a:pPr algn="l"/>
          <a:endParaRPr/>
        </a:p>
      </xdr:txBody>
    </xdr:sp>
    <xdr:clientData/>
  </xdr:twoCellAnchor>
  <xdr:twoCellAnchor editAs="absolute">
    <xdr:from>
      <xdr:col>11</xdr:col>
      <xdr:colOff>114300</xdr:colOff>
      <xdr:row>3</xdr:row>
      <xdr:rowOff>109220</xdr:rowOff>
    </xdr:from>
    <xdr:to>
      <xdr:col>12</xdr:col>
      <xdr:colOff>305497</xdr:colOff>
      <xdr:row>7</xdr:row>
      <xdr:rowOff>104140</xdr:rowOff>
    </xdr:to>
    <xdr:sp macro="" textlink="">
      <xdr:nvSpPr>
        <xdr:cNvPr id="4" name="Comment 3" hidden="1"/>
        <xdr:cNvSpPr txBox="1"/>
      </xdr:nvSpPr>
      <xdr:spPr>
        <a:xfrm>
          <a:off x="14717583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Format for non-button slicer text</a:t>
          </a:r>
        </a:p>
        <a:p>
          <a:pPr algn="l"/>
          <a:endParaRPr/>
        </a:p>
      </xdr:txBody>
    </xdr:sp>
    <xdr:clientData/>
  </xdr:twoCellAnchor>
  <xdr:twoCellAnchor editAs="absolute">
    <xdr:from>
      <xdr:col>12</xdr:col>
      <xdr:colOff>114300</xdr:colOff>
      <xdr:row>3</xdr:row>
      <xdr:rowOff>109220</xdr:rowOff>
    </xdr:from>
    <xdr:to>
      <xdr:col>13</xdr:col>
      <xdr:colOff>44867</xdr:colOff>
      <xdr:row>7</xdr:row>
      <xdr:rowOff>104140</xdr:rowOff>
    </xdr:to>
    <xdr:sp macro="" textlink="">
      <xdr:nvSpPr>
        <xdr:cNvPr id="5" name="Comment 4" hidden="1"/>
        <xdr:cNvSpPr txBox="1"/>
      </xdr:nvSpPr>
      <xdr:spPr>
        <a:xfrm>
          <a:off x="15623665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Default format for slicer buttons</a:t>
          </a:r>
        </a:p>
      </xdr:txBody>
    </xdr:sp>
    <xdr:clientData/>
  </xdr:twoCellAnchor>
  <xdr:twoCellAnchor editAs="absolute">
    <xdr:from>
      <xdr:col>13</xdr:col>
      <xdr:colOff>114300</xdr:colOff>
      <xdr:row>3</xdr:row>
      <xdr:rowOff>109220</xdr:rowOff>
    </xdr:from>
    <xdr:to>
      <xdr:col>14</xdr:col>
      <xdr:colOff>169913</xdr:colOff>
      <xdr:row>7</xdr:row>
      <xdr:rowOff>104140</xdr:rowOff>
    </xdr:to>
    <xdr:sp macro="" textlink="">
      <xdr:nvSpPr>
        <xdr:cNvPr id="6" name="Comment 5" hidden="1"/>
        <xdr:cNvSpPr txBox="1"/>
      </xdr:nvSpPr>
      <xdr:spPr>
        <a:xfrm>
          <a:off x="16790379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selected button</a:t>
          </a:r>
        </a:p>
      </xdr:txBody>
    </xdr:sp>
    <xdr:clientData/>
  </xdr:twoCellAnchor>
  <xdr:twoCellAnchor editAs="absolute">
    <xdr:from>
      <xdr:col>14</xdr:col>
      <xdr:colOff>114300</xdr:colOff>
      <xdr:row>3</xdr:row>
      <xdr:rowOff>109220</xdr:rowOff>
    </xdr:from>
    <xdr:to>
      <xdr:col>14</xdr:col>
      <xdr:colOff>1211580</xdr:colOff>
      <xdr:row>7</xdr:row>
      <xdr:rowOff>104140</xdr:rowOff>
    </xdr:to>
    <xdr:sp macro="" textlink="">
      <xdr:nvSpPr>
        <xdr:cNvPr id="7" name="Comment 6" hidden="1"/>
        <xdr:cNvSpPr txBox="1"/>
      </xdr:nvSpPr>
      <xdr:spPr>
        <a:xfrm>
          <a:off x="17832046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button when hovered over</a:t>
          </a:r>
        </a:p>
        <a:p>
          <a:pPr algn="l"/>
          <a:endParaRPr/>
        </a:p>
      </xdr:txBody>
    </xdr:sp>
    <xdr:clientData/>
  </xdr:twoCellAnchor>
  <xdr:twoCellAnchor editAs="absolute">
    <xdr:from>
      <xdr:col>15</xdr:col>
      <xdr:colOff>114300</xdr:colOff>
      <xdr:row>3</xdr:row>
      <xdr:rowOff>109220</xdr:rowOff>
    </xdr:from>
    <xdr:to>
      <xdr:col>16</xdr:col>
      <xdr:colOff>545050</xdr:colOff>
      <xdr:row>7</xdr:row>
      <xdr:rowOff>104140</xdr:rowOff>
    </xdr:to>
    <xdr:sp macro="" textlink="">
      <xdr:nvSpPr>
        <xdr:cNvPr id="8" name="Comment 7" hidden="1"/>
        <xdr:cNvSpPr txBox="1"/>
      </xdr:nvSpPr>
      <xdr:spPr>
        <a:xfrm>
          <a:off x="19165392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Background between the slicer buttons.</a:t>
          </a:r>
        </a:p>
      </xdr:txBody>
    </xdr:sp>
    <xdr:clientData/>
  </xdr:twoCellAnchor>
  <xdr:twoCellAnchor editAs="absolute">
    <xdr:from>
      <xdr:col>4</xdr:col>
      <xdr:colOff>114300</xdr:colOff>
      <xdr:row>22</xdr:row>
      <xdr:rowOff>109220</xdr:rowOff>
    </xdr:from>
    <xdr:to>
      <xdr:col>4</xdr:col>
      <xdr:colOff>1211580</xdr:colOff>
      <xdr:row>26</xdr:row>
      <xdr:rowOff>104140</xdr:rowOff>
    </xdr:to>
    <xdr:sp macro="" textlink="">
      <xdr:nvSpPr>
        <xdr:cNvPr id="9" name="Comment 8" hidden="1"/>
        <xdr:cNvSpPr txBox="1"/>
      </xdr:nvSpPr>
      <xdr:spPr>
        <a:xfrm>
          <a:off x="7322513" y="356362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Can use wildcard character - '*'</a:t>
          </a:r>
        </a:p>
        <a:p>
          <a:pPr algn="l"/>
          <a:endParaRPr/>
        </a:p>
        <a:p>
          <a:pPr algn="l"/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K640"/>
  <sheetViews>
    <sheetView tabSelected="1" workbookViewId="0"/>
  </sheetViews>
  <sheetFormatPr defaultColWidth="11.42578125" defaultRowHeight="14.95"/>
  <cols>
    <col min="1" max="1" width="42.7109375" style="41" customWidth="1"/>
    <col min="2" max="2" width="40.7109375" customWidth="1"/>
    <col min="3" max="7" width="11.7109375" customWidth="1"/>
    <col min="8" max="8" width="8.28515625" customWidth="1"/>
    <col min="9" max="9" width="7.140625" customWidth="1"/>
    <col min="10" max="10" width="7.85546875" customWidth="1"/>
    <col min="11" max="11" width="11.28515625" customWidth="1"/>
    <col min="12" max="12" width="9.85546875" customWidth="1"/>
    <col min="13" max="13" width="7.28515625" customWidth="1"/>
    <col min="14" max="14" width="11.28515625" customWidth="1"/>
    <col min="15" max="15" width="9.85546875" customWidth="1"/>
    <col min="16" max="16" width="7.28515625" customWidth="1"/>
    <col min="17" max="17" width="11.28515625" customWidth="1"/>
    <col min="18" max="18" width="7.28515625" customWidth="1"/>
    <col min="19" max="19" width="11.28515625" customWidth="1"/>
    <col min="20" max="20" width="9.85546875" customWidth="1"/>
    <col min="21" max="21" width="7.28515625" customWidth="1"/>
    <col min="22" max="22" width="11.28515625" customWidth="1"/>
    <col min="23" max="23" width="9.85546875" customWidth="1"/>
    <col min="24" max="24" width="7.28515625" customWidth="1"/>
    <col min="25" max="25" width="11.28515625" customWidth="1"/>
    <col min="26" max="26" width="17.140625" customWidth="1"/>
    <col min="27" max="27" width="6.7109375" customWidth="1"/>
    <col min="28" max="28" width="7.140625" customWidth="1"/>
    <col min="29" max="29" width="17.140625" customWidth="1"/>
    <col min="30" max="30" width="6.7109375" customWidth="1"/>
    <col min="31" max="31" width="7.140625" customWidth="1"/>
    <col min="32" max="32" width="17.140625" customWidth="1"/>
    <col min="33" max="33" width="6.7109375" customWidth="1"/>
    <col min="34" max="34" width="7.140625" customWidth="1"/>
  </cols>
  <sheetData>
    <row>
      <c s="11" t="s">
        <v>29</v>
      </c>
      <c s="11"/>
      <c s="11"/>
      <c s="11"/>
      <c s="11"/>
      <c s="5"/>
    </row>
    <row s="53" customFormat="1">
      <c s="9" t="s">
        <v>30</v>
      </c>
      <c s="9"/>
      <c s="9"/>
      <c s="9"/>
      <c s="9"/>
      <c s="36"/>
    </row>
    <row ht="15" customHeight="1" s="53" customFormat="1">
      <c s="3" t="s">
        <v>92</v>
      </c>
      <c s="3"/>
      <c s="3"/>
      <c s="29"/>
      <c s="29"/>
      <c s="36"/>
    </row>
    <row ht="15" customHeight="1" s="53" customFormat="1">
      <c s="3" t="s">
        <v>54</v>
      </c>
      <c s="3"/>
      <c s="3"/>
      <c s="29"/>
      <c s="29"/>
      <c s="36"/>
    </row>
    <row ht="15" customHeight="1" s="53" customFormat="1">
      <c s="3" t="s">
        <v>88</v>
      </c>
      <c s="3"/>
      <c s="3"/>
      <c s="3"/>
      <c s="3"/>
      <c s="3"/>
      <c s="3"/>
    </row>
    <row>
      <c s="3" t="s">
        <v>74</v>
      </c>
      <c s="3"/>
      <c s="3"/>
      <c s="12"/>
      <c s="12"/>
      <c s="12"/>
    </row>
    <row>
      <c s="35" t="s">
        <v>73</v>
      </c>
      <c s="12"/>
      <c s="12"/>
      <c s="12"/>
      <c s="12"/>
      <c s="3"/>
    </row>
    <row>
      <c s="35" t="s">
        <v>14</v>
      </c>
      <c s="12"/>
      <c s="12"/>
      <c s="12"/>
      <c s="12"/>
      <c s="63"/>
    </row>
    <row ht="15" customHeight="1">
      <c s="58"/>
      <c s="5"/>
      <c s="5"/>
      <c s="5"/>
      <c s="5"/>
      <c s="5"/>
    </row>
    <row>
      <c s="6" t="s">
        <v>2</v>
      </c>
      <c s="37" t="s">
        <v>17</v>
      </c>
    </row>
    <row ht="15" hidden="1">
      <c s="6" t="s">
        <v>16</v>
      </c>
      <c s="37" t="s">
        <v>83</v>
      </c>
    </row>
    <row>
      <c/>
    </row>
    <row>
      <c/>
    </row>
    <row ht="15" hidden="1">
      <c/>
      <c r="C14" s="6" t="s">
        <v>35</v>
      </c>
      <c s="6" t="s">
        <v>31</v>
      </c>
      <c s="6" t="s">
        <v>93</v>
      </c>
    </row>
    <row>
      <c/>
      <c r="C15" s="10" t="s">
        <v>67</v>
      </c>
      <c s="10"/>
      <c s="10"/>
      <c s="10"/>
      <c s="10"/>
    </row>
    <row>
      <c/>
      <c r="C16" s="10" t="s">
        <v>9</v>
      </c>
      <c s="10"/>
      <c s="10"/>
      <c s="26" t="s">
        <v>60</v>
      </c>
      <c s="26"/>
    </row>
    <row>
      <c s="6" t="s">
        <v>0</v>
      </c>
      <c s="6" t="s">
        <v>61</v>
      </c>
      <c s="13" t="s">
        <v>3</v>
      </c>
      <c s="13" t="s">
        <v>33</v>
      </c>
      <c s="33" t="s">
        <v>17</v>
      </c>
      <c s="13" t="s">
        <v>3</v>
      </c>
      <c s="13" t="s">
        <v>33</v>
      </c>
    </row>
    <row>
      <c s="66" t="s">
        <v>94</v>
      </c>
      <c s="44" t="s">
        <v>46</v>
      </c>
      <c s="21">
        <v>9</v>
      </c>
      <c s="21">
        <v>13</v>
      </c>
      <c s="50">
        <v>22</v>
      </c>
      <c s="25">
        <v>0.40909090909090912</v>
      </c>
      <c s="25">
        <v>0.59090909090909094</v>
      </c>
    </row>
    <row>
      <c s="66"/>
      <c s="44" t="s">
        <v>38</v>
      </c>
      <c s="21">
        <v>38</v>
      </c>
      <c s="21">
        <v>39</v>
      </c>
      <c s="50">
        <v>77</v>
      </c>
      <c s="25">
        <v>0.4935064935064935</v>
      </c>
      <c s="25">
        <v>0.50649350649350644</v>
      </c>
    </row>
    <row>
      <c s="66"/>
      <c s="44" t="s">
        <v>76</v>
      </c>
      <c s="21">
        <v>8</v>
      </c>
      <c s="21">
        <v>14</v>
      </c>
      <c s="50">
        <v>22</v>
      </c>
      <c s="25">
        <v>0.36363636363636365</v>
      </c>
      <c s="25">
        <v>0.63636363636363635</v>
      </c>
    </row>
    <row>
      <c s="66"/>
      <c s="44" t="s">
        <v>45</v>
      </c>
      <c s="21">
        <v>15</v>
      </c>
      <c s="21">
        <v>50</v>
      </c>
      <c s="50">
        <v>65</v>
      </c>
      <c s="25">
        <v>0.23076923076923078</v>
      </c>
      <c s="25">
        <v>0.76923076923076927</v>
      </c>
    </row>
    <row>
      <c s="66"/>
      <c s="44" t="s">
        <v>40</v>
      </c>
      <c s="21">
        <v>449</v>
      </c>
      <c s="21">
        <v>974</v>
      </c>
      <c s="50">
        <v>1423</v>
      </c>
      <c s="25">
        <v>0.31553056921995781</v>
      </c>
      <c s="25">
        <v>0.68446943078004219</v>
      </c>
    </row>
    <row>
      <c s="66"/>
      <c s="44" t="s">
        <v>48</v>
      </c>
      <c s="21">
        <v>321</v>
      </c>
      <c s="21">
        <v>293</v>
      </c>
      <c s="50">
        <v>614</v>
      </c>
      <c s="25">
        <v>0.5228013029315961</v>
      </c>
      <c s="25">
        <v>0.4771986970684039</v>
      </c>
    </row>
    <row>
      <c s="66" t="s">
        <v>37</v>
      </c>
      <c s="44" t="s">
        <v>46</v>
      </c>
      <c s="21">
        <v>7</v>
      </c>
      <c s="21">
        <v>14</v>
      </c>
      <c s="50">
        <v>21</v>
      </c>
      <c s="25">
        <v>0.33333333333333331</v>
      </c>
      <c s="25">
        <v>0.66666666666666663</v>
      </c>
    </row>
    <row>
      <c s="66"/>
      <c s="44" t="s">
        <v>38</v>
      </c>
      <c s="21">
        <v>41</v>
      </c>
      <c s="21">
        <v>36</v>
      </c>
      <c s="50">
        <v>77</v>
      </c>
      <c s="25">
        <v>0.53246753246753242</v>
      </c>
      <c s="25">
        <v>0.46753246753246752</v>
      </c>
    </row>
    <row>
      <c s="66"/>
      <c s="44" t="s">
        <v>76</v>
      </c>
      <c s="21">
        <v>8</v>
      </c>
      <c s="21">
        <v>14</v>
      </c>
      <c s="50">
        <v>22</v>
      </c>
      <c s="25">
        <v>0.36363636363636365</v>
      </c>
      <c s="25">
        <v>0.63636363636363635</v>
      </c>
    </row>
    <row>
      <c s="66"/>
      <c s="44" t="s">
        <v>45</v>
      </c>
      <c s="21">
        <v>16</v>
      </c>
      <c s="21">
        <v>48</v>
      </c>
      <c s="50">
        <v>64</v>
      </c>
      <c s="25">
        <v>0.25</v>
      </c>
      <c s="25">
        <v>0.75</v>
      </c>
    </row>
    <row>
      <c s="66"/>
      <c s="44" t="s">
        <v>40</v>
      </c>
      <c s="21">
        <v>420</v>
      </c>
      <c s="21">
        <v>954</v>
      </c>
      <c s="50">
        <v>1374</v>
      </c>
      <c s="25">
        <v>0.3056768558951965</v>
      </c>
      <c s="25">
        <v>0.69432314410480345</v>
      </c>
    </row>
    <row>
      <c s="66"/>
      <c s="44" t="s">
        <v>48</v>
      </c>
      <c s="21">
        <v>298</v>
      </c>
      <c s="21">
        <v>283</v>
      </c>
      <c s="50">
        <v>581</v>
      </c>
      <c s="25">
        <v>0.5129087779690189</v>
      </c>
      <c s="25">
        <v>0.48709122203098104</v>
      </c>
    </row>
    <row>
      <c s="66" t="s">
        <v>84</v>
      </c>
      <c s="44" t="s">
        <v>46</v>
      </c>
      <c s="21">
        <v>7</v>
      </c>
      <c s="21">
        <v>15</v>
      </c>
      <c s="50">
        <v>22</v>
      </c>
      <c s="25">
        <v>0.31818181818181818</v>
      </c>
      <c s="25">
        <v>0.68181818181818177</v>
      </c>
    </row>
    <row>
      <c s="66"/>
      <c s="44" t="s">
        <v>38</v>
      </c>
      <c s="21">
        <v>42</v>
      </c>
      <c s="21">
        <v>35</v>
      </c>
      <c s="50">
        <v>77</v>
      </c>
      <c s="25">
        <v>0.54545454545454541</v>
      </c>
      <c s="25">
        <v>0.45454545454545453</v>
      </c>
    </row>
    <row>
      <c s="66"/>
      <c s="44" t="s">
        <v>76</v>
      </c>
      <c s="21">
        <v>8</v>
      </c>
      <c s="21">
        <v>13</v>
      </c>
      <c s="50">
        <v>21</v>
      </c>
      <c s="25">
        <v>0.38095238095238093</v>
      </c>
      <c s="25">
        <v>0.61904761904761907</v>
      </c>
    </row>
    <row>
      <c s="66"/>
      <c s="44" t="s">
        <v>45</v>
      </c>
      <c s="21">
        <v>16</v>
      </c>
      <c s="21">
        <v>48</v>
      </c>
      <c s="50">
        <v>64</v>
      </c>
      <c s="25">
        <v>0.25</v>
      </c>
      <c s="25">
        <v>0.75</v>
      </c>
    </row>
    <row>
      <c s="66"/>
      <c s="44" t="s">
        <v>40</v>
      </c>
      <c s="21">
        <v>378</v>
      </c>
      <c s="21">
        <v>917</v>
      </c>
      <c s="50">
        <v>1295</v>
      </c>
      <c s="25">
        <v>0.29189189189189191</v>
      </c>
      <c s="25">
        <v>0.70810810810810809</v>
      </c>
    </row>
    <row>
      <c s="66"/>
      <c s="44" t="s">
        <v>48</v>
      </c>
      <c s="21">
        <v>289</v>
      </c>
      <c s="21">
        <v>270</v>
      </c>
      <c s="50">
        <v>559</v>
      </c>
      <c s="25">
        <v>0.51699463327370299</v>
      </c>
      <c s="25">
        <v>0.48300536672629696</v>
      </c>
    </row>
    <row>
      <c s="66" t="s">
        <v>21</v>
      </c>
      <c s="44" t="s">
        <v>46</v>
      </c>
      <c s="21">
        <v>6</v>
      </c>
      <c s="21">
        <v>16</v>
      </c>
      <c s="50">
        <v>22</v>
      </c>
      <c s="25">
        <v>0.27272727272727271</v>
      </c>
      <c s="25">
        <v>0.72727272727272729</v>
      </c>
    </row>
    <row>
      <c s="66"/>
      <c s="44" t="s">
        <v>38</v>
      </c>
      <c s="21">
        <v>43</v>
      </c>
      <c s="21">
        <v>33</v>
      </c>
      <c s="50">
        <v>76</v>
      </c>
      <c s="25">
        <v>0.56578947368421051</v>
      </c>
      <c s="25">
        <v>0.43421052631578949</v>
      </c>
    </row>
    <row>
      <c s="66"/>
      <c s="44" t="s">
        <v>76</v>
      </c>
      <c s="21">
        <v>8</v>
      </c>
      <c s="21">
        <v>14</v>
      </c>
      <c s="50">
        <v>22</v>
      </c>
      <c s="25">
        <v>0.36363636363636365</v>
      </c>
      <c s="25">
        <v>0.63636363636363635</v>
      </c>
    </row>
    <row>
      <c s="66"/>
      <c s="44" t="s">
        <v>45</v>
      </c>
      <c s="21">
        <v>16</v>
      </c>
      <c s="21">
        <v>47</v>
      </c>
      <c s="50">
        <v>63</v>
      </c>
      <c s="25">
        <v>0.25396825396825395</v>
      </c>
      <c s="25">
        <v>0.74603174603174605</v>
      </c>
    </row>
    <row>
      <c s="66"/>
      <c s="44" t="s">
        <v>40</v>
      </c>
      <c s="21">
        <v>285</v>
      </c>
      <c s="21">
        <v>813</v>
      </c>
      <c s="50">
        <v>1098</v>
      </c>
      <c s="25">
        <v>0.25956284153005466</v>
      </c>
      <c s="25">
        <v>0.7404371584699454</v>
      </c>
    </row>
    <row>
      <c s="66"/>
      <c s="44" t="s">
        <v>48</v>
      </c>
      <c s="21">
        <v>261</v>
      </c>
      <c s="21">
        <v>313</v>
      </c>
      <c s="50">
        <v>574</v>
      </c>
      <c s="25">
        <v>0.45470383275261322</v>
      </c>
      <c s="25">
        <v>0.54529616724738672</v>
      </c>
    </row>
    <row>
      <c s="66" t="s">
        <v>69</v>
      </c>
      <c s="44" t="s">
        <v>46</v>
      </c>
      <c s="21">
        <v>6</v>
      </c>
      <c s="21">
        <v>16</v>
      </c>
      <c s="50">
        <v>22</v>
      </c>
      <c s="25">
        <v>0.27272727272727271</v>
      </c>
      <c s="25">
        <v>0.72727272727272729</v>
      </c>
    </row>
    <row>
      <c s="66"/>
      <c s="44" t="s">
        <v>38</v>
      </c>
      <c s="21">
        <v>43</v>
      </c>
      <c s="21">
        <v>34</v>
      </c>
      <c s="50">
        <v>77</v>
      </c>
      <c s="25">
        <v>0.55844155844155841</v>
      </c>
      <c s="25">
        <v>0.44155844155844154</v>
      </c>
    </row>
    <row>
      <c s="66"/>
      <c s="44" t="s">
        <v>76</v>
      </c>
      <c s="21">
        <v>8</v>
      </c>
      <c s="21">
        <v>14</v>
      </c>
      <c s="50">
        <v>22</v>
      </c>
      <c s="25">
        <v>0.36363636363636365</v>
      </c>
      <c s="25">
        <v>0.63636363636363635</v>
      </c>
    </row>
    <row>
      <c s="66"/>
      <c s="44" t="s">
        <v>45</v>
      </c>
      <c s="21">
        <v>9</v>
      </c>
      <c s="21">
        <v>51</v>
      </c>
      <c s="50">
        <v>60</v>
      </c>
      <c s="25">
        <v>0.14999999999999999</v>
      </c>
      <c s="25">
        <v>0.84999999999999998</v>
      </c>
    </row>
    <row>
      <c s="66"/>
      <c s="44" t="s">
        <v>40</v>
      </c>
      <c s="21">
        <v>272</v>
      </c>
      <c s="21">
        <v>821</v>
      </c>
      <c s="50">
        <v>1093</v>
      </c>
      <c s="25">
        <v>0.24885635864592864</v>
      </c>
      <c s="25">
        <v>0.75114364135407141</v>
      </c>
    </row>
    <row>
      <c s="66"/>
      <c s="44" t="s">
        <v>48</v>
      </c>
      <c s="21">
        <v>260</v>
      </c>
      <c s="21">
        <v>308</v>
      </c>
      <c s="50">
        <v>568</v>
      </c>
      <c s="25">
        <v>0.45774647887323944</v>
      </c>
      <c s="25">
        <v>0.54225352112676062</v>
      </c>
    </row>
    <row>
      <c s="66" t="s">
        <v>55</v>
      </c>
      <c s="44" t="s">
        <v>46</v>
      </c>
      <c s="21">
        <v>6</v>
      </c>
      <c s="21">
        <v>15</v>
      </c>
      <c s="50">
        <v>21</v>
      </c>
      <c s="25">
        <v>0.2857142857142857</v>
      </c>
      <c s="25">
        <v>0.7142857142857143</v>
      </c>
    </row>
    <row>
      <c s="66"/>
      <c s="44" t="s">
        <v>38</v>
      </c>
      <c s="21">
        <v>42</v>
      </c>
      <c s="21">
        <v>35</v>
      </c>
      <c s="50">
        <v>77</v>
      </c>
      <c s="25">
        <v>0.54545454545454541</v>
      </c>
      <c s="25">
        <v>0.45454545454545453</v>
      </c>
    </row>
    <row>
      <c s="66"/>
      <c s="44" t="s">
        <v>76</v>
      </c>
      <c s="21">
        <v>7</v>
      </c>
      <c s="21">
        <v>15</v>
      </c>
      <c s="50">
        <v>22</v>
      </c>
      <c s="25">
        <v>0.31818181818181818</v>
      </c>
      <c s="25">
        <v>0.68181818181818177</v>
      </c>
    </row>
    <row>
      <c s="66"/>
      <c s="44" t="s">
        <v>45</v>
      </c>
      <c s="21">
        <v>10</v>
      </c>
      <c s="21">
        <v>51</v>
      </c>
      <c s="50">
        <v>61</v>
      </c>
      <c s="25">
        <v>0.16393442622950818</v>
      </c>
      <c s="25">
        <v>0.83606557377049184</v>
      </c>
    </row>
    <row>
      <c s="66"/>
      <c s="44" t="s">
        <v>40</v>
      </c>
      <c s="21">
        <v>246</v>
      </c>
      <c s="21">
        <v>804</v>
      </c>
      <c s="50">
        <v>1050</v>
      </c>
      <c s="25">
        <v>0.23428571428571429</v>
      </c>
      <c s="25">
        <v>0.76571428571428568</v>
      </c>
    </row>
    <row>
      <c s="66"/>
      <c s="44" t="s">
        <v>48</v>
      </c>
      <c s="21">
        <v>255</v>
      </c>
      <c s="21">
        <v>313</v>
      </c>
      <c s="50">
        <v>568</v>
      </c>
      <c s="25">
        <v>0.448943661971831</v>
      </c>
      <c s="25">
        <v>0.551056338028169</v>
      </c>
    </row>
    <row>
      <c s="66" t="s">
        <v>1</v>
      </c>
      <c s="44" t="s">
        <v>46</v>
      </c>
      <c s="21">
        <v>7</v>
      </c>
      <c s="21">
        <v>14</v>
      </c>
      <c s="50">
        <v>21</v>
      </c>
      <c s="25">
        <v>0.33333333333333331</v>
      </c>
      <c s="25">
        <v>0.66666666666666663</v>
      </c>
    </row>
    <row>
      <c s="66"/>
      <c s="44" t="s">
        <v>38</v>
      </c>
      <c s="21">
        <v>39</v>
      </c>
      <c s="21">
        <v>39</v>
      </c>
      <c s="50">
        <v>78</v>
      </c>
      <c s="25">
        <v>0.5</v>
      </c>
      <c s="25">
        <v>0.5</v>
      </c>
    </row>
    <row>
      <c s="66"/>
      <c s="44" t="s">
        <v>76</v>
      </c>
      <c s="21">
        <v>4</v>
      </c>
      <c s="21">
        <v>18</v>
      </c>
      <c s="50">
        <v>22</v>
      </c>
      <c s="25">
        <v>0.18181818181818182</v>
      </c>
      <c s="25">
        <v>0.81818181818181823</v>
      </c>
    </row>
    <row>
      <c s="66"/>
      <c s="44" t="s">
        <v>45</v>
      </c>
      <c s="21">
        <v>8</v>
      </c>
      <c s="21">
        <v>49</v>
      </c>
      <c s="50">
        <v>57</v>
      </c>
      <c s="25">
        <v>0.14035087719298245</v>
      </c>
      <c s="25">
        <v>0.85964912280701755</v>
      </c>
    </row>
    <row>
      <c s="66"/>
      <c s="44" t="s">
        <v>40</v>
      </c>
      <c s="21">
        <v>239</v>
      </c>
      <c s="21">
        <v>797</v>
      </c>
      <c s="50">
        <v>1036</v>
      </c>
      <c s="25">
        <v>0.23069498069498071</v>
      </c>
      <c s="25">
        <v>0.76930501930501927</v>
      </c>
    </row>
    <row>
      <c s="66"/>
      <c s="44" t="s">
        <v>48</v>
      </c>
      <c s="21">
        <v>252</v>
      </c>
      <c s="21">
        <v>310</v>
      </c>
      <c s="50">
        <v>562</v>
      </c>
      <c s="25">
        <v>0.44839857651245552</v>
      </c>
      <c s="25">
        <v>0.55160142348754448</v>
      </c>
    </row>
    <row>
      <c s="66" t="s">
        <v>41</v>
      </c>
      <c s="44" t="s">
        <v>46</v>
      </c>
      <c s="21">
        <v>7</v>
      </c>
      <c s="21">
        <v>14</v>
      </c>
      <c s="50">
        <v>21</v>
      </c>
      <c s="25">
        <v>0.33333333333333331</v>
      </c>
      <c s="25">
        <v>0.66666666666666663</v>
      </c>
    </row>
    <row>
      <c s="66"/>
      <c s="44" t="s">
        <v>38</v>
      </c>
      <c s="21">
        <v>38</v>
      </c>
      <c s="21">
        <v>35</v>
      </c>
      <c s="50">
        <v>73</v>
      </c>
      <c s="25">
        <v>0.52054794520547942</v>
      </c>
      <c s="25">
        <v>0.47945205479452052</v>
      </c>
    </row>
    <row>
      <c s="66"/>
      <c s="44" t="s">
        <v>76</v>
      </c>
      <c s="21">
        <v>4</v>
      </c>
      <c s="21">
        <v>18</v>
      </c>
      <c s="50">
        <v>22</v>
      </c>
      <c s="25">
        <v>0.18181818181818182</v>
      </c>
      <c s="25">
        <v>0.81818181818181823</v>
      </c>
    </row>
    <row>
      <c s="66"/>
      <c s="44" t="s">
        <v>45</v>
      </c>
      <c s="21">
        <v>7</v>
      </c>
      <c s="21">
        <v>50</v>
      </c>
      <c s="50">
        <v>57</v>
      </c>
      <c s="25">
        <v>0.12280701754385964</v>
      </c>
      <c s="25">
        <v>0.8771929824561403</v>
      </c>
    </row>
    <row>
      <c s="66"/>
      <c s="44" t="s">
        <v>40</v>
      </c>
      <c s="21">
        <v>235</v>
      </c>
      <c s="21">
        <v>829</v>
      </c>
      <c s="50">
        <v>1064</v>
      </c>
      <c s="25">
        <v>0.22086466165413535</v>
      </c>
      <c s="25">
        <v>0.77913533834586468</v>
      </c>
    </row>
    <row>
      <c s="66"/>
      <c s="44" t="s">
        <v>48</v>
      </c>
      <c s="21">
        <v>275</v>
      </c>
      <c s="21">
        <v>331</v>
      </c>
      <c s="50">
        <v>606</v>
      </c>
      <c s="25">
        <v>0.45379537953795379</v>
      </c>
      <c s="25">
        <v>0.54620462046204621</v>
      </c>
    </row>
    <row>
      <c s="66" t="s">
        <v>90</v>
      </c>
      <c s="44" t="s">
        <v>46</v>
      </c>
      <c s="21">
        <v>8</v>
      </c>
      <c s="21">
        <v>13</v>
      </c>
      <c s="50">
        <v>21</v>
      </c>
      <c s="25">
        <v>0.38095238095238093</v>
      </c>
      <c s="25">
        <v>0.61904761904761907</v>
      </c>
    </row>
    <row>
      <c s="66"/>
      <c s="44" t="s">
        <v>38</v>
      </c>
      <c s="21">
        <v>37</v>
      </c>
      <c s="21">
        <v>36</v>
      </c>
      <c s="50">
        <v>73</v>
      </c>
      <c s="25">
        <v>0.50684931506849318</v>
      </c>
      <c s="25">
        <v>0.49315068493150682</v>
      </c>
    </row>
    <row>
      <c s="66"/>
      <c s="44" t="s">
        <v>76</v>
      </c>
      <c s="21">
        <v>4</v>
      </c>
      <c s="21">
        <v>18</v>
      </c>
      <c s="50">
        <v>22</v>
      </c>
      <c s="25">
        <v>0.18181818181818182</v>
      </c>
      <c s="25">
        <v>0.81818181818181823</v>
      </c>
    </row>
    <row>
      <c s="66"/>
      <c s="44" t="s">
        <v>45</v>
      </c>
      <c s="21">
        <v>8</v>
      </c>
      <c s="21">
        <v>47</v>
      </c>
      <c s="50">
        <v>55</v>
      </c>
      <c s="25">
        <v>0.14545454545454545</v>
      </c>
      <c s="25">
        <v>0.8545454545454545</v>
      </c>
    </row>
    <row>
      <c s="66"/>
      <c s="44" t="s">
        <v>40</v>
      </c>
      <c s="21">
        <v>235</v>
      </c>
      <c s="21">
        <v>815</v>
      </c>
      <c s="50">
        <v>1050</v>
      </c>
      <c s="25">
        <v>0.22380952380952382</v>
      </c>
      <c s="25">
        <v>0.77619047619047621</v>
      </c>
    </row>
    <row>
      <c s="66"/>
      <c s="44" t="s">
        <v>48</v>
      </c>
      <c s="21">
        <v>268</v>
      </c>
      <c s="21">
        <v>327</v>
      </c>
      <c s="50">
        <v>595</v>
      </c>
      <c s="25">
        <v>0.4504201680672269</v>
      </c>
      <c s="25">
        <v>0.54957983193277316</v>
      </c>
    </row>
    <row>
      <c s="66" t="s">
        <v>32</v>
      </c>
      <c s="44" t="s">
        <v>46</v>
      </c>
      <c s="21">
        <v>8</v>
      </c>
      <c s="21">
        <v>14</v>
      </c>
      <c s="50">
        <v>22</v>
      </c>
      <c s="25">
        <v>0.36363636363636365</v>
      </c>
      <c s="25">
        <v>0.63636363636363635</v>
      </c>
    </row>
    <row>
      <c s="66"/>
      <c s="44" t="s">
        <v>38</v>
      </c>
      <c s="21">
        <v>40</v>
      </c>
      <c s="21">
        <v>38</v>
      </c>
      <c s="50">
        <v>78</v>
      </c>
      <c s="25">
        <v>0.51282051282051277</v>
      </c>
      <c s="25">
        <v>0.48717948717948717</v>
      </c>
    </row>
    <row>
      <c s="66"/>
      <c s="44" t="s">
        <v>76</v>
      </c>
      <c s="21">
        <v>3</v>
      </c>
      <c s="21">
        <v>19</v>
      </c>
      <c s="50">
        <v>22</v>
      </c>
      <c s="25">
        <v>0.13636363636363635</v>
      </c>
      <c s="25">
        <v>0.86363636363636365</v>
      </c>
    </row>
    <row>
      <c s="66"/>
      <c s="44" t="s">
        <v>45</v>
      </c>
      <c s="21">
        <v>6</v>
      </c>
      <c s="21">
        <v>46</v>
      </c>
      <c s="50">
        <v>52</v>
      </c>
      <c s="25">
        <v>0.11538461538461539</v>
      </c>
      <c s="25">
        <v>0.88461538461538458</v>
      </c>
    </row>
    <row>
      <c s="66"/>
      <c s="44" t="s">
        <v>40</v>
      </c>
      <c s="21">
        <v>237</v>
      </c>
      <c s="21">
        <v>802</v>
      </c>
      <c s="50">
        <v>1039</v>
      </c>
      <c s="25">
        <v>0.22810394610202117</v>
      </c>
      <c s="25">
        <v>0.77189605389797877</v>
      </c>
    </row>
    <row>
      <c s="66"/>
      <c s="44" t="s">
        <v>48</v>
      </c>
      <c s="21">
        <v>266</v>
      </c>
      <c s="21">
        <v>328</v>
      </c>
      <c s="50">
        <v>594</v>
      </c>
      <c s="25">
        <v>0.44781144781144783</v>
      </c>
      <c s="25">
        <v>0.55218855218855223</v>
      </c>
    </row>
    <row>
      <c s="66" t="s">
        <v>75</v>
      </c>
      <c s="44" t="s">
        <v>46</v>
      </c>
      <c s="21">
        <v>6</v>
      </c>
      <c s="21">
        <v>16</v>
      </c>
      <c s="50">
        <v>22</v>
      </c>
      <c s="25">
        <v>0.27272727272727271</v>
      </c>
      <c s="25">
        <v>0.72727272727272729</v>
      </c>
    </row>
    <row>
      <c s="66"/>
      <c s="44" t="s">
        <v>38</v>
      </c>
      <c s="21">
        <v>40</v>
      </c>
      <c s="21">
        <v>37</v>
      </c>
      <c s="50">
        <v>77</v>
      </c>
      <c s="25">
        <v>0.51948051948051943</v>
      </c>
      <c s="25">
        <v>0.48051948051948051</v>
      </c>
    </row>
    <row>
      <c s="66"/>
      <c s="44" t="s">
        <v>76</v>
      </c>
      <c s="21">
        <v>4</v>
      </c>
      <c s="21">
        <v>18</v>
      </c>
      <c s="50">
        <v>22</v>
      </c>
      <c s="25">
        <v>0.18181818181818182</v>
      </c>
      <c s="25">
        <v>0.81818181818181823</v>
      </c>
    </row>
    <row>
      <c s="66"/>
      <c s="44" t="s">
        <v>45</v>
      </c>
      <c s="21">
        <v>7</v>
      </c>
      <c s="21">
        <v>47</v>
      </c>
      <c s="50">
        <v>54</v>
      </c>
      <c s="25">
        <v>0.12962962962962962</v>
      </c>
      <c s="25">
        <v>0.87037037037037035</v>
      </c>
    </row>
    <row>
      <c s="66"/>
      <c s="44" t="s">
        <v>40</v>
      </c>
      <c s="21">
        <v>234</v>
      </c>
      <c s="21">
        <v>800</v>
      </c>
      <c s="50">
        <v>1034</v>
      </c>
      <c s="25">
        <v>0.22630560928433269</v>
      </c>
      <c s="25">
        <v>0.77369439071566726</v>
      </c>
    </row>
    <row>
      <c s="66"/>
      <c s="44" t="s">
        <v>48</v>
      </c>
      <c s="21">
        <v>259</v>
      </c>
      <c s="21">
        <v>317</v>
      </c>
      <c s="50">
        <v>576</v>
      </c>
      <c s="25">
        <v>0.44965277777777779</v>
      </c>
      <c s="25">
        <v>0.55034722222222221</v>
      </c>
    </row>
    <row>
      <c s="66" t="s">
        <v>18</v>
      </c>
      <c s="44" t="s">
        <v>46</v>
      </c>
      <c s="21">
        <v>5</v>
      </c>
      <c s="21">
        <v>16</v>
      </c>
      <c s="50">
        <v>21</v>
      </c>
      <c s="25">
        <v>0.23809523809523808</v>
      </c>
      <c s="25">
        <v>0.76190476190476186</v>
      </c>
    </row>
    <row>
      <c s="66"/>
      <c s="44" t="s">
        <v>38</v>
      </c>
      <c s="21">
        <v>38</v>
      </c>
      <c s="21">
        <v>35</v>
      </c>
      <c s="50">
        <v>73</v>
      </c>
      <c s="25">
        <v>0.52054794520547942</v>
      </c>
      <c s="25">
        <v>0.47945205479452052</v>
      </c>
    </row>
    <row>
      <c s="66"/>
      <c s="44" t="s">
        <v>76</v>
      </c>
      <c s="21">
        <v>4</v>
      </c>
      <c s="21">
        <v>17</v>
      </c>
      <c s="50">
        <v>21</v>
      </c>
      <c s="25">
        <v>0.19047619047619047</v>
      </c>
      <c s="25">
        <v>0.80952380952380953</v>
      </c>
    </row>
    <row>
      <c s="66"/>
      <c s="44" t="s">
        <v>45</v>
      </c>
      <c s="21">
        <v>8</v>
      </c>
      <c s="21">
        <v>47</v>
      </c>
      <c s="50">
        <v>55</v>
      </c>
      <c s="25">
        <v>0.14545454545454545</v>
      </c>
      <c s="25">
        <v>0.8545454545454545</v>
      </c>
    </row>
    <row>
      <c s="66"/>
      <c s="44" t="s">
        <v>40</v>
      </c>
      <c s="21">
        <v>218</v>
      </c>
      <c s="21">
        <v>814</v>
      </c>
      <c s="50">
        <v>1032</v>
      </c>
      <c s="25">
        <v>0.21124031007751937</v>
      </c>
      <c s="25">
        <v>0.78875968992248058</v>
      </c>
    </row>
    <row>
      <c s="66"/>
      <c s="44" t="s">
        <v>48</v>
      </c>
      <c s="21">
        <v>248</v>
      </c>
      <c s="21">
        <v>333</v>
      </c>
      <c s="50">
        <v>581</v>
      </c>
      <c s="25">
        <v>0.42685025817555938</v>
      </c>
      <c s="25">
        <v>0.57314974182444067</v>
      </c>
    </row>
    <row>
      <c s="66" t="s">
        <v>62</v>
      </c>
      <c s="44" t="s">
        <v>46</v>
      </c>
      <c s="21">
        <v>4</v>
      </c>
      <c s="21">
        <v>17</v>
      </c>
      <c s="50">
        <v>21</v>
      </c>
      <c s="25">
        <v>0.19047619047619047</v>
      </c>
      <c s="25">
        <v>0.80952380952380953</v>
      </c>
    </row>
    <row>
      <c s="66"/>
      <c s="44" t="s">
        <v>38</v>
      </c>
      <c s="21">
        <v>37</v>
      </c>
      <c s="21">
        <v>37</v>
      </c>
      <c s="50">
        <v>74</v>
      </c>
      <c s="25">
        <v>0.5</v>
      </c>
      <c s="25">
        <v>0.5</v>
      </c>
    </row>
    <row>
      <c s="66"/>
      <c s="44" t="s">
        <v>76</v>
      </c>
      <c s="21">
        <v>6</v>
      </c>
      <c s="21">
        <v>16</v>
      </c>
      <c s="50">
        <v>22</v>
      </c>
      <c s="25">
        <v>0.27272727272727271</v>
      </c>
      <c s="25">
        <v>0.72727272727272729</v>
      </c>
    </row>
    <row>
      <c s="66"/>
      <c s="44" t="s">
        <v>45</v>
      </c>
      <c s="21">
        <v>7</v>
      </c>
      <c s="21">
        <v>37</v>
      </c>
      <c s="50">
        <v>44</v>
      </c>
      <c s="25">
        <v>0.15909090909090909</v>
      </c>
      <c s="25">
        <v>0.84090909090909094</v>
      </c>
    </row>
    <row>
      <c s="66"/>
      <c s="44" t="s">
        <v>40</v>
      </c>
      <c s="21">
        <v>199</v>
      </c>
      <c s="21">
        <v>802</v>
      </c>
      <c s="50">
        <v>1001</v>
      </c>
      <c s="25">
        <v>0.19880119880119881</v>
      </c>
      <c s="25">
        <v>0.80119880119880116</v>
      </c>
    </row>
    <row>
      <c s="66"/>
      <c s="44" t="s">
        <v>48</v>
      </c>
      <c s="21">
        <v>243</v>
      </c>
      <c s="21">
        <v>301</v>
      </c>
      <c s="50">
        <v>544</v>
      </c>
      <c s="25">
        <v>0.44669117647058826</v>
      </c>
      <c s="25">
        <v>0.5533088235294118</v>
      </c>
    </row>
    <row>
      <c s="66" t="s">
        <v>10</v>
      </c>
      <c s="44" t="s">
        <v>46</v>
      </c>
      <c s="21">
        <v>4</v>
      </c>
      <c s="21">
        <v>17</v>
      </c>
      <c s="50">
        <v>21</v>
      </c>
      <c s="25">
        <v>0.19047619047619047</v>
      </c>
      <c s="25">
        <v>0.80952380952380953</v>
      </c>
    </row>
    <row>
      <c s="66"/>
      <c s="44" t="s">
        <v>38</v>
      </c>
      <c s="21">
        <v>34</v>
      </c>
      <c s="21">
        <v>37</v>
      </c>
      <c s="50">
        <v>71</v>
      </c>
      <c s="25">
        <v>0.47887323943661969</v>
      </c>
      <c s="25">
        <v>0.52112676056338025</v>
      </c>
    </row>
    <row>
      <c s="66"/>
      <c s="44" t="s">
        <v>76</v>
      </c>
      <c s="21">
        <v>6</v>
      </c>
      <c s="21">
        <v>16</v>
      </c>
      <c s="50">
        <v>22</v>
      </c>
      <c s="25">
        <v>0.27272727272727271</v>
      </c>
      <c s="25">
        <v>0.72727272727272729</v>
      </c>
    </row>
    <row>
      <c s="66"/>
      <c s="44" t="s">
        <v>45</v>
      </c>
      <c s="21">
        <v>7</v>
      </c>
      <c s="21">
        <v>43</v>
      </c>
      <c s="50">
        <v>50</v>
      </c>
      <c s="25">
        <v>0.14000000000000001</v>
      </c>
      <c s="25">
        <v>0.85999999999999999</v>
      </c>
    </row>
    <row>
      <c s="66"/>
      <c s="44" t="s">
        <v>40</v>
      </c>
      <c s="21">
        <v>200</v>
      </c>
      <c s="21">
        <v>819</v>
      </c>
      <c s="50">
        <v>1019</v>
      </c>
      <c s="25">
        <v>0.19627085377821393</v>
      </c>
      <c s="25">
        <v>0.80372914622178604</v>
      </c>
    </row>
    <row>
      <c s="66"/>
      <c s="44" t="s">
        <v>48</v>
      </c>
      <c s="21">
        <v>223</v>
      </c>
      <c s="21">
        <v>304</v>
      </c>
      <c s="50">
        <v>527</v>
      </c>
      <c s="25">
        <v>0.42314990512333966</v>
      </c>
      <c s="25">
        <v>0.57685009487666039</v>
      </c>
    </row>
    <row>
      <c s="66" t="s">
        <v>47</v>
      </c>
      <c s="44" t="s">
        <v>46</v>
      </c>
      <c s="21">
        <v>1</v>
      </c>
      <c s="21">
        <v>21</v>
      </c>
      <c s="50">
        <v>22</v>
      </c>
      <c s="25">
        <v>0.045454545454545456</v>
      </c>
      <c s="25">
        <v>0.95454545454545459</v>
      </c>
    </row>
    <row>
      <c s="66"/>
      <c s="44" t="s">
        <v>38</v>
      </c>
      <c s="21">
        <v>29</v>
      </c>
      <c s="21">
        <v>44</v>
      </c>
      <c s="50">
        <v>73</v>
      </c>
      <c s="25">
        <v>0.39726027397260272</v>
      </c>
      <c s="25">
        <v>0.60273972602739723</v>
      </c>
    </row>
    <row>
      <c s="66"/>
      <c s="44" t="s">
        <v>76</v>
      </c>
      <c s="21">
        <v>6</v>
      </c>
      <c s="21">
        <v>15</v>
      </c>
      <c s="50">
        <v>21</v>
      </c>
      <c s="25">
        <v>0.2857142857142857</v>
      </c>
      <c s="25">
        <v>0.7142857142857143</v>
      </c>
    </row>
    <row>
      <c s="66"/>
      <c s="44" t="s">
        <v>45</v>
      </c>
      <c s="21">
        <v>8</v>
      </c>
      <c s="21">
        <v>41</v>
      </c>
      <c s="50">
        <v>49</v>
      </c>
      <c s="25">
        <v>0.16326530612244897</v>
      </c>
      <c s="25">
        <v>0.83673469387755106</v>
      </c>
    </row>
    <row>
      <c s="66"/>
      <c s="44" t="s">
        <v>40</v>
      </c>
      <c s="21">
        <v>163</v>
      </c>
      <c s="21">
        <v>785</v>
      </c>
      <c s="50">
        <v>948</v>
      </c>
      <c s="25">
        <v>0.1719409282700422</v>
      </c>
      <c s="25">
        <v>0.82805907172995785</v>
      </c>
    </row>
    <row>
      <c s="66"/>
      <c s="44" t="s">
        <v>48</v>
      </c>
      <c s="21">
        <v>228</v>
      </c>
      <c s="21">
        <v>250</v>
      </c>
      <c s="50">
        <v>478</v>
      </c>
      <c s="25">
        <v>0.47698744769874479</v>
      </c>
      <c s="25">
        <v>0.52301255230125521</v>
      </c>
    </row>
    <row>
      <c s="66" t="s">
        <v>36</v>
      </c>
      <c s="44" t="s">
        <v>46</v>
      </c>
      <c s="21">
        <v>0</v>
      </c>
      <c s="21">
        <v>22</v>
      </c>
      <c s="50">
        <v>22</v>
      </c>
      <c s="25">
        <v>0</v>
      </c>
      <c s="25">
        <v>1</v>
      </c>
    </row>
    <row>
      <c s="66"/>
      <c s="44" t="s">
        <v>38</v>
      </c>
      <c s="21">
        <v>24</v>
      </c>
      <c s="21">
        <v>47</v>
      </c>
      <c s="50">
        <v>71</v>
      </c>
      <c s="25">
        <v>0.3380281690140845</v>
      </c>
      <c s="25">
        <v>0.6619718309859155</v>
      </c>
    </row>
    <row>
      <c s="66"/>
      <c s="44" t="s">
        <v>76</v>
      </c>
      <c s="21">
        <v>4</v>
      </c>
      <c s="21">
        <v>16</v>
      </c>
      <c s="50">
        <v>20</v>
      </c>
      <c s="25">
        <v>0.20000000000000001</v>
      </c>
      <c s="25">
        <v>0.80000000000000004</v>
      </c>
    </row>
    <row>
      <c s="66"/>
      <c s="44" t="s">
        <v>45</v>
      </c>
      <c s="21">
        <v>7</v>
      </c>
      <c s="21">
        <v>44</v>
      </c>
      <c s="50">
        <v>51</v>
      </c>
      <c s="25">
        <v>0.13725490196078433</v>
      </c>
      <c s="25">
        <v>0.86274509803921573</v>
      </c>
    </row>
    <row>
      <c s="66"/>
      <c s="44" t="s">
        <v>40</v>
      </c>
      <c s="21">
        <v>152</v>
      </c>
      <c s="21">
        <v>788</v>
      </c>
      <c s="50">
        <v>940</v>
      </c>
      <c s="25">
        <v>0.16170212765957448</v>
      </c>
      <c s="25">
        <v>0.83829787234042552</v>
      </c>
    </row>
    <row>
      <c s="66"/>
      <c s="44" t="s">
        <v>48</v>
      </c>
      <c s="21">
        <v>209</v>
      </c>
      <c s="21">
        <v>237</v>
      </c>
      <c s="50">
        <v>446</v>
      </c>
      <c s="25">
        <v>0.46860986547085204</v>
      </c>
      <c s="25">
        <v>0.53139013452914796</v>
      </c>
    </row>
    <row>
      <c s="66" t="s">
        <v>89</v>
      </c>
      <c s="44" t="s">
        <v>46</v>
      </c>
      <c s="21">
        <v>1</v>
      </c>
      <c s="21">
        <v>19</v>
      </c>
      <c s="50">
        <v>20</v>
      </c>
      <c s="25">
        <v>0.050000000000000003</v>
      </c>
      <c s="25">
        <v>0.94999999999999996</v>
      </c>
    </row>
    <row>
      <c s="66"/>
      <c s="44" t="s">
        <v>38</v>
      </c>
      <c s="21">
        <v>23</v>
      </c>
      <c s="21">
        <v>47</v>
      </c>
      <c s="50">
        <v>70</v>
      </c>
      <c s="25">
        <v>0.32857142857142857</v>
      </c>
      <c s="25">
        <v>0.67142857142857137</v>
      </c>
    </row>
    <row>
      <c s="66"/>
      <c s="44" t="s">
        <v>76</v>
      </c>
      <c s="21">
        <v>5</v>
      </c>
      <c s="21">
        <v>18</v>
      </c>
      <c s="50">
        <v>23</v>
      </c>
      <c s="25">
        <v>0.21739130434782608</v>
      </c>
      <c s="25">
        <v>0.78260869565217395</v>
      </c>
    </row>
    <row>
      <c s="66"/>
      <c s="44" t="s">
        <v>45</v>
      </c>
      <c s="21">
        <v>5</v>
      </c>
      <c s="21">
        <v>41</v>
      </c>
      <c s="50">
        <v>46</v>
      </c>
      <c s="25">
        <v>0.10869565217391304</v>
      </c>
      <c s="25">
        <v>0.89130434782608692</v>
      </c>
    </row>
    <row>
      <c s="66"/>
      <c s="44" t="s">
        <v>40</v>
      </c>
      <c s="21">
        <v>136</v>
      </c>
      <c s="21">
        <v>800</v>
      </c>
      <c s="50">
        <v>936</v>
      </c>
      <c s="25">
        <v>0.14529914529914531</v>
      </c>
      <c s="25">
        <v>0.85470085470085466</v>
      </c>
    </row>
    <row>
      <c s="66"/>
      <c s="44" t="s">
        <v>48</v>
      </c>
      <c s="21">
        <v>186</v>
      </c>
      <c s="21">
        <v>224</v>
      </c>
      <c s="50">
        <v>410</v>
      </c>
      <c s="25">
        <v>0.45365853658536587</v>
      </c>
      <c s="25">
        <v>0.54634146341463419</v>
      </c>
    </row>
    <row>
      <c s="66" t="s">
        <v>28</v>
      </c>
      <c s="44" t="s">
        <v>46</v>
      </c>
      <c s="21">
        <v>1</v>
      </c>
      <c s="21">
        <v>20</v>
      </c>
      <c s="50">
        <v>21</v>
      </c>
      <c s="25">
        <v>0.047619047619047616</v>
      </c>
      <c s="25">
        <v>0.95238095238095233</v>
      </c>
    </row>
    <row>
      <c s="66"/>
      <c s="44" t="s">
        <v>38</v>
      </c>
      <c s="21">
        <v>19</v>
      </c>
      <c s="21">
        <v>46</v>
      </c>
      <c s="50">
        <v>65</v>
      </c>
      <c s="25">
        <v>0.29230769230769232</v>
      </c>
      <c s="25">
        <v>0.70769230769230773</v>
      </c>
    </row>
    <row>
      <c s="66"/>
      <c s="44" t="s">
        <v>76</v>
      </c>
      <c s="21">
        <v>3</v>
      </c>
      <c s="21">
        <v>15</v>
      </c>
      <c s="50">
        <v>18</v>
      </c>
      <c s="25">
        <v>0.16666666666666666</v>
      </c>
      <c s="25">
        <v>0.83333333333333337</v>
      </c>
    </row>
    <row>
      <c s="66"/>
      <c s="44" t="s">
        <v>45</v>
      </c>
      <c s="21">
        <v>14</v>
      </c>
      <c s="21">
        <v>45</v>
      </c>
      <c s="50">
        <v>59</v>
      </c>
      <c s="25">
        <v>0.23728813559322035</v>
      </c>
      <c s="25">
        <v>0.76271186440677963</v>
      </c>
    </row>
    <row>
      <c s="66"/>
      <c s="44" t="s">
        <v>40</v>
      </c>
      <c s="21">
        <v>148</v>
      </c>
      <c s="21">
        <v>846</v>
      </c>
      <c s="50">
        <v>994</v>
      </c>
      <c s="25">
        <v>0.1488933601609658</v>
      </c>
      <c s="25">
        <v>0.85110663983903423</v>
      </c>
    </row>
    <row>
      <c s="66"/>
      <c s="44" t="s">
        <v>48</v>
      </c>
      <c s="21">
        <v>137</v>
      </c>
      <c s="21">
        <v>204</v>
      </c>
      <c s="50">
        <v>341</v>
      </c>
      <c s="25">
        <v>0.40175953079178883</v>
      </c>
      <c s="25">
        <v>0.59824046920821117</v>
      </c>
    </row>
    <row>
      <c s="66" t="s">
        <v>68</v>
      </c>
      <c s="44" t="s">
        <v>46</v>
      </c>
      <c s="21">
        <v>0</v>
      </c>
      <c s="21">
        <v>22</v>
      </c>
      <c s="50">
        <v>22</v>
      </c>
      <c s="25">
        <v>0</v>
      </c>
      <c s="25">
        <v>1</v>
      </c>
    </row>
    <row>
      <c s="66"/>
      <c s="44" t="s">
        <v>38</v>
      </c>
      <c s="21">
        <v>17</v>
      </c>
      <c s="21">
        <v>44</v>
      </c>
      <c s="50">
        <v>61</v>
      </c>
      <c s="25">
        <v>0.27868852459016391</v>
      </c>
      <c s="25">
        <v>0.72131147540983609</v>
      </c>
    </row>
    <row>
      <c s="66"/>
      <c s="44" t="s">
        <v>76</v>
      </c>
      <c s="21">
        <v>3</v>
      </c>
      <c s="21">
        <v>14</v>
      </c>
      <c s="50">
        <v>17</v>
      </c>
      <c s="25">
        <v>0.17647058823529413</v>
      </c>
      <c s="25">
        <v>0.82352941176470584</v>
      </c>
    </row>
    <row>
      <c s="66"/>
      <c s="44" t="s">
        <v>45</v>
      </c>
      <c s="21">
        <v>15</v>
      </c>
      <c s="21">
        <v>43</v>
      </c>
      <c s="50">
        <v>58</v>
      </c>
      <c s="25">
        <v>0.25862068965517243</v>
      </c>
      <c s="25">
        <v>0.74137931034482762</v>
      </c>
    </row>
    <row>
      <c s="66"/>
      <c s="44" t="s">
        <v>40</v>
      </c>
      <c s="21">
        <v>149</v>
      </c>
      <c s="21">
        <v>845</v>
      </c>
      <c s="50">
        <v>994</v>
      </c>
      <c s="25">
        <v>0.14989939637826963</v>
      </c>
      <c s="25">
        <v>0.85010060362173034</v>
      </c>
    </row>
    <row>
      <c s="66"/>
      <c s="44" t="s">
        <v>48</v>
      </c>
      <c s="21">
        <v>143</v>
      </c>
      <c s="21">
        <v>229</v>
      </c>
      <c s="50">
        <v>372</v>
      </c>
      <c s="25">
        <v>0.38440860215053763</v>
      </c>
      <c s="25">
        <v>0.61559139784946237</v>
      </c>
    </row>
    <row>
      <c s="66" t="s">
        <v>100</v>
      </c>
      <c s="44" t="s">
        <v>46</v>
      </c>
      <c s="21">
        <v>0</v>
      </c>
      <c s="21">
        <v>18</v>
      </c>
      <c s="50">
        <v>18</v>
      </c>
      <c s="25">
        <v>0</v>
      </c>
      <c s="25">
        <v>1</v>
      </c>
    </row>
    <row>
      <c s="66"/>
      <c s="44" t="s">
        <v>38</v>
      </c>
      <c s="21">
        <v>16</v>
      </c>
      <c s="21">
        <v>40</v>
      </c>
      <c s="50">
        <v>56</v>
      </c>
      <c s="25">
        <v>0.2857142857142857</v>
      </c>
      <c s="25">
        <v>0.7142857142857143</v>
      </c>
    </row>
    <row>
      <c s="66"/>
      <c s="44" t="s">
        <v>76</v>
      </c>
      <c s="21">
        <v>1</v>
      </c>
      <c s="21">
        <v>10</v>
      </c>
      <c s="50">
        <v>11</v>
      </c>
      <c s="25">
        <v>0.090909090909090912</v>
      </c>
      <c s="25">
        <v>0.90909090909090906</v>
      </c>
    </row>
    <row>
      <c s="66"/>
      <c s="44" t="s">
        <v>45</v>
      </c>
      <c s="21">
        <v>16</v>
      </c>
      <c s="21">
        <v>36</v>
      </c>
      <c s="50">
        <v>52</v>
      </c>
      <c s="25">
        <v>0.30769230769230771</v>
      </c>
      <c s="25">
        <v>0.69230769230769229</v>
      </c>
    </row>
    <row>
      <c s="66"/>
      <c s="44" t="s">
        <v>40</v>
      </c>
      <c s="21">
        <v>120</v>
      </c>
      <c s="21">
        <v>823</v>
      </c>
      <c s="50">
        <v>943</v>
      </c>
      <c s="25">
        <v>0.12725344644750794</v>
      </c>
      <c s="25">
        <v>0.87274655355249209</v>
      </c>
    </row>
    <row>
      <c s="66"/>
      <c s="44" t="s">
        <v>48</v>
      </c>
      <c s="21">
        <v>128</v>
      </c>
      <c s="21">
        <v>194</v>
      </c>
      <c s="50">
        <v>322</v>
      </c>
      <c s="25">
        <v>0.39751552795031053</v>
      </c>
      <c s="25">
        <v>0.60248447204968947</v>
      </c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38"/>
      <c s="2"/>
      <c s="2"/>
      <c s="2"/>
      <c s="2"/>
      <c s="2"/>
      <c s="2"/>
      <c s="2"/>
      <c s="2"/>
      <c s="2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</sheetData>
  <mergeCells count="27">
    <mergeCell ref="A3:C3"/>
    <mergeCell ref="A4:C4"/>
    <mergeCell ref="A5:G5"/>
    <mergeCell ref="A6:C6"/>
    <mergeCell ref="C15:G15"/>
    <mergeCell ref="C16:E16"/>
    <mergeCell ref="F16:G16"/>
    <mergeCell ref="A18:A23"/>
    <mergeCell ref="A24:A29"/>
    <mergeCell ref="A30:A35"/>
    <mergeCell ref="A36:A41"/>
    <mergeCell ref="A42:A47"/>
    <mergeCell ref="A48:A53"/>
    <mergeCell ref="A54:A59"/>
    <mergeCell ref="A60:A65"/>
    <mergeCell ref="A66:A71"/>
    <mergeCell ref="A72:A77"/>
    <mergeCell ref="A78:A83"/>
    <mergeCell ref="A84:A89"/>
    <mergeCell ref="A90:A95"/>
    <mergeCell ref="A96:A101"/>
    <mergeCell ref="A102:A107"/>
    <mergeCell ref="A108:A113"/>
    <mergeCell ref="A114:A119"/>
    <mergeCell ref="A120:A125"/>
    <mergeCell ref="A126:A131"/>
    <mergeCell ref="A132:A137"/>
  </mergeCells>
  <pageMargins left="0.70866141732283472" right="0.70866141732283472" top="0.78740157480314965" bottom="0.78740157480314965" header="0.31496062992125984" footer="0.31496062992125984"/>
  <pageSetup paperSize="9" scale="92" fitToHeight="0" orientation="landscape"/>
  <headerFooter>
    <oddHeader>&amp;L&amp;"Tahoma,Standard"&amp;10unidata.gv.at&amp;R&amp;"Tahoma,Standard"&amp;10&amp;D</oddHeader>
    <oddFooter>&amp;R&amp;"Tahoma,Standard"&amp;10&amp;P/&amp;N</oddFooter>
  </headerFooter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Z30"/>
  <sheetViews>
    <sheetView workbookViewId="0">
      <selection activeCell="D30" sqref="D30:E30"/>
    </sheetView>
  </sheetViews>
  <sheetFormatPr defaultColWidth="9.140625" defaultRowHeight="13.6"/>
  <cols>
    <col min="1" max="1" width="13.5703125" style="19" customWidth="1"/>
    <col min="2" max="2" width="40.85546875" style="19" customWidth="1"/>
    <col min="3" max="3" width="28.140625" style="19" customWidth="1"/>
    <col min="4" max="4" width="16.28515625" style="19" customWidth="1"/>
    <col min="5" max="5" width="19.42578125" style="19" customWidth="1"/>
    <col min="6" max="6" width="11.140625" style="19" customWidth="1"/>
    <col min="7" max="7" width="9.140625" style="19" customWidth="1"/>
    <col min="8" max="8" width="17.28515625" style="19" customWidth="1"/>
    <col min="9" max="9" width="19.5703125" style="19" customWidth="1"/>
    <col min="10" max="12" width="12.42578125" style="19" customWidth="1"/>
    <col min="13" max="13" width="16" style="19" customWidth="1"/>
    <col min="14" max="14" width="14.28515625" style="19" customWidth="1"/>
    <col min="15" max="15" width="18.28515625" style="19" customWidth="1"/>
    <col min="16" max="25" width="9.140625" style="19" customWidth="1"/>
    <col min="26" max="26" width="9.140625" style="19" hidden="1" customWidth="1"/>
    <col min="27" max="27" width="9.140625" style="19" customWidth="1"/>
    <col min="28" max="16384" width="9.140625" style="19"/>
  </cols>
  <sheetData>
    <row>
      <c s="64"/>
      <c r="H1" s="34">
        <v>129806172700000000</v>
      </c>
      <c r="Z1" s="46" t="b">
        <f>0=1</f>
        <v>0</v>
      </c>
    </row>
    <row>
      <c r="Z2" s="46" t="b">
        <f>1=1</f>
        <v>1</v>
      </c>
    </row>
    <row>
      <c r="Z3" s="46"/>
    </row>
    <row>
      <c r="I4" s="19" t="s">
        <v>34</v>
      </c>
      <c s="65" t="s">
        <v>70</v>
      </c>
      <c s="8"/>
      <c s="8"/>
      <c s="8"/>
      <c s="8"/>
      <c s="8"/>
    </row>
    <row>
      <c r="J5" s="23" t="s">
        <v>22</v>
      </c>
      <c s="14" t="s">
        <v>49</v>
      </c>
      <c s="14" t="s">
        <v>63</v>
      </c>
      <c s="23" t="s">
        <v>95</v>
      </c>
      <c s="55" t="s">
        <v>77</v>
      </c>
      <c s="14" t="s">
        <v>4</v>
      </c>
    </row>
    <row>
      <c r="B6" s="18" t="s">
        <v>78</v>
      </c>
      <c s="17" t="s">
        <v>85</v>
      </c>
      <c s="59" t="s">
        <v>11</v>
      </c>
      <c s="7" t="s">
        <v>50</v>
      </c>
    </row>
    <row>
      <c r="C7" s="16"/>
      <c s="28" t="s">
        <v>12</v>
      </c>
      <c s="7" t="s">
        <v>56</v>
      </c>
    </row>
    <row>
      <c r="C8" s="28" t="s">
        <v>5</v>
      </c>
      <c s="16"/>
    </row>
    <row>
      <c r="C9" s="16"/>
      <c s="17" t="s">
        <v>23</v>
      </c>
      <c s="31"/>
    </row>
    <row>
      <c r="C10" s="17" t="s">
        <v>42</v>
      </c>
      <c s="42" t="s">
        <v>64</v>
      </c>
      <c s="7" t="s">
        <v>15</v>
      </c>
    </row>
    <row>
      <c r="B11" s="18" t="s">
        <v>51</v>
      </c>
      <c s="60" t="s">
        <v>43</v>
      </c>
      <c s="52">
        <v>60398</v>
      </c>
      <c s="7" t="s">
        <v>24</v>
      </c>
    </row>
    <row>
      <c r="B12" s="18"/>
      <c s="40"/>
      <c s="32"/>
      <c s="56" t="s">
        <v>71</v>
      </c>
    </row>
    <row>
      <c r="B13" s="18" t="s">
        <v>44</v>
      </c>
      <c s="30" t="s">
        <v>19</v>
      </c>
      <c s="47">
        <v>1212</v>
      </c>
      <c s="19" t="b">
        <v>0</v>
      </c>
      <c s="7" t="s">
        <v>65</v>
      </c>
    </row>
    <row ht="12.75" hidden="1">
      <c r="B14" s="18"/>
      <c s="30"/>
      <c s="51"/>
      <c s="19" t="b">
        <v>0</v>
      </c>
    </row>
    <row>
      <c r="B15" s="18" t="s">
        <v>86</v>
      </c>
      <c s="19" t="s">
        <v>91</v>
      </c>
      <c s="45">
        <v>1212</v>
      </c>
      <c s="19" t="b">
        <v>0</v>
      </c>
      <c s="7" t="s">
        <v>20</v>
      </c>
    </row>
    <row ht="12.75" hidden="1">
      <c r="B16" s="18"/>
      <c r="D16" s="15"/>
      <c s="19" t="b">
        <v>0</v>
      </c>
      <c s="7"/>
    </row>
    <row>
      <c r="B17" s="18"/>
      <c s="19" t="s">
        <v>25</v>
      </c>
      <c s="57">
        <v>3434</v>
      </c>
      <c s="19" t="b">
        <v>0</v>
      </c>
      <c s="7" t="s">
        <v>66</v>
      </c>
    </row>
    <row>
      <c r="B18" s="18"/>
      <c r="D18" s="15"/>
      <c s="19" t="b">
        <v>0</v>
      </c>
      <c s="7"/>
    </row>
    <row>
      <c r="B19" s="18"/>
      <c s="19" t="s">
        <v>6</v>
      </c>
      <c s="61">
        <v>3434</v>
      </c>
      <c s="19" t="b">
        <v>0</v>
      </c>
      <c s="7" t="s">
        <v>79</v>
      </c>
    </row>
    <row>
      <c r="B20" s="18"/>
      <c r="D20" s="15"/>
      <c s="19" t="b">
        <v>0</v>
      </c>
      <c s="7"/>
    </row>
    <row>
      <c r="B21" s="18"/>
      <c s="19" t="s">
        <v>80</v>
      </c>
      <c s="62">
        <v>5656</v>
      </c>
      <c s="19" t="b">
        <v>0</v>
      </c>
      <c s="7" t="s">
        <v>96</v>
      </c>
    </row>
    <row>
      <c r="B22" s="18"/>
      <c r="E22" s="7"/>
      <c r="I22" s="39"/>
    </row>
    <row>
      <c r="B23" s="22" t="s">
        <v>7</v>
      </c>
      <c s="22"/>
    </row>
    <row>
      <c r="B24" s="4" t="s">
        <v>52</v>
      </c>
      <c s="4" t="s">
        <v>26</v>
      </c>
      <c s="4" t="s">
        <v>13</v>
      </c>
      <c s="4" t="s">
        <v>81</v>
      </c>
      <c s="4"/>
      <c s="4"/>
      <c s="4" t="s">
        <v>97</v>
      </c>
    </row>
    <row>
      <c s="19" t="s">
        <v>57</v>
      </c>
      <c r="C25" s="43" t="s">
        <v>53</v>
      </c>
      <c s="20" t="s">
        <v>67</v>
      </c>
      <c s="27">
        <v>1234.5599999999999</v>
      </c>
      <c s="7" t="s">
        <v>72</v>
      </c>
      <c r="H25" s="19" t="s">
        <v>82</v>
      </c>
    </row>
    <row>
      <c s="19" t="s">
        <v>87</v>
      </c>
      <c r="C26" s="43" t="s">
        <v>53</v>
      </c>
      <c s="27" t="s">
        <v>67</v>
      </c>
      <c s="27">
        <v>1234.5599999999999</v>
      </c>
      <c s="7" t="s">
        <v>58</v>
      </c>
      <c r="H26" s="19" t="s">
        <v>98</v>
      </c>
    </row>
    <row>
      <c r="C27" s="43" t="s">
        <v>53</v>
      </c>
      <c s="20" t="s">
        <v>67</v>
      </c>
      <c s="27">
        <v>1234.5599999999999</v>
      </c>
      <c r="H27" s="19" t="s">
        <v>59</v>
      </c>
    </row>
    <row>
      <c r="C28" s="49" t="s">
        <v>8</v>
      </c>
      <c s="20" t="s">
        <v>9</v>
      </c>
      <c s="27">
        <v>1234.5599999999999</v>
      </c>
      <c r="H28" s="19" t="s">
        <v>27</v>
      </c>
    </row>
    <row>
      <c r="C29" s="49" t="s">
        <v>39</v>
      </c>
      <c s="54" t="s">
        <v>17</v>
      </c>
      <c s="48">
        <v>1234.5599999999999</v>
      </c>
      <c r="H29" s="19" t="s">
        <v>99</v>
      </c>
    </row>
    <row>
      <c r="C30" s="49" t="s">
        <v>8</v>
      </c>
      <c s="24" t="s">
        <v>60</v>
      </c>
      <c s="24">
        <v>1234.5599999999999</v>
      </c>
    </row>
  </sheetData>
  <mergeCells count="2">
    <mergeCell ref="J4:O4"/>
    <mergeCell ref="B23:C23"/>
  </mergeCells>
  <dataValidations count="1">
    <dataValidation type="list" allowBlank="1" showInputMessage="1" showErrorMessage="1" sqref="E13:E21">
      <formula1>$Z$1:$Z$2</formula1>
    </dataValidation>
  </dataValidations>
  <pageMargins left="0.7" right="0.7" top="0.787401575" bottom="0.787401575" header="0.3" footer="0.3"/>
  <pageSetup paperSize="9" orientation="portrait"/>
  <drawing r:id="rId1"/>
</worksheet>
</file>
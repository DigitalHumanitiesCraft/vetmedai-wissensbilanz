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media/image2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28800" windowHeight="12900"/>
  </bookViews>
  <sheets>
    <sheet name="Tab" sheetId="1" r:id="rId1"/>
    <sheet name="XLCubedFormats" sheetId="2" state="hidden" r:id="rId2"/>
  </sheets>
  <definedNames>
    <definedName name="_xlnm.Print_Area" localSheetId="0">Tab!$A$1:$F$41</definedName>
    <definedName name="XL3DisableCameraObjects" hidden="1">XLCubedFormats!A1</definedName>
    <definedName name="XL3ObjLocation44f798c6_bd3e_493e_a04e_fef5430a3048">Tab!$A$10</definedName>
  </definedNames>
  <calcPr calcId="40001"/>
</workbook>
</file>

<file path=xl/sharedStrings.xml><?xml version="1.0" encoding="utf-8"?>
<sst xmlns="http://schemas.openxmlformats.org/spreadsheetml/2006/main" uniqueCount="98">
  <si>
    <t>(Members of Beschäftigungsausmaß in Prozent) - (Fehler, Keine Angabe, Unknown, Ausgeschieden)</t>
  </si>
  <si>
    <t>Verwendung</t>
  </si>
  <si>
    <t>Frauen</t>
  </si>
  <si>
    <t>Semester und Datenstichtag</t>
  </si>
  <si>
    <t>Slicer Button Background</t>
  </si>
  <si>
    <t>Grid Title</t>
  </si>
  <si>
    <t>Oth Written Member</t>
  </si>
  <si>
    <t>Fill in Grid Name, Dimension or Both</t>
  </si>
  <si>
    <t>[ALLG Wertart].[Wertart]</t>
  </si>
  <si>
    <t>Universität</t>
  </si>
  <si>
    <t>(bereinigte Kopfzahlen inkl. karenzierte Personen, ohne ausgeschiedene Personen)</t>
  </si>
  <si>
    <t>Absolutwert</t>
  </si>
  <si>
    <t>Universität für Musik und darstellende Kunst Wien</t>
  </si>
  <si>
    <t>All Marital Status</t>
  </si>
  <si>
    <t>Male</t>
  </si>
  <si>
    <t>Member1 Name</t>
  </si>
  <si>
    <t>Ausbildungsverh gemäß Berufsausbildungsgesetz</t>
  </si>
  <si>
    <t>Datenaufbereitung: bmfwf, Abt. I/10</t>
  </si>
  <si>
    <t>Universität für angewandte Kunst Wien</t>
  </si>
  <si>
    <t>Universität Wien</t>
  </si>
  <si>
    <t>&lt;-- default Column Member Format</t>
  </si>
  <si>
    <t>Beschäftigungsausmaß in Prozent</t>
  </si>
  <si>
    <t>Gesamt</t>
  </si>
  <si>
    <t>Universität Mozarteum Salzburg</t>
  </si>
  <si>
    <t>Universität Klagenfurt</t>
  </si>
  <si>
    <t>Alternate Rows</t>
  </si>
  <si>
    <t>&lt;--  writeable cell format</t>
  </si>
  <si>
    <t>Slicer Title</t>
  </si>
  <si>
    <t>Calendar Period</t>
  </si>
  <si>
    <t>&lt;-- default cell format</t>
  </si>
  <si>
    <t>Written Member</t>
  </si>
  <si>
    <t>Dimension/Column</t>
  </si>
  <si>
    <t>4) Prozentangaben werden standardmäßig mit einer Kommastelle angezeigt</t>
  </si>
  <si>
    <t>Personal Universitäten</t>
  </si>
  <si>
    <t>Wertart</t>
  </si>
  <si>
    <t>Medizinische Universität Innsbruck</t>
  </si>
  <si>
    <t>Männer</t>
  </si>
  <si>
    <t>Slice Name (Optional)</t>
  </si>
  <si>
    <t>Measures</t>
  </si>
  <si>
    <t>Veterinärmedizinische Universität Wien</t>
  </si>
  <si>
    <t>Montanuniversität Leoben</t>
  </si>
  <si>
    <t>[PU Person].[Geschlecht]</t>
  </si>
  <si>
    <t>Customer</t>
  </si>
  <si>
    <t>-All Customer</t>
  </si>
  <si>
    <t>Default Alternate Row Member Format --&gt;</t>
  </si>
  <si>
    <t>Medizinische Universität Graz</t>
  </si>
  <si>
    <t>Universität Innsbruck</t>
  </si>
  <si>
    <t>Slicer Item</t>
  </si>
  <si>
    <t>&lt;-- default Slicer Member Format</t>
  </si>
  <si>
    <t>Default Row Member Format --&gt;</t>
  </si>
  <si>
    <t>Grid/Table Name</t>
  </si>
  <si>
    <t>[Measures]</t>
  </si>
  <si>
    <t>Lehrlinge nach Universitäten</t>
  </si>
  <si>
    <t>Technische Universität Graz</t>
  </si>
  <si>
    <t>&lt;-- writeable Slicer Member Format</t>
  </si>
  <si>
    <t>Slice Format 1</t>
  </si>
  <si>
    <t>&lt;-- Gesamtzeile</t>
  </si>
  <si>
    <t>3) Formatierung der Gesamtspalte und -zeile (siehe E25:E26)</t>
  </si>
  <si>
    <t>Frauen-/Männeranteil in %</t>
  </si>
  <si>
    <t>Universität für künstlerische und industrielle Gestaltung Linz</t>
  </si>
  <si>
    <t>Slicer Button</t>
  </si>
  <si>
    <t>+2009</t>
  </si>
  <si>
    <t>&lt;-- default alternate row cell format</t>
  </si>
  <si>
    <t>&lt;--  written cell format</t>
  </si>
  <si>
    <t>Beschäftigungsverhältnisse</t>
  </si>
  <si>
    <t>Akademie der bildenden Künste Wien</t>
  </si>
  <si>
    <t>Display Formats For:</t>
  </si>
  <si>
    <t>Enabled?</t>
  </si>
  <si>
    <t>&lt;-- Gesamtspalte</t>
  </si>
  <si>
    <t>Datenprüfung: bmfwf, Abt. I/2</t>
  </si>
  <si>
    <t>Quelle: Datenmeldungen der Universitäten auf Basis UHSBV</t>
  </si>
  <si>
    <t>Universität für Musik und darstellende Kunst Graz</t>
  </si>
  <si>
    <t>Universität Graz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</si>
  <si>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</si>
  <si>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</si>
  <si>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</si>
  <si>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</si>
  <si>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</si>
  <si>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1) Spaltenüberschrift mittels Menüpunkt Daten/Gruppieren/Gruppieren ausblenden</t>
  </si>
  <si>
    <t>Universität Linz</t>
  </si>
  <si>
    <t>Universität für Bodenkultur Wien</t>
  </si>
  <si>
    <t>Universität Salzburg</t>
  </si>
  <si>
    <t>Medizinische Universität Wien</t>
  </si>
  <si>
    <t>Marital Status</t>
  </si>
  <si>
    <t>Default Writeable Member Format --&gt;</t>
  </si>
  <si>
    <t>Slice Format 2</t>
  </si>
  <si>
    <t>Anmerkung zur Technischen Universität Wien: seit Wintersemester 2019 (Stichtag: 31.12.2019) - vorläufige Zahlen</t>
  </si>
  <si>
    <t>Technische Universität Wien</t>
  </si>
  <si>
    <t>Writeable Member</t>
  </si>
  <si>
    <t>Personen mit Ausbildungsverhältnis gemäß Berufsausbildungsgesetz</t>
  </si>
  <si>
    <t>Geschlecht</t>
  </si>
  <si>
    <t>Wintersemester 2024 (Stichtag: 31.12.2024)</t>
  </si>
  <si>
    <t>Slicer Button Selected</t>
  </si>
  <si>
    <t>&lt;--  summary written cell</t>
  </si>
  <si>
    <t>Formatierungsrichtlinien</t>
  </si>
  <si>
    <t>2) Wenn möglich die nicht hierarchische Darstellung eines Slicers wählen (Slicer Type)</t>
  </si>
  <si>
    <t>5) Formatierung von Zahlen prüfen (Ganzzahl oder Zahl mit einer Kommastelle)</t>
  </si>
  <si>
    <t>Beschäftigungsverhältnis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</si>
</sst>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;;;"/>
  </numFmts>
  <fonts count="3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0"/>
      <color rgb="FF000000"/>
      <name val="Tahoma"/>
      <family val="2"/>
    </font>
    <font>
      <b/>
      <sz val="11"/>
      <name val="Calibri"/>
      <family val="2"/>
      <scheme val="minor"/>
    </font>
    <font>
      <b/>
      <sz val="10"/>
      <name val="Tahoma"/>
      <family val="2"/>
    </font>
    <font>
      <b/>
      <sz val="8"/>
      <color indexed="23"/>
      <name val="Tahoma"/>
      <family val="2"/>
    </font>
    <font>
      <b/>
      <sz val="11"/>
      <color rgb="FF000000"/>
      <name val="Tahoma"/>
      <family val="2"/>
    </font>
    <font>
      <sz val="10"/>
      <color rgb="FF595959"/>
      <name val="Tahoma"/>
    </font>
    <font>
      <sz val="11"/>
      <color rgb="FF000000"/>
      <name val="Tahoma"/>
      <family val="2"/>
    </font>
    <font>
      <sz val="9"/>
      <name val="Tahoma"/>
      <family val="2"/>
    </font>
    <font>
      <sz val="10"/>
      <color rgb="FF262626"/>
      <name val="Tahoma"/>
      <family val="2"/>
    </font>
    <font>
      <sz val="8"/>
      <name val="Tahoma"/>
      <family val="2"/>
    </font>
    <font>
      <sz val="10"/>
      <color theme="1" tint="0.34998626667073579"/>
      <name val="Tahoma"/>
      <family val="2"/>
    </font>
    <font>
      <sz val="10"/>
      <name val="Tahoma"/>
      <family val="2"/>
    </font>
    <font>
      <sz val="10"/>
      <color theme="1" tint="0.0499893185216834"/>
      <name val="Tahoma"/>
      <family val="2"/>
    </font>
    <font>
      <b/>
      <sz val="11"/>
      <color theme="1"/>
      <name val="Calibri"/>
      <family val="2"/>
      <scheme val="minor"/>
    </font>
    <font>
      <sz val="10"/>
      <color theme="1" tint="0.14996795556505021"/>
      <name val="Tahoma"/>
      <family val="2"/>
    </font>
    <font>
      <b/>
      <sz val="8"/>
      <color rgb="FFFF0000"/>
      <name val="Tahoma"/>
      <family val="2"/>
    </font>
    <font>
      <sz val="10"/>
      <color rgb="FFFF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rgb="FF3F3F3F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D9F1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C0C0C0"/>
        <bgColor rgb="FFFFFFFF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DDDDDD"/>
        <bgColor rgb="FFFFFFFF"/>
      </patternFill>
    </fill>
    <fill>
      <patternFill patternType="solid">
        <fgColor indexed="40"/>
        <bgColor indexed="64"/>
      </patternFill>
    </fill>
  </fills>
  <borders count="8">
    <border>
      <left/>
      <right/>
      <top/>
      <bottom/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thin">
        <color indexed="23"/>
      </left>
      <right/>
      <top/>
      <bottom/>
      <diagonal/>
    </border>
    <border>
      <left style="hair">
        <color rgb="FFC0C0C0"/>
      </left>
      <right/>
      <top/>
      <bottom/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</borders>
  <cellStyleXfs count="2">
    <xf numFmtId="0" fontId="0" fillId="0" borderId="0"/>
    <xf numFmtId="0" fontId="1" fillId="0" borderId="0"/>
  </cellStyleXfs>
  <cellXfs count="70">
    <xf numFmtId="0" fontId="0" fillId="0" borderId="0" xfId="0"/>
    <xf numFmtId="0" fontId="2" fillId="0" borderId="0" xfId="0" applyFont="1" applyFill="1" applyBorder="1"/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3" fontId="4" fillId="0" borderId="0" xfId="0" applyNumberFormat="1" applyFont="1" applyFill="1" applyBorder="1"/>
    <xf numFmtId="0" fontId="0" fillId="0" borderId="0" xfId="0" applyFill="1" applyBorder="1" applyAlignment="1"/>
    <xf numFmtId="0" fontId="5" fillId="0" borderId="0" xfId="0" applyFont="1"/>
    <xf numFmtId="0" fontId="6" fillId="0" borderId="0" xfId="0" applyFont="1"/>
    <xf numFmtId="0" fontId="7" fillId="0" borderId="0" xfId="0" applyFont="1" applyFill="1" applyBorder="1" applyAlignment="1">
      <alignment vertical="top"/>
    </xf>
    <xf numFmtId="0" fontId="8" fillId="2" borderId="1" xfId="0" quotePrefix="1" applyFont="1" applyFill="1" applyBorder="1" applyAlignment="1" applyProtection="1"/>
    <xf numFmtId="0" fontId="9" fillId="0" borderId="0" xfId="0" applyFont="1" applyFill="1" applyBorder="1" applyAlignment="1">
      <alignment vertical="center"/>
    </xf>
    <xf numFmtId="0" fontId="10" fillId="3" borderId="0" xfId="1" applyFont="1" applyFill="1" applyBorder="1" applyAlignment="1">
      <alignment horizontal="center"/>
    </xf>
    <xf numFmtId="0" fontId="11" fillId="0" borderId="2" xfId="0" quotePrefix="1" applyFont="1" applyFill="1" applyBorder="1" applyAlignment="1" applyProtection="1">
      <alignment horizontal="center"/>
    </xf>
    <xf numFmtId="0" fontId="11" fillId="0" borderId="2" xfId="0" applyFont="1" applyFill="1" applyBorder="1" applyAlignment="1" applyProtection="1">
      <alignment horizontal="right"/>
    </xf>
    <xf numFmtId="0" fontId="12" fillId="0" borderId="0" xfId="1" applyFont="1"/>
    <xf numFmtId="0" fontId="13" fillId="4" borderId="0" xfId="0" applyFont="1" applyFill="1" applyAlignment="1"/>
    <xf numFmtId="0" fontId="14" fillId="0" borderId="0" xfId="0" applyNumberFormat="1" applyFont="1" applyAlignment="1"/>
    <xf numFmtId="0" fontId="15" fillId="0" borderId="0" xfId="0" applyFont="1"/>
    <xf numFmtId="164" fontId="11" fillId="5" borderId="2" xfId="0" applyNumberFormat="1" applyFont="1" applyFill="1" applyBorder="1" applyAlignment="1" applyProtection="1">
      <alignment horizontal="right"/>
    </xf>
    <xf numFmtId="164" fontId="11" fillId="5" borderId="2" xfId="0" quotePrefix="1" applyNumberFormat="1" applyFont="1" applyFill="1" applyBorder="1" applyAlignment="1" applyProtection="1">
      <alignment horizontal="center"/>
    </xf>
    <xf numFmtId="0" fontId="14" fillId="0" borderId="0" xfId="0" applyFont="1"/>
    <xf numFmtId="164" fontId="11" fillId="0" borderId="3" xfId="0" applyNumberFormat="1" applyFont="1" applyBorder="1" applyAlignment="1" applyProtection="1">
      <alignment horizontal="right"/>
    </xf>
    <xf numFmtId="0" fontId="6" fillId="0" borderId="0" xfId="0" applyFont="1" applyAlignment="1">
      <alignment horizontal="right"/>
    </xf>
    <xf numFmtId="0" fontId="12" fillId="4" borderId="0" xfId="1" applyFont="1" applyFill="1"/>
    <xf numFmtId="0" fontId="16" fillId="0" borderId="0" xfId="0" applyFont="1" applyFill="1" applyBorder="1" applyAlignment="1"/>
    <xf numFmtId="0" fontId="14" fillId="0" borderId="0" xfId="0" applyFont="1" applyAlignment="1">
      <alignment horizontal="center"/>
    </xf>
    <xf numFmtId="0" fontId="17" fillId="0" borderId="0" xfId="0" applyFont="1"/>
    <xf numFmtId="3" fontId="11" fillId="0" borderId="2" xfId="0" applyNumberFormat="1" applyFont="1" applyFill="1" applyBorder="1" applyAlignment="1" applyProtection="1">
      <alignment horizontal="right"/>
    </xf>
    <xf numFmtId="0" fontId="18" fillId="0" borderId="0" xfId="0" applyFont="1"/>
    <xf numFmtId="3" fontId="14" fillId="6" borderId="0" xfId="0" applyNumberFormat="1" applyFont="1" applyFill="1" applyAlignment="1"/>
    <xf numFmtId="0" fontId="0" fillId="0" borderId="0" xfId="0" applyFont="1" applyFill="1" applyBorder="1" applyAlignment="1"/>
    <xf numFmtId="0" fontId="14" fillId="0" borderId="0" xfId="0" quotePrefix="1" applyFont="1" applyFill="1"/>
    <xf numFmtId="0" fontId="17" fillId="0" borderId="4" xfId="0" quotePrefix="1" applyFont="1" applyFill="1" applyBorder="1" applyAlignment="1">
      <alignment horizontal="right"/>
    </xf>
    <xf numFmtId="0" fontId="10" fillId="3" borderId="5" xfId="1" applyFont="1" applyFill="1" applyBorder="1" applyAlignment="1">
      <alignment horizontal="center"/>
    </xf>
    <xf numFmtId="0" fontId="11" fillId="0" borderId="6" xfId="0" applyFont="1" applyBorder="1" applyAlignment="1" applyProtection="1">
      <alignment horizontal="right"/>
    </xf>
    <xf numFmtId="0" fontId="6" fillId="0" borderId="0" xfId="0" applyFont="1" applyAlignment="1">
      <alignment horizontal="center"/>
    </xf>
    <xf numFmtId="0" fontId="11" fillId="0" borderId="3" xfId="0" applyFont="1" applyBorder="1" applyAlignment="1" applyProtection="1">
      <alignment horizontal="center"/>
    </xf>
    <xf numFmtId="2" fontId="14" fillId="0" borderId="0" xfId="0" applyNumberFormat="1" applyFont="1"/>
    <xf numFmtId="3" fontId="14" fillId="0" borderId="0" xfId="0" applyNumberFormat="1" applyFont="1" applyAlignment="1"/>
    <xf numFmtId="3" fontId="17" fillId="0" borderId="4" xfId="0" applyNumberFormat="1" applyFont="1" applyFill="1" applyBorder="1" applyAlignment="1"/>
    <xf numFmtId="164" fontId="11" fillId="7" borderId="7" xfId="0" applyNumberFormat="1" applyFont="1" applyFill="1" applyBorder="1" applyAlignment="1" applyProtection="1">
      <alignment horizontal="right"/>
    </xf>
    <xf numFmtId="0" fontId="11" fillId="0" borderId="6" xfId="0" applyFont="1" applyBorder="1" applyAlignment="1" applyProtection="1">
      <alignment horizontal="center"/>
    </xf>
    <xf numFmtId="0" fontId="11" fillId="8" borderId="7" xfId="0" applyFont="1" applyFill="1" applyBorder="1" applyAlignment="1" applyProtection="1">
      <alignment horizontal="right"/>
    </xf>
    <xf numFmtId="3" fontId="14" fillId="9" borderId="0" xfId="0" applyNumberFormat="1" applyFont="1" applyFill="1" applyAlignment="1"/>
    <xf numFmtId="0" fontId="11" fillId="0" borderId="2" xfId="0" quotePrefix="1" applyFont="1" applyBorder="1" applyAlignment="1" applyProtection="1"/>
    <xf numFmtId="0" fontId="12" fillId="6" borderId="0" xfId="1" applyFont="1" applyFill="1"/>
    <xf numFmtId="0" fontId="11" fillId="0" borderId="3" xfId="0" applyFont="1" applyBorder="1" applyAlignment="1" applyProtection="1">
      <alignment horizontal="right"/>
    </xf>
    <xf numFmtId="0" fontId="11" fillId="0" borderId="2" xfId="0" applyFont="1" applyFill="1" applyBorder="1" applyAlignment="1" applyProtection="1">
      <alignment vertical="center"/>
    </xf>
    <xf numFmtId="0" fontId="11" fillId="0" borderId="6" xfId="0" applyFont="1" applyFill="1" applyBorder="1" applyAlignment="1">
      <alignment vertical="center"/>
    </xf>
    <xf numFmtId="0" fontId="19" fillId="0" borderId="0" xfId="0" applyFont="1"/>
    <xf numFmtId="0" fontId="3" fillId="0" borderId="0" xfId="0" quotePrefix="1" applyFont="1" applyFill="1" applyAlignment="1">
      <alignment vertical="top"/>
    </xf>
    <xf numFmtId="0" fontId="17" fillId="0" borderId="4" xfId="0" quotePrefix="1" applyFont="1" applyFill="1" applyBorder="1" applyAlignment="1"/>
    <xf numFmtId="0" fontId="0" fillId="0" borderId="0" xfId="0" applyFont="1"/>
    <xf numFmtId="0" fontId="14" fillId="6" borderId="0" xfId="0" applyNumberFormat="1" applyFont="1" applyFill="1" applyAlignment="1"/>
    <xf numFmtId="0" fontId="11" fillId="10" borderId="2" xfId="0" applyFont="1" applyFill="1" applyBorder="1" applyAlignment="1" applyProtection="1">
      <alignment horizontal="right"/>
    </xf>
    <xf numFmtId="0" fontId="14" fillId="0" borderId="0" xfId="0" applyNumberFormat="1" applyFont="1"/>
    <xf numFmtId="3" fontId="11" fillId="10" borderId="2" xfId="0" applyNumberFormat="1" applyFont="1" applyFill="1" applyBorder="1" applyAlignment="1" applyProtection="1">
      <alignment horizontal="right"/>
    </xf>
    <xf numFmtId="0" fontId="17" fillId="0" borderId="4" xfId="0" applyFont="1" applyFill="1" applyBorder="1" applyAlignment="1">
      <alignment vertical="center"/>
    </xf>
    <xf numFmtId="165" fontId="14" fillId="0" borderId="0" xfId="0" applyNumberFormat="1" applyFont="1"/>
    <xf numFmtId="0" fontId="5" fillId="0" borderId="0" xfId="0" applyFont="1" applyFill="1" applyBorder="1" applyAlignment="1">
      <alignment vertical="center"/>
    </xf>
    <xf numFmtId="0" fontId="14" fillId="0" borderId="0" xfId="0" applyNumberFormat="1" applyFont="1" applyFill="1" applyBorder="1" applyAlignment="1"/>
    <xf numFmtId="0" fontId="14" fillId="6" borderId="0" xfId="0" applyFont="1" applyFill="1"/>
    <xf numFmtId="164" fontId="11" fillId="7" borderId="7" xfId="0" applyNumberFormat="1" applyFont="1" applyFill="1" applyBorder="1" applyAlignment="1" applyProtection="1">
      <alignment horizontal="center"/>
    </xf>
    <xf numFmtId="0" fontId="14" fillId="0" borderId="0" xfId="0" applyFont="1" applyFill="1" applyBorder="1" applyAlignment="1">
      <alignment vertical="center"/>
    </xf>
    <xf numFmtId="0" fontId="14" fillId="0" borderId="0" xfId="0" quotePrefix="1" applyFont="1"/>
    <xf numFmtId="0" fontId="11" fillId="8" borderId="2" xfId="0" applyFont="1" applyFill="1" applyBorder="1" applyAlignment="1" applyProtection="1">
      <alignment horizontal="right"/>
    </xf>
    <xf numFmtId="0" fontId="0" fillId="0" borderId="0" xfId="0" applyFill="1" applyBorder="1" applyAlignment="1">
      <alignment horizontal="left" vertical="center"/>
    </xf>
    <xf numFmtId="3" fontId="5" fillId="0" borderId="0" xfId="0" applyNumberFormat="1" applyFont="1" applyFill="1" applyAlignment="1"/>
    <xf numFmtId="0" fontId="16" fillId="0" borderId="0" xfId="0" applyFont="1"/>
    <xf numFmtId="3" fontId="14" fillId="11" borderId="0" xfId="0" applyNumberFormat="1" applyFont="1" applyFill="1" applyAlignment="1"/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2.png" /><Relationship Id="rId2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3697820</xdr:colOff>
      <xdr:row>8</xdr:row>
      <xdr:rowOff>209550</xdr:rowOff>
    </xdr:from>
    <xdr:to>
      <xdr:col>5</xdr:col>
      <xdr:colOff>281181</xdr:colOff>
      <xdr:row>10</xdr:row>
      <xdr:rowOff>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97820" y="1729105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3697820</xdr:colOff>
      <xdr:row>10</xdr:row>
      <xdr:rowOff>0</xdr:rowOff>
    </xdr:from>
    <xdr:to>
      <xdr:col>5</xdr:col>
      <xdr:colOff>281181</xdr:colOff>
      <xdr:row>10</xdr:row>
      <xdr:rowOff>189865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97820" y="1918970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305497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88433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305497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79042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305497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696505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02587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693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10968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4431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11974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640"/>
  <sheetViews>
    <sheetView tabSelected="1" workbookViewId="0"/>
  </sheetViews>
  <sheetFormatPr defaultColWidth="11.42578125" defaultRowHeight="14.95"/>
  <cols>
    <col min="1" max="1" width="50.7109375" style="52" customWidth="1"/>
    <col min="2" max="7" width="11.7109375" customWidth="1"/>
    <col min="8" max="8" width="6.7109375" customWidth="1"/>
    <col min="9" max="9" width="7.140625" customWidth="1"/>
    <col min="10" max="10" width="7.85546875" customWidth="1"/>
    <col min="11" max="11" width="11.28515625" customWidth="1"/>
    <col min="12" max="12" width="9.85546875" customWidth="1"/>
    <col min="13" max="13" width="7.28515625" customWidth="1"/>
    <col min="14" max="14" width="11.28515625" customWidth="1"/>
    <col min="15" max="15" width="9.85546875" customWidth="1"/>
    <col min="16" max="16" width="7.28515625" customWidth="1"/>
    <col min="17" max="17" width="11.28515625" customWidth="1"/>
    <col min="18" max="18" width="7.28515625" customWidth="1"/>
    <col min="19" max="19" width="11.28515625" customWidth="1"/>
    <col min="20" max="20" width="9.85546875" customWidth="1"/>
    <col min="21" max="21" width="7.28515625" customWidth="1"/>
    <col min="22" max="22" width="11.28515625" customWidth="1"/>
    <col min="23" max="23" width="9.85546875" customWidth="1"/>
    <col min="24" max="24" width="7.28515625" customWidth="1"/>
    <col min="25" max="25" width="11.28515625" customWidth="1"/>
    <col min="26" max="26" width="17.140625" customWidth="1"/>
    <col min="27" max="27" width="6.7109375" customWidth="1"/>
    <col min="28" max="28" width="7.140625" customWidth="1"/>
    <col min="29" max="29" width="17.140625" customWidth="1"/>
    <col min="30" max="30" width="6.7109375" customWidth="1"/>
    <col min="31" max="31" width="7.140625" customWidth="1"/>
    <col min="32" max="32" width="17.140625" customWidth="1"/>
    <col min="33" max="33" width="6.7109375" customWidth="1"/>
    <col min="34" max="34" width="7.140625" customWidth="1"/>
  </cols>
  <sheetData>
    <row>
      <c s="10" t="s">
        <v>33</v>
      </c>
      <c s="10"/>
      <c s="10"/>
      <c s="10"/>
      <c s="10"/>
      <c s="5"/>
      <c s="5"/>
    </row>
    <row s="68" customFormat="1">
      <c s="8" t="s">
        <v>52</v>
      </c>
      <c s="8"/>
      <c s="8"/>
      <c s="8"/>
      <c s="8"/>
      <c s="24"/>
      <c s="24"/>
    </row>
    <row>
      <c s="2" t="s">
        <v>89</v>
      </c>
      <c s="2"/>
      <c s="2"/>
      <c s="2"/>
      <c s="2"/>
      <c s="2"/>
      <c s="5"/>
    </row>
    <row>
      <c s="2" t="s">
        <v>10</v>
      </c>
      <c s="2"/>
      <c s="2"/>
      <c s="2"/>
      <c s="2"/>
      <c s="2"/>
      <c s="5"/>
    </row>
    <row>
      <c s="3" t="s">
        <v>86</v>
      </c>
      <c s="3"/>
      <c s="3"/>
      <c s="3"/>
      <c s="3"/>
      <c s="3"/>
      <c s="5"/>
    </row>
    <row ht="15" customHeight="1">
      <c s="2" t="s">
        <v>70</v>
      </c>
      <c s="2"/>
      <c s="2"/>
      <c s="2"/>
      <c s="2"/>
      <c s="2"/>
      <c s="5"/>
    </row>
    <row>
      <c s="50" t="s">
        <v>69</v>
      </c>
      <c s="2"/>
      <c s="2"/>
      <c s="2"/>
      <c s="2"/>
      <c s="2"/>
      <c s="5"/>
    </row>
    <row>
      <c s="50" t="s">
        <v>17</v>
      </c>
      <c s="3"/>
      <c s="3"/>
      <c s="3"/>
      <c s="3"/>
      <c s="66"/>
      <c s="5"/>
    </row>
    <row ht="16.5" customHeight="1">
      <c s="30"/>
      <c s="5"/>
      <c s="5"/>
      <c s="5"/>
      <c s="5"/>
      <c s="5"/>
      <c s="5"/>
    </row>
    <row>
      <c s="9" t="s">
        <v>3</v>
      </c>
      <c s="44" t="s">
        <v>91</v>
      </c>
    </row>
    <row>
      <c s="9" t="s">
        <v>1</v>
      </c>
      <c s="44" t="s">
        <v>22</v>
      </c>
    </row>
    <row ht="15" hidden="1">
      <c s="9" t="s">
        <v>97</v>
      </c>
      <c s="44" t="s">
        <v>16</v>
      </c>
    </row>
    <row ht="15" hidden="1">
      <c s="9" t="s">
        <v>21</v>
      </c>
      <c s="44" t="s">
        <v>0</v>
      </c>
    </row>
    <row>
      <c/>
    </row>
    <row>
      <c/>
    </row>
    <row ht="15" hidden="1">
      <c/>
      <c s="9" t="s">
        <v>38</v>
      </c>
      <c s="9" t="s">
        <v>34</v>
      </c>
      <c s="9" t="s">
        <v>90</v>
      </c>
    </row>
    <row>
      <c/>
      <c s="12" t="s">
        <v>64</v>
      </c>
      <c s="12"/>
      <c s="12"/>
      <c s="12"/>
      <c s="12"/>
    </row>
    <row>
      <c/>
      <c s="12" t="s">
        <v>11</v>
      </c>
      <c s="12"/>
      <c s="12"/>
      <c s="19" t="s">
        <v>58</v>
      </c>
      <c s="19"/>
    </row>
    <row>
      <c s="9" t="s">
        <v>9</v>
      </c>
      <c s="13" t="s">
        <v>2</v>
      </c>
      <c s="13" t="s">
        <v>36</v>
      </c>
      <c s="54" t="s">
        <v>22</v>
      </c>
      <c s="13" t="s">
        <v>2</v>
      </c>
      <c s="13" t="s">
        <v>36</v>
      </c>
    </row>
    <row>
      <c s="47" t="s">
        <v>19</v>
      </c>
      <c s="27">
        <v>21</v>
      </c>
      <c s="27">
        <v>9</v>
      </c>
      <c s="56">
        <v>30</v>
      </c>
      <c s="18">
        <v>0.69999999999999996</v>
      </c>
      <c s="18">
        <v>0.29999999999999999</v>
      </c>
    </row>
    <row>
      <c s="47" t="s">
        <v>72</v>
      </c>
      <c s="27">
        <v>17</v>
      </c>
      <c s="27">
        <v>12</v>
      </c>
      <c s="56">
        <v>29</v>
      </c>
      <c s="18">
        <v>0.58620689655172409</v>
      </c>
      <c s="18">
        <v>0.41379310344827586</v>
      </c>
    </row>
    <row>
      <c s="47" t="s">
        <v>46</v>
      </c>
      <c s="27">
        <v>13</v>
      </c>
      <c s="27">
        <v>10</v>
      </c>
      <c s="56">
        <v>23</v>
      </c>
      <c s="18">
        <v>0.56521739130434778</v>
      </c>
      <c s="18">
        <v>0.43478260869565216</v>
      </c>
    </row>
    <row>
      <c s="47" t="s">
        <v>82</v>
      </c>
      <c s="27">
        <v>2</v>
      </c>
      <c s="27">
        <v>3</v>
      </c>
      <c s="56">
        <v>5</v>
      </c>
      <c s="18">
        <v>0.40000000000000002</v>
      </c>
      <c s="18">
        <v>0.59999999999999998</v>
      </c>
    </row>
    <row>
      <c s="47" t="s">
        <v>45</v>
      </c>
      <c s="27">
        <v>15</v>
      </c>
      <c s="27">
        <v>15</v>
      </c>
      <c s="56">
        <v>30</v>
      </c>
      <c s="18">
        <v>0.5</v>
      </c>
      <c s="18">
        <v>0.5</v>
      </c>
    </row>
    <row>
      <c s="47" t="s">
        <v>35</v>
      </c>
      <c s="27">
        <v>15</v>
      </c>
      <c s="27">
        <v>5</v>
      </c>
      <c s="56">
        <v>20</v>
      </c>
      <c s="18">
        <v>0.75</v>
      </c>
      <c s="18">
        <v>0.25</v>
      </c>
    </row>
    <row>
      <c s="47" t="s">
        <v>81</v>
      </c>
      <c s="27">
        <v>7</v>
      </c>
      <c s="27">
        <v>7</v>
      </c>
      <c s="56">
        <v>14</v>
      </c>
      <c s="18">
        <v>0.5</v>
      </c>
      <c s="18">
        <v>0.5</v>
      </c>
    </row>
    <row>
      <c s="47" t="s">
        <v>87</v>
      </c>
      <c s="27">
        <v>7</v>
      </c>
      <c s="27">
        <v>13</v>
      </c>
      <c s="56">
        <v>20</v>
      </c>
      <c s="18">
        <v>0.34999999999999998</v>
      </c>
      <c s="18">
        <v>0.65000000000000002</v>
      </c>
    </row>
    <row>
      <c s="47" t="s">
        <v>53</v>
      </c>
      <c s="27">
        <v>17</v>
      </c>
      <c s="27">
        <v>21</v>
      </c>
      <c s="56">
        <v>38</v>
      </c>
      <c s="18">
        <v>0.44736842105263158</v>
      </c>
      <c s="18">
        <v>0.55263157894736847</v>
      </c>
    </row>
    <row>
      <c s="47" t="s">
        <v>40</v>
      </c>
      <c s="27">
        <v>8</v>
      </c>
      <c s="27">
        <v>7</v>
      </c>
      <c s="56">
        <v>15</v>
      </c>
      <c s="18">
        <v>0.53333333333333333</v>
      </c>
      <c s="18">
        <v>0.46666666666666667</v>
      </c>
    </row>
    <row>
      <c s="47" t="s">
        <v>80</v>
      </c>
      <c s="27">
        <v>9</v>
      </c>
      <c s="27">
        <v>8</v>
      </c>
      <c s="56">
        <v>17</v>
      </c>
      <c s="18">
        <v>0.52941176470588236</v>
      </c>
      <c s="18">
        <v>0.47058823529411764</v>
      </c>
    </row>
    <row>
      <c s="47" t="s">
        <v>39</v>
      </c>
      <c s="27">
        <v>0</v>
      </c>
      <c s="27">
        <v>2</v>
      </c>
      <c s="56">
        <v>2</v>
      </c>
      <c s="18">
        <v>0</v>
      </c>
      <c s="18">
        <v>1</v>
      </c>
    </row>
    <row>
      <c s="47" t="s">
        <v>79</v>
      </c>
      <c s="27">
        <v>11</v>
      </c>
      <c s="27">
        <v>8</v>
      </c>
      <c s="56">
        <v>19</v>
      </c>
      <c s="18">
        <v>0.57894736842105265</v>
      </c>
      <c s="18">
        <v>0.42105263157894735</v>
      </c>
    </row>
    <row>
      <c s="47" t="s">
        <v>24</v>
      </c>
      <c s="27">
        <v>2</v>
      </c>
      <c s="27">
        <v>0</v>
      </c>
      <c s="56">
        <v>2</v>
      </c>
      <c s="18">
        <v>1</v>
      </c>
      <c s="18">
        <v>0</v>
      </c>
    </row>
    <row>
      <c s="47" t="s">
        <v>18</v>
      </c>
      <c s="27">
        <v>3</v>
      </c>
      <c s="27">
        <v>3</v>
      </c>
      <c s="56">
        <v>6</v>
      </c>
      <c s="18">
        <v>0.5</v>
      </c>
      <c s="18">
        <v>0.5</v>
      </c>
    </row>
    <row>
      <c s="47" t="s">
        <v>12</v>
      </c>
      <c s="27">
        <v>3</v>
      </c>
      <c s="27">
        <v>1</v>
      </c>
      <c s="56">
        <v>4</v>
      </c>
      <c s="18">
        <v>0.75</v>
      </c>
      <c s="18">
        <v>0.25</v>
      </c>
    </row>
    <row>
      <c s="47" t="s">
        <v>23</v>
      </c>
      <c s="27">
        <v>3</v>
      </c>
      <c s="27">
        <v>8</v>
      </c>
      <c s="56">
        <v>11</v>
      </c>
      <c s="18">
        <v>0.27272727272727271</v>
      </c>
      <c s="18">
        <v>0.72727272727272729</v>
      </c>
    </row>
    <row>
      <c s="47" t="s">
        <v>71</v>
      </c>
      <c s="27">
        <v>1</v>
      </c>
      <c s="27">
        <v>1</v>
      </c>
      <c s="56">
        <v>2</v>
      </c>
      <c s="18">
        <v>0.5</v>
      </c>
      <c s="18">
        <v>0.5</v>
      </c>
    </row>
    <row>
      <c s="47" t="s">
        <v>59</v>
      </c>
      <c s="27">
        <v>2</v>
      </c>
      <c s="27">
        <v>0</v>
      </c>
      <c s="56">
        <v>2</v>
      </c>
      <c s="18">
        <v>1</v>
      </c>
      <c s="18">
        <v>0</v>
      </c>
    </row>
    <row>
      <c s="47" t="s">
        <v>65</v>
      </c>
      <c s="27">
        <v>2</v>
      </c>
      <c s="27">
        <v>0</v>
      </c>
      <c s="56">
        <v>2</v>
      </c>
      <c s="18">
        <v>1</v>
      </c>
      <c s="18">
        <v>0</v>
      </c>
    </row>
    <row>
      <c s="47" t="s">
        <v>22</v>
      </c>
      <c s="27">
        <v>158</v>
      </c>
      <c s="27">
        <v>133</v>
      </c>
      <c s="56">
        <v>291</v>
      </c>
      <c s="18">
        <v>0.54295532646048106</v>
      </c>
      <c s="18">
        <v>0.45704467353951889</v>
      </c>
    </row>
    <row>
      <c/>
    </row>
    <row>
      <c/>
    </row>
    <row>
      <c/>
    </row>
    <row>
      <c s="48"/>
    </row>
    <row>
      <c s="48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59"/>
      <c s="4"/>
      <c s="4"/>
      <c s="4"/>
      <c s="4"/>
      <c s="4"/>
      <c s="4"/>
      <c s="4"/>
      <c s="4"/>
      <c s="4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6">
    <mergeCell ref="A3:F3"/>
    <mergeCell ref="A4:F4"/>
    <mergeCell ref="A6:F6"/>
    <mergeCell ref="B17:F17"/>
    <mergeCell ref="B18:D18"/>
    <mergeCell ref="E18:F18"/>
  </mergeCells>
  <pageMargins left="0.70866141732283472" right="0.70866141732283472" top="0.78740157480314965" bottom="0.78740157480314965" header="0.31496062992125984" footer="0.31496062992125984"/>
  <pageSetup paperSize="9" scale="87" orientation="landscape"/>
  <headerFooter>
    <oddHeader>&amp;L&amp;"Tahoma,Standard"&amp;10unidata.gv.at&amp;R&amp;"Tahoma,Standard"&amp;10&amp;D</oddHeader>
    <oddFooter>&amp;R&amp;"Tahoma,Standard"&amp;10&amp;P/&amp;N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Z30"/>
  <sheetViews>
    <sheetView workbookViewId="0">
      <selection activeCell="E27" sqref="E27:E30"/>
    </sheetView>
  </sheetViews>
  <sheetFormatPr defaultColWidth="9.140625" defaultRowHeight="13.6"/>
  <cols>
    <col min="1" max="1" width="13.42578125" style="20" customWidth="1"/>
    <col min="2" max="2" width="40.85546875" style="20" customWidth="1"/>
    <col min="3" max="3" width="28.140625" style="20" customWidth="1"/>
    <col min="4" max="4" width="16.28515625" style="20" customWidth="1"/>
    <col min="5" max="5" width="19.42578125" style="20" customWidth="1"/>
    <col min="6" max="6" width="11.140625" style="20" customWidth="1"/>
    <col min="7" max="7" width="9.140625" style="20" customWidth="1"/>
    <col min="8" max="8" width="17.28515625" style="20" customWidth="1"/>
    <col min="9" max="9" width="19.42578125" style="20" customWidth="1"/>
    <col min="10" max="12" width="12.42578125" style="20" customWidth="1"/>
    <col min="13" max="13" width="16" style="20" customWidth="1"/>
    <col min="14" max="14" width="14.28515625" style="20" customWidth="1"/>
    <col min="15" max="15" width="18.28515625" style="20" customWidth="1"/>
    <col min="16" max="25" width="9.140625" style="20" customWidth="1"/>
    <col min="26" max="26" width="9.140625" style="20" hidden="1" customWidth="1"/>
    <col min="27" max="27" width="9.140625" style="20" customWidth="1"/>
    <col min="28" max="16384" width="9.140625" style="20"/>
  </cols>
  <sheetData>
    <row>
      <c s="55"/>
      <c r="H1" s="58">
        <v>129806172700000000</v>
      </c>
      <c r="Z1" s="37" t="b">
        <f>0=1</f>
        <v>0</v>
      </c>
    </row>
    <row>
      <c r="Z2" s="37" t="b">
        <f>1=1</f>
        <v>1</v>
      </c>
    </row>
    <row>
      <c r="Z3" s="37"/>
    </row>
    <row>
      <c r="I4" s="20" t="s">
        <v>37</v>
      </c>
      <c s="33" t="s">
        <v>66</v>
      </c>
      <c s="11"/>
      <c s="11"/>
      <c s="11"/>
      <c s="11"/>
      <c s="11"/>
    </row>
    <row>
      <c r="J5" s="23" t="s">
        <v>27</v>
      </c>
      <c s="14" t="s">
        <v>47</v>
      </c>
      <c s="14" t="s">
        <v>60</v>
      </c>
      <c s="23" t="s">
        <v>92</v>
      </c>
      <c s="45" t="s">
        <v>73</v>
      </c>
      <c s="14" t="s">
        <v>4</v>
      </c>
    </row>
    <row>
      <c r="B6" s="22" t="s">
        <v>74</v>
      </c>
      <c s="15" t="s">
        <v>83</v>
      </c>
      <c s="51" t="s">
        <v>13</v>
      </c>
      <c s="7" t="s">
        <v>48</v>
      </c>
    </row>
    <row>
      <c r="C7" s="17"/>
      <c s="26" t="s">
        <v>14</v>
      </c>
      <c s="7" t="s">
        <v>54</v>
      </c>
    </row>
    <row>
      <c r="C8" s="26" t="s">
        <v>5</v>
      </c>
      <c s="17"/>
    </row>
    <row>
      <c r="C9" s="17"/>
      <c s="15" t="s">
        <v>28</v>
      </c>
      <c s="28"/>
    </row>
    <row>
      <c r="C10" s="15" t="s">
        <v>42</v>
      </c>
      <c s="32" t="s">
        <v>61</v>
      </c>
      <c s="7" t="s">
        <v>20</v>
      </c>
    </row>
    <row>
      <c r="B11" s="22" t="s">
        <v>49</v>
      </c>
      <c s="57" t="s">
        <v>43</v>
      </c>
      <c s="39">
        <v>60398</v>
      </c>
      <c s="7" t="s">
        <v>29</v>
      </c>
    </row>
    <row>
      <c r="B12" s="22"/>
      <c s="63"/>
      <c s="60"/>
      <c s="35" t="s">
        <v>67</v>
      </c>
    </row>
    <row>
      <c r="B13" s="22" t="s">
        <v>44</v>
      </c>
      <c s="61" t="s">
        <v>25</v>
      </c>
      <c s="29">
        <v>1212</v>
      </c>
      <c s="20" t="b">
        <v>0</v>
      </c>
      <c s="7" t="s">
        <v>62</v>
      </c>
    </row>
    <row ht="12.75" hidden="1">
      <c r="B14" s="22"/>
      <c s="61"/>
      <c s="53"/>
      <c s="20" t="b">
        <v>0</v>
      </c>
    </row>
    <row>
      <c r="B15" s="22" t="s">
        <v>84</v>
      </c>
      <c s="20" t="s">
        <v>88</v>
      </c>
      <c s="38">
        <v>1212</v>
      </c>
      <c s="20" t="b">
        <v>0</v>
      </c>
      <c s="7" t="s">
        <v>26</v>
      </c>
    </row>
    <row ht="12.75" hidden="1">
      <c r="B16" s="22"/>
      <c r="D16" s="16"/>
      <c s="20" t="b">
        <v>0</v>
      </c>
      <c s="7"/>
    </row>
    <row>
      <c r="B17" s="22"/>
      <c s="20" t="s">
        <v>30</v>
      </c>
      <c s="43">
        <v>3434</v>
      </c>
      <c s="20" t="b">
        <v>0</v>
      </c>
      <c s="7" t="s">
        <v>63</v>
      </c>
    </row>
    <row>
      <c r="B18" s="22"/>
      <c r="D18" s="16"/>
      <c s="20" t="b">
        <v>0</v>
      </c>
      <c s="7"/>
    </row>
    <row>
      <c r="B19" s="22"/>
      <c s="20" t="s">
        <v>6</v>
      </c>
      <c s="69">
        <v>3434</v>
      </c>
      <c s="20" t="b">
        <v>0</v>
      </c>
      <c s="7" t="s">
        <v>75</v>
      </c>
    </row>
    <row>
      <c r="B20" s="22"/>
      <c r="D20" s="16"/>
      <c s="20" t="b">
        <v>0</v>
      </c>
      <c s="7"/>
    </row>
    <row>
      <c r="B21" s="22"/>
      <c s="20" t="s">
        <v>76</v>
      </c>
      <c s="67">
        <v>5656</v>
      </c>
      <c s="20" t="b">
        <v>0</v>
      </c>
      <c s="7" t="s">
        <v>93</v>
      </c>
    </row>
    <row>
      <c r="B22" s="22"/>
      <c r="E22" s="7"/>
      <c r="I22" s="49"/>
    </row>
    <row>
      <c r="B23" s="25" t="s">
        <v>7</v>
      </c>
      <c s="25"/>
    </row>
    <row>
      <c r="B24" s="6" t="s">
        <v>50</v>
      </c>
      <c s="6" t="s">
        <v>31</v>
      </c>
      <c s="6" t="s">
        <v>15</v>
      </c>
      <c s="6" t="s">
        <v>77</v>
      </c>
      <c s="6"/>
      <c s="6"/>
      <c s="6" t="s">
        <v>94</v>
      </c>
    </row>
    <row>
      <c s="20" t="s">
        <v>55</v>
      </c>
      <c r="C25" s="31" t="s">
        <v>8</v>
      </c>
      <c s="21" t="s">
        <v>58</v>
      </c>
      <c s="21">
        <v>1234.5599999999999</v>
      </c>
      <c s="7" t="s">
        <v>68</v>
      </c>
      <c r="H25" s="20" t="s">
        <v>78</v>
      </c>
    </row>
    <row>
      <c s="20" t="s">
        <v>85</v>
      </c>
      <c r="C26" s="31" t="s">
        <v>8</v>
      </c>
      <c s="21" t="s">
        <v>58</v>
      </c>
      <c s="21">
        <v>1234.5599999999999</v>
      </c>
      <c s="7" t="s">
        <v>56</v>
      </c>
      <c r="H26" s="20" t="s">
        <v>95</v>
      </c>
    </row>
    <row>
      <c r="C27" s="31" t="s">
        <v>8</v>
      </c>
      <c s="62" t="s">
        <v>58</v>
      </c>
      <c s="40">
        <v>1234.5599999999999</v>
      </c>
      <c r="H27" s="20" t="s">
        <v>57</v>
      </c>
    </row>
    <row>
      <c r="C28" s="64" t="s">
        <v>51</v>
      </c>
      <c s="41" t="s">
        <v>64</v>
      </c>
      <c s="34">
        <v>1234.5599999999999</v>
      </c>
      <c r="H28" s="20" t="s">
        <v>32</v>
      </c>
    </row>
    <row>
      <c r="C29" s="64" t="s">
        <v>8</v>
      </c>
      <c s="36" t="s">
        <v>11</v>
      </c>
      <c s="46">
        <v>1234.5599999999999</v>
      </c>
      <c r="H29" s="20" t="s">
        <v>96</v>
      </c>
    </row>
    <row>
      <c r="C30" s="64" t="s">
        <v>41</v>
      </c>
      <c s="42" t="s">
        <v>22</v>
      </c>
      <c s="65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
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18930" windowHeight="10005"/>
  </bookViews>
  <sheets>
    <sheet name="Tab" sheetId="1" r:id="rId1"/>
    <sheet name="XLCubedFormats" sheetId="2" state="hidden" r:id="rId2"/>
  </sheets>
  <definedNames>
    <definedName name="_xlnm.Print_Area" localSheetId="0">Tab!$A$1:$L$26</definedName>
    <definedName name="XL3DisableCameraObjects" hidden="1">XLCubedFormats!A1</definedName>
    <definedName name="XL3ObjLocation845b9fbb_a6ce_409c_9227_1d06e5701c2d">Tab!$A$7</definedName>
  </definedNames>
  <calcPr calcId="40001"/>
</workbook>
</file>

<file path=xl/sharedStrings.xml><?xml version="1.0" encoding="utf-8"?>
<sst xmlns="http://schemas.openxmlformats.org/spreadsheetml/2006/main" uniqueCount="76">
  <si>
    <t>Universität</t>
  </si>
  <si>
    <t>Semester und Datenstichtag</t>
  </si>
  <si>
    <t>Ordentliche Studierende</t>
  </si>
  <si>
    <t>Salzburg</t>
  </si>
  <si>
    <t>Frauen</t>
  </si>
  <si>
    <t>Slicer Button Background</t>
  </si>
  <si>
    <t>Grid Title</t>
  </si>
  <si>
    <t>Oth Written Member</t>
  </si>
  <si>
    <t>Fill in Grid Name, Dimension or Both</t>
  </si>
  <si>
    <t>[ALLG Wertart].[Wertart]</t>
  </si>
  <si>
    <t>Absolutwert</t>
  </si>
  <si>
    <t>All Marital Status</t>
  </si>
  <si>
    <t>Male</t>
  </si>
  <si>
    <t>Member1 Name</t>
  </si>
  <si>
    <t>Ausland/ keine Angaben</t>
  </si>
  <si>
    <t>Wintersemester 2024 (Stichtag: 28.02.2025)</t>
  </si>
  <si>
    <t>Anmerkung: Ab dem WS 2016 erfolgt die zähltechnische Abbildung der Studierenden auf Basis des Verteilungsschlüssels gemäß § 22 Abs. 2 UHSBV.</t>
  </si>
  <si>
    <t>Bezirksgemeinde</t>
  </si>
  <si>
    <t>Steiermark</t>
  </si>
  <si>
    <t>&lt;-- default Column Member Format</t>
  </si>
  <si>
    <t>Gesamt</t>
  </si>
  <si>
    <t>Burgenland</t>
  </si>
  <si>
    <t>Alternate Rows</t>
  </si>
  <si>
    <t>&lt;--  writeable cell format</t>
  </si>
  <si>
    <t>(~, UA, UB, UC, UD, UE, UF, UG, UH, UI, UJ, UK, UL, UM, UN, UO, UP, UQ, UR, US, UT, UU, UV, UW) - ()</t>
  </si>
  <si>
    <t xml:space="preserve"> </t>
  </si>
  <si>
    <t>Slicer Title</t>
  </si>
  <si>
    <t>Calendar Period</t>
  </si>
  <si>
    <t>&lt;-- default cell format</t>
  </si>
  <si>
    <t>Written Member</t>
  </si>
  <si>
    <t>Dimension/Column</t>
  </si>
  <si>
    <t>Vorarlberg</t>
  </si>
  <si>
    <t>Niederösterreich</t>
  </si>
  <si>
    <t>Männer</t>
  </si>
  <si>
    <t>Slice Name (Optional)</t>
  </si>
  <si>
    <t>Österreich</t>
  </si>
  <si>
    <t>Wien</t>
  </si>
  <si>
    <t>Customer</t>
  </si>
  <si>
    <t>-All Customer</t>
  </si>
  <si>
    <t>Default Alternate Row Member Format --&gt;</t>
  </si>
  <si>
    <t>Inländische ordentliche Studierende nach regionaler Herkunft</t>
  </si>
  <si>
    <t>Slicer Item</t>
  </si>
  <si>
    <t>&lt;-- default Slicer Member Format</t>
  </si>
  <si>
    <t>Default Row Member Format --&gt;</t>
  </si>
  <si>
    <t>Grid/Table Name</t>
  </si>
  <si>
    <t>[Measures]</t>
  </si>
  <si>
    <t>Studierende Universitäten</t>
  </si>
  <si>
    <t>&lt;-- writeable Slicer Member Format</t>
  </si>
  <si>
    <t>Frauen-/Männeranteil in %</t>
  </si>
  <si>
    <t>Tirol</t>
  </si>
  <si>
    <t>Kärnten</t>
  </si>
  <si>
    <t>Slicer Button</t>
  </si>
  <si>
    <t>+2009</t>
  </si>
  <si>
    <t>&lt;-- default alternate row cell format</t>
  </si>
  <si>
    <t>&lt;--  written cell format</t>
  </si>
  <si>
    <t>Display Formats For:</t>
  </si>
  <si>
    <t>Enabled?</t>
  </si>
  <si>
    <t>Insgesamt (bereinigt)</t>
  </si>
  <si>
    <t>Datenprüfung und -aufbereitung: bmfwf, Abt. I/10</t>
  </si>
  <si>
    <t>Bundesland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</si>
  <si>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</si>
  <si>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</si>
  <si>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</si>
  <si>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</si>
  <si>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</si>
  <si>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[SU Studierende].[Geschlecht]</t>
  </si>
  <si>
    <t>Universität (Codex)</t>
  </si>
  <si>
    <t>Staatsangehörigkeit (Kurzbezeichnung)</t>
  </si>
  <si>
    <t>Marital Status</t>
  </si>
  <si>
    <t>Default Writeable Member Format --&gt;</t>
  </si>
  <si>
    <t>Quelle: Datenmeldungen der Universitäten auf Basis UHSBV zum jeweiligen Stichtag</t>
  </si>
  <si>
    <t>Oberösterreich</t>
  </si>
  <si>
    <t>Writeable Member</t>
  </si>
  <si>
    <t>[SU Studierende].[Bundesland]</t>
  </si>
  <si>
    <t>Slicer Button Selected</t>
  </si>
  <si>
    <t>&lt;--  summary written cell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</si>
</sst>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;;;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Tahoma"/>
      <family val="2"/>
    </font>
    <font>
      <b/>
      <sz val="11"/>
      <color rgb="FF000000"/>
      <name val="Tahoma"/>
      <family val="2"/>
    </font>
    <font>
      <sz val="10"/>
      <color rgb="FF000000"/>
      <name val="Tahoma"/>
      <family val="2"/>
    </font>
    <font>
      <sz val="9"/>
      <name val="Tahoma"/>
      <family val="2"/>
    </font>
    <font>
      <sz val="11"/>
      <color rgb="FF000000"/>
      <name val="Tahoma"/>
      <family val="2"/>
    </font>
    <font>
      <sz val="10"/>
      <color rgb="FF262626"/>
      <name val="Tahoma"/>
      <family val="2"/>
    </font>
    <font>
      <b/>
      <sz val="8"/>
      <color indexed="23"/>
      <name val="Tahoma"/>
      <family val="2"/>
    </font>
    <font>
      <sz val="8"/>
      <name val="Tahoma"/>
      <family val="2"/>
    </font>
    <font>
      <sz val="10"/>
      <color theme="1" tint="0.34998626667073579"/>
      <name val="Tahoma"/>
      <family val="2"/>
    </font>
    <font>
      <sz val="10"/>
      <color theme="1" tint="0.0499893185216834"/>
      <name val="Tahoma"/>
      <family val="2"/>
    </font>
    <font>
      <sz val="10"/>
      <name val="Tahoma"/>
      <family val="2"/>
    </font>
    <font>
      <b/>
      <sz val="11"/>
      <color theme="1"/>
      <name val="Calibri"/>
      <family val="2"/>
      <scheme val="minor"/>
    </font>
    <font>
      <sz val="10"/>
      <color theme="1" tint="0.14996795556505021"/>
      <name val="Tahoma"/>
      <family val="2"/>
    </font>
    <font>
      <sz val="10"/>
      <color rgb="FF595959"/>
      <name val="Tahoma"/>
    </font>
    <font>
      <b/>
      <sz val="8"/>
      <color rgb="FFFF0000"/>
      <name val="Tahoma"/>
      <family val="2"/>
    </font>
    <font>
      <sz val="10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8"/>
      <color theme="3"/>
      <name val="Cambria"/>
      <family val="2"/>
      <scheme val="maj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D9D9D9"/>
        <bgColor rgb="FFFFFFFF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C0C0C0"/>
        <bgColor rgb="FFFFFFFF"/>
      </patternFill>
    </fill>
    <fill>
      <patternFill patternType="solid">
        <fgColor rgb="FFC6D9F1"/>
        <bgColor rgb="FFFFFFFF"/>
      </patternFill>
    </fill>
    <fill>
      <patternFill patternType="solid">
        <fgColor rgb="FFD9D9D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thin">
        <color indexed="23"/>
      </left>
      <right/>
      <top/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hair">
        <color rgb="FFC0C0C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0" fontId="2" fillId="0" borderId="0" xfId="0" applyFont="1" applyFill="1" applyBorder="1"/>
    <xf numFmtId="3" fontId="3" fillId="0" borderId="0" xfId="0" applyNumberFormat="1" applyFont="1" applyFill="1" applyBorder="1"/>
    <xf numFmtId="0" fontId="0" fillId="0" borderId="0" xfId="0" applyFill="1" applyAlignment="1"/>
    <xf numFmtId="0" fontId="4" fillId="0" borderId="0" xfId="0" applyFont="1"/>
    <xf numFmtId="0" fontId="5" fillId="0" borderId="0" xfId="0" applyFont="1" applyFill="1" applyAlignment="1">
      <alignment vertical="top"/>
    </xf>
    <xf numFmtId="0" fontId="6" fillId="0" borderId="0" xfId="0" applyFont="1" applyFill="1" applyAlignment="1"/>
    <xf numFmtId="0" fontId="7" fillId="2" borderId="0" xfId="1" applyFont="1" applyFill="1" applyBorder="1" applyAlignment="1">
      <alignment horizontal="center"/>
    </xf>
    <xf numFmtId="0" fontId="8" fillId="0" borderId="0" xfId="0" applyFont="1" applyFill="1" applyAlignment="1">
      <alignment vertical="center"/>
    </xf>
    <xf numFmtId="0" fontId="9" fillId="0" borderId="1" xfId="0" quotePrefix="1" applyFont="1" applyFill="1" applyBorder="1" applyAlignment="1" applyProtection="1">
      <alignment horizontal="center"/>
    </xf>
    <xf numFmtId="0" fontId="10" fillId="0" borderId="0" xfId="0" applyFont="1"/>
    <xf numFmtId="0" fontId="6" fillId="0" borderId="0" xfId="0" applyFont="1" applyFill="1" applyAlignment="1">
      <alignment vertical="top"/>
    </xf>
    <xf numFmtId="0" fontId="9" fillId="0" borderId="1" xfId="0" applyFont="1" applyFill="1" applyBorder="1" applyAlignment="1" applyProtection="1">
      <alignment horizontal="right"/>
    </xf>
    <xf numFmtId="0" fontId="11" fillId="0" borderId="0" xfId="1" applyFont="1"/>
    <xf numFmtId="3" fontId="9" fillId="3" borderId="1" xfId="0" applyNumberFormat="1" applyFont="1" applyFill="1" applyBorder="1" applyAlignment="1" applyProtection="1">
      <alignment horizontal="right" vertical="center"/>
    </xf>
    <xf numFmtId="0" fontId="12" fillId="4" borderId="0" xfId="0" applyFont="1" applyFill="1" applyAlignment="1"/>
    <xf numFmtId="0" fontId="13" fillId="0" borderId="0" xfId="0" applyFont="1"/>
    <xf numFmtId="0" fontId="14" fillId="0" borderId="0" xfId="0" applyNumberFormat="1" applyFont="1" applyAlignment="1"/>
    <xf numFmtId="3" fontId="9" fillId="0" borderId="1" xfId="0" applyNumberFormat="1" applyFont="1" applyFill="1" applyBorder="1" applyAlignment="1" applyProtection="1">
      <alignment horizontal="right"/>
    </xf>
    <xf numFmtId="0" fontId="6" fillId="0" borderId="0" xfId="0" quotePrefix="1" applyFont="1" applyFill="1" applyAlignment="1">
      <alignment vertical="top"/>
    </xf>
    <xf numFmtId="0" fontId="11" fillId="4" borderId="0" xfId="1" applyFont="1" applyFill="1"/>
    <xf numFmtId="164" fontId="9" fillId="5" borderId="1" xfId="0" applyNumberFormat="1" applyFont="1" applyFill="1" applyBorder="1" applyAlignment="1" applyProtection="1">
      <alignment horizontal="right"/>
    </xf>
    <xf numFmtId="0" fontId="15" fillId="0" borderId="0" xfId="0" applyFont="1" applyFill="1" applyAlignment="1"/>
    <xf numFmtId="0" fontId="14" fillId="0" borderId="0" xfId="0" applyFont="1"/>
    <xf numFmtId="0" fontId="0" fillId="0" borderId="0" xfId="0" applyBorder="1"/>
    <xf numFmtId="0" fontId="10" fillId="0" borderId="0" xfId="0" applyFont="1" applyAlignment="1">
      <alignment horizontal="right"/>
    </xf>
    <xf numFmtId="164" fontId="9" fillId="5" borderId="1" xfId="0" quotePrefix="1" applyNumberFormat="1" applyFont="1" applyFill="1" applyBorder="1" applyAlignment="1" applyProtection="1">
      <alignment horizontal="center"/>
    </xf>
    <xf numFmtId="0" fontId="0" fillId="0" borderId="0" xfId="0" applyFill="1"/>
    <xf numFmtId="0" fontId="16" fillId="0" borderId="0" xfId="0" applyFont="1"/>
    <xf numFmtId="0" fontId="17" fillId="6" borderId="2" xfId="0" quotePrefix="1" applyFont="1" applyFill="1" applyBorder="1" applyAlignment="1" applyProtection="1"/>
    <xf numFmtId="164" fontId="9" fillId="3" borderId="1" xfId="0" applyNumberFormat="1" applyFont="1" applyFill="1" applyBorder="1" applyAlignment="1" applyProtection="1">
      <alignment horizontal="right" vertical="center"/>
    </xf>
    <xf numFmtId="0" fontId="14" fillId="0" borderId="0" xfId="0" applyFont="1" applyAlignment="1">
      <alignment horizontal="center"/>
    </xf>
    <xf numFmtId="0" fontId="9" fillId="0" borderId="3" xfId="0" applyFont="1" applyBorder="1" applyAlignment="1" applyProtection="1">
      <alignment horizontal="center"/>
    </xf>
    <xf numFmtId="0" fontId="9" fillId="7" borderId="1" xfId="0" applyFont="1" applyFill="1" applyBorder="1" applyAlignment="1" applyProtection="1">
      <alignment vertical="center"/>
    </xf>
    <xf numFmtId="0" fontId="7" fillId="2" borderId="4" xfId="1" applyFont="1" applyFill="1" applyBorder="1" applyAlignment="1">
      <alignment horizontal="center"/>
    </xf>
    <xf numFmtId="164" fontId="9" fillId="8" borderId="5" xfId="0" applyNumberFormat="1" applyFont="1" applyFill="1" applyBorder="1" applyAlignment="1" applyProtection="1">
      <alignment horizontal="right"/>
    </xf>
    <xf numFmtId="0" fontId="14" fillId="0" borderId="0" xfId="0" applyNumberFormat="1" applyFont="1" applyFill="1" applyBorder="1" applyAlignment="1"/>
    <xf numFmtId="164" fontId="9" fillId="8" borderId="5" xfId="0" applyNumberFormat="1" applyFont="1" applyFill="1" applyBorder="1" applyAlignment="1" applyProtection="1">
      <alignment horizontal="center"/>
    </xf>
    <xf numFmtId="0" fontId="9" fillId="9" borderId="1" xfId="0" applyFont="1" applyFill="1" applyBorder="1" applyAlignment="1" applyProtection="1">
      <alignment horizontal="right"/>
    </xf>
    <xf numFmtId="0" fontId="14" fillId="10" borderId="0" xfId="0" applyNumberFormat="1" applyFont="1" applyFill="1" applyAlignment="1"/>
    <xf numFmtId="3" fontId="9" fillId="9" borderId="1" xfId="0" applyNumberFormat="1" applyFont="1" applyFill="1" applyBorder="1" applyAlignment="1" applyProtection="1">
      <alignment horizontal="right"/>
    </xf>
    <xf numFmtId="0" fontId="9" fillId="0" borderId="0" xfId="0" applyFont="1" applyFill="1" applyBorder="1" applyAlignment="1">
      <alignment vertical="center"/>
    </xf>
    <xf numFmtId="0" fontId="14" fillId="0" borderId="0" xfId="0" quotePrefix="1" applyFont="1"/>
    <xf numFmtId="0" fontId="0" fillId="0" borderId="0" xfId="0" applyFont="1" applyFill="1" applyAlignment="1"/>
    <xf numFmtId="0" fontId="9" fillId="0" borderId="1" xfId="0" applyFont="1" applyFill="1" applyBorder="1" applyAlignment="1" applyProtection="1">
      <alignment vertical="center"/>
    </xf>
    <xf numFmtId="0" fontId="14" fillId="10" borderId="0" xfId="0" applyFont="1" applyFill="1"/>
    <xf numFmtId="0" fontId="16" fillId="0" borderId="6" xfId="0" applyFont="1" applyFill="1" applyBorder="1" applyAlignment="1">
      <alignment vertical="center"/>
    </xf>
    <xf numFmtId="0" fontId="15" fillId="0" borderId="0" xfId="0" applyFont="1"/>
    <xf numFmtId="3" fontId="4" fillId="0" borderId="0" xfId="0" applyNumberFormat="1" applyFont="1" applyFill="1" applyAlignment="1"/>
    <xf numFmtId="2" fontId="14" fillId="0" borderId="0" xfId="0" applyNumberFormat="1" applyFont="1"/>
    <xf numFmtId="0" fontId="15" fillId="0" borderId="0" xfId="0" applyFont="1" applyFill="1"/>
    <xf numFmtId="3" fontId="14" fillId="10" borderId="0" xfId="0" applyNumberFormat="1" applyFont="1" applyFill="1" applyAlignment="1"/>
    <xf numFmtId="0" fontId="10" fillId="0" borderId="0" xfId="0" applyFont="1" applyAlignment="1">
      <alignment horizontal="center"/>
    </xf>
    <xf numFmtId="0" fontId="0" fillId="0" borderId="0" xfId="0" quotePrefix="1"/>
    <xf numFmtId="0" fontId="9" fillId="11" borderId="7" xfId="0" applyFont="1" applyFill="1" applyBorder="1" applyAlignment="1" applyProtection="1">
      <alignment horizontal="right"/>
    </xf>
    <xf numFmtId="0" fontId="9" fillId="11" borderId="3" xfId="0" applyFont="1" applyFill="1" applyBorder="1" applyAlignment="1" applyProtection="1">
      <alignment horizontal="right"/>
    </xf>
    <xf numFmtId="0" fontId="9" fillId="0" borderId="8" xfId="0" applyFont="1" applyBorder="1" applyAlignment="1" applyProtection="1">
      <alignment horizontal="center"/>
    </xf>
    <xf numFmtId="0" fontId="9" fillId="0" borderId="8" xfId="0" applyFont="1" applyBorder="1" applyAlignment="1" applyProtection="1">
      <alignment horizontal="right"/>
    </xf>
    <xf numFmtId="0" fontId="9" fillId="3" borderId="1" xfId="0" applyFont="1" applyFill="1" applyBorder="1" applyAlignment="1" applyProtection="1">
      <alignment vertical="center"/>
    </xf>
    <xf numFmtId="0" fontId="9" fillId="7" borderId="5" xfId="0" applyFont="1" applyFill="1" applyBorder="1" applyAlignment="1" applyProtection="1">
      <alignment vertical="center"/>
    </xf>
    <xf numFmtId="165" fontId="14" fillId="0" borderId="0" xfId="0" applyNumberFormat="1" applyFont="1"/>
    <xf numFmtId="0" fontId="18" fillId="0" borderId="0" xfId="0" applyFont="1"/>
    <xf numFmtId="3" fontId="16" fillId="0" borderId="6" xfId="0" applyNumberFormat="1" applyFont="1" applyFill="1" applyBorder="1" applyAlignment="1"/>
    <xf numFmtId="0" fontId="4" fillId="0" borderId="0" xfId="0" applyFont="1" applyFill="1" applyBorder="1" applyAlignment="1">
      <alignment vertical="center"/>
    </xf>
    <xf numFmtId="0" fontId="14" fillId="0" borderId="0" xfId="0" applyNumberFormat="1" applyFont="1"/>
    <xf numFmtId="0" fontId="16" fillId="0" borderId="6" xfId="0" quotePrefix="1" applyFont="1" applyFill="1" applyBorder="1" applyAlignment="1"/>
    <xf numFmtId="3" fontId="14" fillId="0" borderId="0" xfId="0" applyNumberFormat="1" applyFont="1" applyAlignment="1"/>
    <xf numFmtId="0" fontId="11" fillId="10" borderId="0" xfId="1" applyFont="1" applyFill="1"/>
    <xf numFmtId="0" fontId="19" fillId="0" borderId="0" xfId="0" applyFont="1"/>
    <xf numFmtId="3" fontId="14" fillId="12" borderId="0" xfId="0" applyNumberFormat="1" applyFont="1" applyFill="1" applyAlignment="1"/>
    <xf numFmtId="0" fontId="0" fillId="0" borderId="0" xfId="0" applyFont="1"/>
    <xf numFmtId="0" fontId="14" fillId="0" borderId="0" xfId="0" quotePrefix="1" applyFont="1" applyFill="1"/>
    <xf numFmtId="0" fontId="9" fillId="0" borderId="3" xfId="0" applyFont="1" applyBorder="1" applyAlignment="1" applyProtection="1">
      <alignment horizontal="right"/>
    </xf>
    <xf numFmtId="0" fontId="9" fillId="0" borderId="1" xfId="0" quotePrefix="1" applyFont="1" applyBorder="1" applyAlignment="1" applyProtection="1"/>
    <xf numFmtId="3" fontId="14" fillId="13" borderId="0" xfId="0" applyNumberFormat="1" applyFont="1" applyFill="1" applyAlignment="1"/>
    <xf numFmtId="0" fontId="16" fillId="0" borderId="6" xfId="0" quotePrefix="1" applyFont="1" applyFill="1" applyBorder="1" applyAlignment="1">
      <alignment horizontal="right"/>
    </xf>
    <xf numFmtId="0" fontId="6" fillId="0" borderId="0" xfId="0" quotePrefix="1" applyFont="1" applyFill="1" applyAlignment="1"/>
    <xf numFmtId="0" fontId="14" fillId="0" borderId="0" xfId="0" applyFont="1" applyFill="1" applyBorder="1" applyAlignment="1">
      <alignment vertical="center"/>
    </xf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3.png" /><Relationship Id="rId2" Type="http://schemas.openxmlformats.org/officeDocument/2006/relationships/image" Target="../media/image1.png" /><Relationship Id="rId3" Type="http://schemas.openxmlformats.org/officeDocument/2006/relationships/image" Target="../media/image2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2614565</xdr:colOff>
      <xdr:row>6</xdr:row>
      <xdr:rowOff>0</xdr:rowOff>
    </xdr:from>
    <xdr:to>
      <xdr:col>5</xdr:col>
      <xdr:colOff>281181</xdr:colOff>
      <xdr:row>7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4565" y="1158875"/>
          <a:ext cx="3697007" cy="1905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2614565</xdr:colOff>
      <xdr:row>7</xdr:row>
      <xdr:rowOff>0</xdr:rowOff>
    </xdr:from>
    <xdr:to>
      <xdr:col>5</xdr:col>
      <xdr:colOff>281181</xdr:colOff>
      <xdr:row>8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14565" y="1349375"/>
          <a:ext cx="3697007" cy="1905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2614565</xdr:colOff>
      <xdr:row>8</xdr:row>
      <xdr:rowOff>0</xdr:rowOff>
    </xdr:from>
    <xdr:to>
      <xdr:col>5</xdr:col>
      <xdr:colOff>281181</xdr:colOff>
      <xdr:row>9</xdr:row>
      <xdr:rowOff>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14565" y="1539875"/>
          <a:ext cx="3697007" cy="1905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88433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79042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69650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0258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693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1096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4431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69850</xdr:rowOff>
    </xdr:to>
    <xdr:sp macro="" textlink="">
      <xdr:nvSpPr>
        <xdr:cNvPr id="9" name="Comment 8" hidden="1"/>
        <xdr:cNvSpPr txBox="1"/>
      </xdr:nvSpPr>
      <xdr:spPr>
        <a:xfrm>
          <a:off x="7311974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637"/>
  <sheetViews>
    <sheetView tabSelected="1" workbookViewId="0"/>
  </sheetViews>
  <sheetFormatPr defaultColWidth="11.42578125" defaultRowHeight="14.95"/>
  <cols>
    <col min="1" max="1" width="35.85546875" style="70" customWidth="1"/>
    <col min="2" max="6" width="11.7109375" customWidth="1"/>
    <col min="7" max="7" width="8.42578125" customWidth="1"/>
    <col min="8" max="8" width="6.7109375" customWidth="1"/>
    <col min="9" max="9" width="7.140625" customWidth="1"/>
    <col min="10" max="10" width="7.85546875" customWidth="1"/>
    <col min="11" max="11" width="11.28515625" customWidth="1"/>
    <col min="12" max="12" width="9.85546875" customWidth="1"/>
    <col min="13" max="13" width="7.28515625" customWidth="1"/>
    <col min="14" max="14" width="11.28515625" customWidth="1"/>
    <col min="15" max="15" width="9.85546875" customWidth="1"/>
    <col min="16" max="16" width="7.28515625" customWidth="1"/>
    <col min="17" max="17" width="11.28515625" customWidth="1"/>
    <col min="18" max="18" width="7.28515625" customWidth="1"/>
    <col min="19" max="19" width="11.28515625" customWidth="1"/>
    <col min="20" max="20" width="9.85546875" customWidth="1"/>
    <col min="21" max="21" width="7.28515625" customWidth="1"/>
    <col min="22" max="22" width="11.28515625" customWidth="1"/>
    <col min="23" max="23" width="9.85546875" customWidth="1"/>
    <col min="24" max="24" width="7.28515625" customWidth="1"/>
    <col min="25" max="25" width="11.28515625" customWidth="1"/>
    <col min="26" max="26" width="17.140625" customWidth="1"/>
    <col min="27" max="27" width="6.7109375" customWidth="1"/>
    <col min="28" max="28" width="7.140625" customWidth="1"/>
    <col min="29" max="29" width="17.140625" customWidth="1"/>
    <col min="30" max="30" width="6.7109375" customWidth="1"/>
    <col min="31" max="31" width="7.140625" customWidth="1"/>
    <col min="32" max="32" width="17.140625" customWidth="1"/>
    <col min="33" max="33" width="6.7109375" customWidth="1"/>
    <col min="34" max="34" width="7.140625" customWidth="1"/>
  </cols>
  <sheetData>
    <row>
      <c s="8" t="s">
        <v>46</v>
      </c>
      <c s="8"/>
      <c s="8"/>
      <c s="8"/>
      <c s="8"/>
      <c s="3"/>
      <c s="3"/>
      <c s="27"/>
    </row>
    <row s="47" customFormat="1">
      <c s="5" t="s">
        <v>40</v>
      </c>
      <c s="5"/>
      <c s="5"/>
      <c s="5"/>
      <c s="5"/>
      <c s="22"/>
      <c s="22"/>
      <c s="50"/>
    </row>
    <row s="47" customFormat="1">
      <c s="19" t="s">
        <v>16</v>
      </c>
      <c s="5"/>
      <c s="5"/>
      <c s="5"/>
      <c s="5"/>
      <c s="22"/>
      <c s="22"/>
      <c s="50"/>
    </row>
    <row>
      <c s="76" t="s">
        <v>70</v>
      </c>
      <c s="6"/>
      <c s="6"/>
      <c s="6"/>
      <c s="6"/>
      <c s="6"/>
      <c s="3"/>
      <c s="27"/>
    </row>
    <row>
      <c s="19" t="s">
        <v>58</v>
      </c>
      <c s="11"/>
      <c s="11"/>
      <c s="11"/>
      <c s="11"/>
      <c s="3"/>
      <c s="3"/>
      <c s="27"/>
    </row>
    <row ht="16.5" customHeight="1">
      <c s="43"/>
      <c s="3"/>
      <c s="3"/>
      <c s="3"/>
      <c s="3"/>
      <c s="3"/>
      <c s="3"/>
      <c s="27"/>
    </row>
    <row ht="15" customHeight="1">
      <c s="29" t="s">
        <v>1</v>
      </c>
      <c s="73" t="s">
        <v>15</v>
      </c>
      <c s="3"/>
      <c s="3"/>
      <c s="3"/>
      <c s="3" t="s">
        <v>25</v>
      </c>
      <c s="3"/>
      <c s="27"/>
    </row>
    <row ht="15" customHeight="1">
      <c s="29" t="s">
        <v>0</v>
      </c>
      <c s="73" t="s">
        <v>57</v>
      </c>
      <c s="3"/>
      <c s="3"/>
      <c s="3"/>
      <c s="3" t="s">
        <v>25</v>
      </c>
      <c s="3"/>
      <c s="27"/>
    </row>
    <row ht="15" customHeight="1">
      <c s="29" t="s">
        <v>17</v>
      </c>
      <c s="73" t="s">
        <v>20</v>
      </c>
      <c s="3"/>
      <c s="3"/>
      <c s="3"/>
      <c s="3" t="s">
        <v>25</v>
      </c>
      <c s="3"/>
      <c s="27"/>
    </row>
    <row ht="15" hidden="1" customHeight="1">
      <c s="29" t="s">
        <v>67</v>
      </c>
      <c s="73" t="s">
        <v>35</v>
      </c>
      <c s="3"/>
      <c s="3"/>
      <c s="3"/>
      <c s="3" t="s">
        <v>25</v>
      </c>
      <c s="3"/>
      <c s="27"/>
    </row>
    <row ht="15" hidden="1" customHeight="1">
      <c s="29" t="s">
        <v>66</v>
      </c>
      <c s="73" t="s">
        <v>24</v>
      </c>
    </row>
    <row ht="15" customHeight="1">
      <c/>
    </row>
    <row>
      <c/>
    </row>
    <row>
      <c/>
      <c s="9" t="s">
        <v>2</v>
      </c>
      <c s="9"/>
      <c s="9"/>
      <c s="9"/>
      <c s="9"/>
    </row>
    <row>
      <c/>
      <c s="9" t="s">
        <v>10</v>
      </c>
      <c s="9"/>
      <c s="9"/>
      <c s="26" t="s">
        <v>48</v>
      </c>
      <c s="26"/>
    </row>
    <row>
      <c s="29" t="s">
        <v>59</v>
      </c>
      <c s="12" t="s">
        <v>4</v>
      </c>
      <c s="12" t="s">
        <v>33</v>
      </c>
      <c s="38" t="s">
        <v>20</v>
      </c>
      <c s="12" t="s">
        <v>4</v>
      </c>
      <c s="12" t="s">
        <v>33</v>
      </c>
    </row>
    <row>
      <c s="44" t="s">
        <v>21</v>
      </c>
      <c s="18">
        <v>2412</v>
      </c>
      <c s="18">
        <v>1916</v>
      </c>
      <c s="40">
        <v>4328</v>
      </c>
      <c s="21">
        <v>0.55730129390018479</v>
      </c>
      <c s="21">
        <v>0.44269870609981515</v>
      </c>
    </row>
    <row>
      <c s="44" t="s">
        <v>50</v>
      </c>
      <c s="18">
        <v>6349</v>
      </c>
      <c s="18">
        <v>4764</v>
      </c>
      <c s="40">
        <v>11113</v>
      </c>
      <c s="21">
        <v>0.57131287681094212</v>
      </c>
      <c s="21">
        <v>0.42868712318905788</v>
      </c>
    </row>
    <row>
      <c s="44" t="s">
        <v>32</v>
      </c>
      <c s="18">
        <v>14135</v>
      </c>
      <c s="18">
        <v>12042</v>
      </c>
      <c s="40">
        <v>26177</v>
      </c>
      <c s="21">
        <v>0.5399778431447454</v>
      </c>
      <c s="21">
        <v>0.4600221568552546</v>
      </c>
    </row>
    <row>
      <c s="44" t="s">
        <v>71</v>
      </c>
      <c s="18">
        <v>12490</v>
      </c>
      <c s="18">
        <v>11043</v>
      </c>
      <c s="40">
        <v>23533</v>
      </c>
      <c s="21">
        <v>0.5307440615306166</v>
      </c>
      <c s="21">
        <v>0.4692559384693834</v>
      </c>
    </row>
    <row>
      <c s="44" t="s">
        <v>3</v>
      </c>
      <c s="18">
        <v>4611</v>
      </c>
      <c s="18">
        <v>3892</v>
      </c>
      <c s="40">
        <v>8503</v>
      </c>
      <c s="21">
        <v>0.54227919557803128</v>
      </c>
      <c s="21">
        <v>0.45772080442196872</v>
      </c>
    </row>
    <row>
      <c s="44" t="s">
        <v>18</v>
      </c>
      <c s="18">
        <v>13788</v>
      </c>
      <c s="18">
        <v>12348</v>
      </c>
      <c s="40">
        <v>26136</v>
      </c>
      <c s="21">
        <v>0.52754820936639113</v>
      </c>
      <c s="21">
        <v>0.47245179063360881</v>
      </c>
    </row>
    <row>
      <c s="44" t="s">
        <v>49</v>
      </c>
      <c s="18">
        <v>6908</v>
      </c>
      <c s="18">
        <v>5893</v>
      </c>
      <c s="40">
        <v>12801</v>
      </c>
      <c s="21">
        <v>0.53964534020779631</v>
      </c>
      <c s="21">
        <v>0.46035465979220375</v>
      </c>
    </row>
    <row>
      <c s="44" t="s">
        <v>31</v>
      </c>
      <c s="18">
        <v>2404</v>
      </c>
      <c s="18">
        <v>2066</v>
      </c>
      <c s="40">
        <v>4470</v>
      </c>
      <c s="21">
        <v>0.53780760626398205</v>
      </c>
      <c s="21">
        <v>0.46219239373601789</v>
      </c>
    </row>
    <row>
      <c s="44" t="s">
        <v>36</v>
      </c>
      <c s="18">
        <v>29469</v>
      </c>
      <c s="18">
        <v>25270</v>
      </c>
      <c s="40">
        <v>54739</v>
      </c>
      <c s="21">
        <v>0.53835473793821587</v>
      </c>
      <c s="21">
        <v>0.46164526206178408</v>
      </c>
    </row>
    <row>
      <c s="44" t="s">
        <v>14</v>
      </c>
      <c s="18">
        <v>603</v>
      </c>
      <c s="18">
        <v>413</v>
      </c>
      <c s="40">
        <v>1016</v>
      </c>
      <c s="21">
        <v>0.59350393700787396</v>
      </c>
      <c s="21">
        <v>0.40649606299212598</v>
      </c>
    </row>
    <row>
      <c s="58" t="s">
        <v>20</v>
      </c>
      <c s="14">
        <v>93169</v>
      </c>
      <c s="14">
        <v>79647</v>
      </c>
      <c s="14">
        <v>172816</v>
      </c>
      <c s="30">
        <v>0.53912253495046758</v>
      </c>
      <c s="30">
        <v>0.46087746504953248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24"/>
    </row>
    <row>
      <c s="24"/>
    </row>
    <row>
      <c s="24"/>
    </row>
    <row>
      <c s="41"/>
    </row>
    <row>
      <c s="41"/>
    </row>
    <row>
      <c s="24"/>
    </row>
    <row>
      <c s="24"/>
    </row>
    <row>
      <c s="24"/>
    </row>
    <row>
      <c s="24"/>
    </row>
    <row>
      <c s="24"/>
    </row>
    <row>
      <c s="24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63"/>
      <c s="2"/>
      <c s="2"/>
      <c s="2"/>
      <c s="2"/>
      <c s="2"/>
      <c s="2"/>
      <c s="2"/>
      <c s="2"/>
      <c s="2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3">
    <mergeCell ref="B14:F14"/>
    <mergeCell ref="B15:D15"/>
    <mergeCell ref="E15:F15"/>
  </mergeCells>
  <pageMargins left="0.70866141732283472" right="0.70866141732283472" top="0.78740157480314965" bottom="0.78740157480314965" header="0.31496062992125984" footer="0.31496062992125984"/>
  <pageSetup paperSize="9" scale="89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29"/>
  <sheetViews>
    <sheetView workbookViewId="0">
      <selection activeCell="E25" sqref="E25:E27"/>
    </sheetView>
  </sheetViews>
  <sheetFormatPr defaultColWidth="9.140625" defaultRowHeight="13.6"/>
  <cols>
    <col min="1" max="1" width="13.42578125" style="23" customWidth="1"/>
    <col min="2" max="2" width="40.85546875" style="23" customWidth="1"/>
    <col min="3" max="3" width="28.140625" style="23" customWidth="1"/>
    <col min="4" max="4" width="16.28515625" style="23" customWidth="1"/>
    <col min="5" max="5" width="19.42578125" style="23" customWidth="1"/>
    <col min="6" max="6" width="11.140625" style="23" customWidth="1"/>
    <col min="7" max="7" width="9.140625" style="23" customWidth="1"/>
    <col min="8" max="8" width="17.28515625" style="23" customWidth="1"/>
    <col min="9" max="9" width="19.42578125" style="23" customWidth="1"/>
    <col min="10" max="12" width="12.42578125" style="23" customWidth="1"/>
    <col min="13" max="13" width="16" style="23" customWidth="1"/>
    <col min="14" max="14" width="14.28515625" style="23" customWidth="1"/>
    <col min="15" max="15" width="18.28515625" style="23" customWidth="1"/>
    <col min="16" max="25" width="9.140625" style="23" customWidth="1"/>
    <col min="26" max="26" width="9.140625" style="23" hidden="1" customWidth="1"/>
    <col min="27" max="27" width="9.140625" style="23" customWidth="1"/>
    <col min="28" max="16384" width="9.140625" style="23"/>
  </cols>
  <sheetData>
    <row>
      <c s="64"/>
      <c r="H1" s="60">
        <v>129806172700000000</v>
      </c>
      <c r="Z1" s="49" t="b">
        <f>0=1</f>
        <v>0</v>
      </c>
    </row>
    <row>
      <c r="Z2" s="49" t="b">
        <f>1=1</f>
        <v>1</v>
      </c>
    </row>
    <row>
      <c r="Z3" s="49"/>
    </row>
    <row>
      <c r="I4" s="23" t="s">
        <v>34</v>
      </c>
      <c s="34" t="s">
        <v>55</v>
      </c>
      <c s="7"/>
      <c s="7"/>
      <c s="7"/>
      <c s="7"/>
      <c s="7"/>
    </row>
    <row>
      <c r="J5" s="20" t="s">
        <v>26</v>
      </c>
      <c s="13" t="s">
        <v>41</v>
      </c>
      <c s="13" t="s">
        <v>51</v>
      </c>
      <c s="20" t="s">
        <v>74</v>
      </c>
      <c s="67" t="s">
        <v>60</v>
      </c>
      <c s="13" t="s">
        <v>5</v>
      </c>
    </row>
    <row>
      <c r="B6" s="25" t="s">
        <v>61</v>
      </c>
      <c s="15" t="s">
        <v>68</v>
      </c>
      <c s="65" t="s">
        <v>11</v>
      </c>
      <c s="10" t="s">
        <v>42</v>
      </c>
    </row>
    <row>
      <c r="C7" s="16"/>
      <c s="28" t="s">
        <v>12</v>
      </c>
      <c s="10" t="s">
        <v>47</v>
      </c>
    </row>
    <row>
      <c r="C8" s="28" t="s">
        <v>6</v>
      </c>
      <c s="16"/>
    </row>
    <row>
      <c r="C9" s="16"/>
      <c s="15" t="s">
        <v>27</v>
      </c>
      <c s="61"/>
    </row>
    <row>
      <c r="C10" s="15" t="s">
        <v>37</v>
      </c>
      <c s="75" t="s">
        <v>52</v>
      </c>
      <c s="10" t="s">
        <v>19</v>
      </c>
    </row>
    <row>
      <c r="B11" s="25" t="s">
        <v>43</v>
      </c>
      <c s="46" t="s">
        <v>38</v>
      </c>
      <c s="62">
        <v>60398</v>
      </c>
      <c s="10" t="s">
        <v>28</v>
      </c>
    </row>
    <row>
      <c r="B12" s="25"/>
      <c s="77"/>
      <c s="36"/>
      <c s="52" t="s">
        <v>56</v>
      </c>
    </row>
    <row>
      <c r="B13" s="25" t="s">
        <v>39</v>
      </c>
      <c s="45" t="s">
        <v>22</v>
      </c>
      <c s="51">
        <v>1212</v>
      </c>
      <c s="23" t="b">
        <v>0</v>
      </c>
      <c s="10" t="s">
        <v>53</v>
      </c>
    </row>
    <row ht="12.75" hidden="1">
      <c r="B14" s="25"/>
      <c s="45"/>
      <c s="39"/>
      <c s="23" t="b">
        <v>0</v>
      </c>
    </row>
    <row>
      <c r="B15" s="25" t="s">
        <v>69</v>
      </c>
      <c s="23" t="s">
        <v>72</v>
      </c>
      <c s="66">
        <v>1212</v>
      </c>
      <c s="23" t="b">
        <v>0</v>
      </c>
      <c s="10" t="s">
        <v>23</v>
      </c>
    </row>
    <row ht="12.75" hidden="1">
      <c r="B16" s="25"/>
      <c r="D16" s="17"/>
      <c s="23" t="b">
        <v>0</v>
      </c>
      <c s="10"/>
    </row>
    <row>
      <c r="B17" s="25"/>
      <c s="23" t="s">
        <v>29</v>
      </c>
      <c s="74">
        <v>3434</v>
      </c>
      <c s="23" t="b">
        <v>0</v>
      </c>
      <c s="10" t="s">
        <v>54</v>
      </c>
    </row>
    <row>
      <c r="B18" s="25"/>
      <c r="D18" s="17"/>
      <c s="23" t="b">
        <v>0</v>
      </c>
      <c s="10"/>
    </row>
    <row>
      <c r="B19" s="25"/>
      <c s="23" t="s">
        <v>7</v>
      </c>
      <c s="69">
        <v>3434</v>
      </c>
      <c s="23" t="b">
        <v>0</v>
      </c>
      <c s="10" t="s">
        <v>62</v>
      </c>
    </row>
    <row>
      <c r="B20" s="25"/>
      <c r="D20" s="17"/>
      <c s="23" t="b">
        <v>0</v>
      </c>
      <c s="10"/>
    </row>
    <row>
      <c r="B21" s="25"/>
      <c s="23" t="s">
        <v>63</v>
      </c>
      <c s="48">
        <v>5656</v>
      </c>
      <c s="23" t="b">
        <v>0</v>
      </c>
      <c s="10" t="s">
        <v>75</v>
      </c>
    </row>
    <row>
      <c r="B22" s="25"/>
      <c r="E22" s="10"/>
      <c r="I22" s="68"/>
    </row>
    <row>
      <c r="B23" s="31" t="s">
        <v>8</v>
      </c>
      <c s="31"/>
    </row>
    <row>
      <c r="B24" s="4" t="s">
        <v>44</v>
      </c>
      <c s="4" t="s">
        <v>30</v>
      </c>
      <c s="4" t="s">
        <v>13</v>
      </c>
      <c s="4" t="s">
        <v>64</v>
      </c>
      <c s="4"/>
      <c s="4"/>
      <c s="4"/>
    </row>
    <row ht="14.95">
      <c/>
      <c/>
      <c s="53" t="s">
        <v>9</v>
      </c>
      <c s="37" t="s">
        <v>48</v>
      </c>
      <c s="35">
        <v>1234.5599999999999</v>
      </c>
      <c/>
      <c/>
    </row>
    <row ht="14.95">
      <c/>
      <c/>
      <c s="53" t="s">
        <v>9</v>
      </c>
      <c s="56" t="s">
        <v>10</v>
      </c>
      <c s="57">
        <v>1234.5599999999999</v>
      </c>
      <c/>
      <c/>
    </row>
    <row>
      <c r="C27" s="71" t="s">
        <v>45</v>
      </c>
      <c s="32" t="s">
        <v>2</v>
      </c>
      <c s="72">
        <v>1234.5599999999999</v>
      </c>
    </row>
    <row>
      <c r="C28" s="42" t="s">
        <v>65</v>
      </c>
      <c s="55" t="s">
        <v>20</v>
      </c>
      <c s="54">
        <v>1234.5599999999999</v>
      </c>
    </row>
    <row>
      <c r="C29" s="42" t="s">
        <v>73</v>
      </c>
      <c s="59" t="s">
        <v>20</v>
      </c>
      <c s="33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
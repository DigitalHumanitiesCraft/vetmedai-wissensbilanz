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1700"/>
  </bookViews>
  <sheets>
    <sheet name="Tab" sheetId="1" r:id="rId1"/>
    <sheet name="Tabelle2" sheetId="2" state="hidden" r:id="rId2"/>
  </sheets>
  <externalReferences>
    <externalReference r:id="rId6"/>
  </externalReferences>
  <definedNames>
    <definedName name="_xlnm.Print_Area" localSheetId="0">Tab!$A$1:$O$119</definedName>
    <definedName name="XL3DisableCameraObjects" hidden="1">[1]XLCubedFormats!A1</definedName>
  </definedNames>
  <calcPr calcId="40001"/>
</workbook>
</file>

<file path=xl/sharedStrings.xml><?xml version="1.0" encoding="utf-8"?>
<sst xmlns="http://schemas.openxmlformats.org/spreadsheetml/2006/main" uniqueCount="501">
  <si>
    <t>Frauen</t>
  </si>
  <si>
    <t>B</t>
  </si>
  <si>
    <t>Monatanuniversität Leoben</t>
  </si>
  <si>
    <t>Wirtschaftsuniversität Wien</t>
  </si>
  <si>
    <t>UA Studienjahr 2008/09</t>
  </si>
  <si>
    <t>UC</t>
  </si>
  <si>
    <t>UG</t>
  </si>
  <si>
    <t>UB Studienjahr 2014/15</t>
  </si>
  <si>
    <t>UC Studienjahr 2007/08</t>
  </si>
  <si>
    <t>UD Studienjahr 2013/14</t>
  </si>
  <si>
    <t>UE Studienjahr 2006/07</t>
  </si>
  <si>
    <t>UF Studienjahr 2017/18</t>
  </si>
  <si>
    <t>UH Studienjahr 2016/17</t>
  </si>
  <si>
    <t>UJ Studienjahr 2015/16</t>
  </si>
  <si>
    <t>UK Studienjahr 2021/22</t>
  </si>
  <si>
    <t>UL Studienjahr 2014/15</t>
  </si>
  <si>
    <t>UM Studienjahr 2007/08</t>
  </si>
  <si>
    <t>UN Studienjahr 2013/14</t>
  </si>
  <si>
    <t>UO Studienjahr 2006/07</t>
  </si>
  <si>
    <t>UR Studienjahr 2016/17</t>
  </si>
  <si>
    <t>UT Studienjahr 2015/16</t>
  </si>
  <si>
    <t>UU Studienjahr 2019/20</t>
  </si>
  <si>
    <t>UU Studienjahr 2021/22</t>
  </si>
  <si>
    <t>UV Studienjahr 2014/15</t>
  </si>
  <si>
    <t>UW Studienjahr 2007/08</t>
  </si>
  <si>
    <t>UW Studienjahr 2020/21</t>
  </si>
  <si>
    <t>UI Studienjahr 2022/23</t>
  </si>
  <si>
    <t>US Studienjahr 2022/23</t>
  </si>
  <si>
    <t>UG Studienjahr 2023/24</t>
  </si>
  <si>
    <t>UQ Studienjahr 2023/24</t>
  </si>
  <si>
    <t>Studienjahr 2022/23</t>
  </si>
  <si>
    <t>LIEFIDF_IV_1_2</t>
  </si>
  <si>
    <t>UE Studienjahr 2024/25</t>
  </si>
  <si>
    <t>UO Studienjahr 2024/25</t>
  </si>
  <si>
    <t/>
  </si>
  <si>
    <t>Ohne Auslandsaufenthalt</t>
  </si>
  <si>
    <t>F</t>
  </si>
  <si>
    <t>J</t>
  </si>
  <si>
    <t>Universität für Musik und darstellende Kunst Wien</t>
  </si>
  <si>
    <t>UO</t>
  </si>
  <si>
    <t>UA Studienjahr 2019/20</t>
  </si>
  <si>
    <t>UA Studienjahr 2021/22</t>
  </si>
  <si>
    <t>UB Studienjahr 2008/09</t>
  </si>
  <si>
    <t>UK</t>
  </si>
  <si>
    <t>US</t>
  </si>
  <si>
    <t>UC Studienjahr 2020/21</t>
  </si>
  <si>
    <t>UE Studienjahr 2018/19</t>
  </si>
  <si>
    <t>UF Studienjahr 2012/13</t>
  </si>
  <si>
    <t>UG Studienjahr 2017/18</t>
  </si>
  <si>
    <t>UH Studienjahr 2009/10</t>
  </si>
  <si>
    <t>UH Studienjahr 2011/12</t>
  </si>
  <si>
    <t>UI Studienjahr 2016/17</t>
  </si>
  <si>
    <t>UJ Studienjahr 2010/11</t>
  </si>
  <si>
    <t>UK Studienjahr 2019/20</t>
  </si>
  <si>
    <t>UL Studienjahr 2008/09</t>
  </si>
  <si>
    <t>UM Studienjahr 2020/21</t>
  </si>
  <si>
    <t>UN Studienjahr 2007/08</t>
  </si>
  <si>
    <t>UO Studienjahr 2018/19</t>
  </si>
  <si>
    <t>UQ Studienjahr 2017/18</t>
  </si>
  <si>
    <t>UR Studienjahr 2009/10</t>
  </si>
  <si>
    <t>UR Studienjahr 2011/12</t>
  </si>
  <si>
    <t>US Studienjahr 2016/17</t>
  </si>
  <si>
    <t>UT Studienjahr 2010/11</t>
  </si>
  <si>
    <t>UU Studienjahr 2015/16</t>
  </si>
  <si>
    <t>UV Studienjahr 2008/09</t>
  </si>
  <si>
    <t>UW Studienjahr 2014/15</t>
  </si>
  <si>
    <t>UR Studienjahr 2023/24</t>
  </si>
  <si>
    <t>2021/22</t>
  </si>
  <si>
    <t>Universität Wien</t>
  </si>
  <si>
    <t>N</t>
  </si>
  <si>
    <t>Universität für angewandte Kunst Wien</t>
  </si>
  <si>
    <t>V</t>
  </si>
  <si>
    <t>R</t>
  </si>
  <si>
    <t>UA Studienjahr 2015/16</t>
  </si>
  <si>
    <t>UB Studienjahr 2019/20</t>
  </si>
  <si>
    <t>UB Studienjahr 2021/22</t>
  </si>
  <si>
    <t>UC Studienjahr 2014/15</t>
  </si>
  <si>
    <t>UW</t>
  </si>
  <si>
    <t>UD Studienjahr 2007/08</t>
  </si>
  <si>
    <t>UD Studienjahr 2020/21</t>
  </si>
  <si>
    <t>UE Studienjahr 2013/14</t>
  </si>
  <si>
    <t>UF Studienjahr 2006/07</t>
  </si>
  <si>
    <t>UG Studienjahr 2012/13</t>
  </si>
  <si>
    <t>UI Studienjahr 2009/10</t>
  </si>
  <si>
    <t>UI Studienjahr 2011/12</t>
  </si>
  <si>
    <t>UK Studienjahr 2015/16</t>
  </si>
  <si>
    <t>UL Studienjahr 2019/20</t>
  </si>
  <si>
    <t>UL Studienjahr 2021/22</t>
  </si>
  <si>
    <t>UM Studienjahr 2014/15</t>
  </si>
  <si>
    <t>UN Studienjahr 2020/21</t>
  </si>
  <si>
    <t>UO Studienjahr 2013/14</t>
  </si>
  <si>
    <t>UQ Studienjahr 2012/13</t>
  </si>
  <si>
    <t>US Studienjahr 2009/10</t>
  </si>
  <si>
    <t>US Studienjahr 2011/12</t>
  </si>
  <si>
    <t>UU Studienjahr 2010/11</t>
  </si>
  <si>
    <t>UV Studienjahr 2019/20</t>
  </si>
  <si>
    <t>UV Studienjahr 2021/22</t>
  </si>
  <si>
    <t>UJ Studienjahr 2022/23</t>
  </si>
  <si>
    <t>UT Studienjahr 2022/23</t>
  </si>
  <si>
    <t>UH Studienjahr 2023/24</t>
  </si>
  <si>
    <t>UF Studienjahr 2024/25</t>
  </si>
  <si>
    <t>Gesamt</t>
  </si>
  <si>
    <t>mit Auslandsaufenthalt in Drittstaaten</t>
  </si>
  <si>
    <t>Universität Klagenfurt</t>
  </si>
  <si>
    <t>Universität Mozarteum Salzburg</t>
  </si>
  <si>
    <t>UA Studienjahr 2010/11</t>
  </si>
  <si>
    <t>UB Studienjahr 2015/16</t>
  </si>
  <si>
    <t>UC Studienjahr 2008/09</t>
  </si>
  <si>
    <t>UD Studienjahr 2014/15</t>
  </si>
  <si>
    <t>UE Studienjahr 2007/08</t>
  </si>
  <si>
    <t>UF Studienjahr 2018/19</t>
  </si>
  <si>
    <t>UG Studienjahr 2006/07</t>
  </si>
  <si>
    <t>UH Studienjahr 2017/18</t>
  </si>
  <si>
    <t>UJ Studienjahr 2016/17</t>
  </si>
  <si>
    <t>UK Studienjahr 2010/11</t>
  </si>
  <si>
    <t>UL Studienjahr 2015/16</t>
  </si>
  <si>
    <t>UM Studienjahr 2008/09</t>
  </si>
  <si>
    <t>UN Studienjahr 2014/15</t>
  </si>
  <si>
    <t>UO Studienjahr 2007/08</t>
  </si>
  <si>
    <t>UQ Studienjahr 2006/07</t>
  </si>
  <si>
    <t>UR Studienjahr 2017/18</t>
  </si>
  <si>
    <t>UT Studienjahr 2016/17</t>
  </si>
  <si>
    <t>UV Studienjahr 2015/16</t>
  </si>
  <si>
    <t>UW Studienjahr 2008/09</t>
  </si>
  <si>
    <t>UW Studienjahr 2019/20</t>
  </si>
  <si>
    <t>UW Studienjahr 2021/22</t>
  </si>
  <si>
    <t>UK Studienjahr 2022/23</t>
  </si>
  <si>
    <t>UU Studienjahr 2022/23</t>
  </si>
  <si>
    <t>UI Studienjahr 2023/24</t>
  </si>
  <si>
    <t>US Studienjahr 2023/24</t>
  </si>
  <si>
    <t>UG Studienjahr 2024/25</t>
  </si>
  <si>
    <t>UQ Studienjahr 2024/25</t>
  </si>
  <si>
    <t>Quelle: Erhebungsdaten der Statistik Austria aufgrund § 9 Abs. 6 des BiDokG anlässlich des Studienabschluss an einer öffentlichen Universität (UStat 2).</t>
  </si>
  <si>
    <t>C</t>
  </si>
  <si>
    <t>UB Studienjahr 2010/11</t>
  </si>
  <si>
    <t>UH</t>
  </si>
  <si>
    <t>UC Studienjahr 2019/20</t>
  </si>
  <si>
    <t>UC Studienjahr 2021/22</t>
  </si>
  <si>
    <t>UE Studienjahr 2020/21</t>
  </si>
  <si>
    <t>UF Studienjahr 2013/14</t>
  </si>
  <si>
    <t>UG Studienjahr 2018/19</t>
  </si>
  <si>
    <t>UH Studienjahr 2012/13</t>
  </si>
  <si>
    <t>UI Studienjahr 2017/18</t>
  </si>
  <si>
    <t>UJ Studienjahr 2009/10</t>
  </si>
  <si>
    <t>UJ Studienjahr 2011/12</t>
  </si>
  <si>
    <t>UK Studienjahr 2016/17</t>
  </si>
  <si>
    <t>UL Studienjahr 2010/11</t>
  </si>
  <si>
    <t>UM Studienjahr 2019/20</t>
  </si>
  <si>
    <t>UM Studienjahr 2021/22</t>
  </si>
  <si>
    <t>UN Studienjahr 2008/09</t>
  </si>
  <si>
    <t>UO Studienjahr 2020/21</t>
  </si>
  <si>
    <t>UQ Studienjahr 2018/19</t>
  </si>
  <si>
    <t>UR Studienjahr 2012/13</t>
  </si>
  <si>
    <t>US Studienjahr 2017/18</t>
  </si>
  <si>
    <t>UT Studienjahr 2009/10</t>
  </si>
  <si>
    <t>UT Studienjahr 2011/12</t>
  </si>
  <si>
    <t>UU Studienjahr 2016/17</t>
  </si>
  <si>
    <t>UV Studienjahr 2010/11</t>
  </si>
  <si>
    <t>UW Studienjahr 2015/16</t>
  </si>
  <si>
    <t>UA Studienjahr 2022/23</t>
  </si>
  <si>
    <t>2022/23</t>
  </si>
  <si>
    <t>UR Studienjahr 2024/25</t>
  </si>
  <si>
    <t>Anmerkung: Aufgrund von Sonderbestimmungen entfällt diese Kennzahl für die Universität für Weiterbildung Krems.</t>
  </si>
  <si>
    <t>Männer</t>
  </si>
  <si>
    <t>Ohne Angabe zum Auslandsaufenthalt</t>
  </si>
  <si>
    <t>Medizinische Universität Innsbruck</t>
  </si>
  <si>
    <t>G</t>
  </si>
  <si>
    <t>K</t>
  </si>
  <si>
    <t>STICHTAG</t>
  </si>
  <si>
    <t>UA Studienjahr 2016/17</t>
  </si>
  <si>
    <t>UL</t>
  </si>
  <si>
    <t>UC Studienjahr 2015/16</t>
  </si>
  <si>
    <t>UD Studienjahr 2008/09</t>
  </si>
  <si>
    <t>UD Studienjahr 2019/20</t>
  </si>
  <si>
    <t>UD Studienjahr 2021/22</t>
  </si>
  <si>
    <t>UE Studienjahr 2014/15</t>
  </si>
  <si>
    <t>UF Studienjahr 2007/08</t>
  </si>
  <si>
    <t>UG Studienjahr 2013/14</t>
  </si>
  <si>
    <t>UH Studienjahr 2006/07</t>
  </si>
  <si>
    <t>UI Studienjahr 2012/13</t>
  </si>
  <si>
    <t>UM Studienjahr 2015/16</t>
  </si>
  <si>
    <t>UN Studienjahr 2019/20</t>
  </si>
  <si>
    <t>UN Studienjahr 2021/22</t>
  </si>
  <si>
    <t>UO Studienjahr 2014/15</t>
  </si>
  <si>
    <t>UQ Studienjahr 2013/14</t>
  </si>
  <si>
    <t>US Studienjahr 2012/13</t>
  </si>
  <si>
    <t>UU Studienjahr 2009/10</t>
  </si>
  <si>
    <t>UU Studienjahr 2011/12</t>
  </si>
  <si>
    <t>UB Studienjahr 2022/23</t>
  </si>
  <si>
    <t>UL Studienjahr 2022/23</t>
  </si>
  <si>
    <t>UV Studienjahr 2022/23</t>
  </si>
  <si>
    <t>UJ Studienjahr 2023/24</t>
  </si>
  <si>
    <t>UT Studienjahr 2023/24</t>
  </si>
  <si>
    <t>UH Studienjahr 2024/25</t>
  </si>
  <si>
    <t>O</t>
  </si>
  <si>
    <t>Veterinärmedizinische Universität Wien</t>
  </si>
  <si>
    <t>S</t>
  </si>
  <si>
    <t>UA Studienjahr 2009/10</t>
  </si>
  <si>
    <t>UA Studienjahr 2011/12</t>
  </si>
  <si>
    <t>UB Studienjahr 2016/17</t>
  </si>
  <si>
    <t>UC Studienjahr 2010/11</t>
  </si>
  <si>
    <t>UT</t>
  </si>
  <si>
    <t>UD Studienjahr 2015/16</t>
  </si>
  <si>
    <t>UE Studienjahr 2008/09</t>
  </si>
  <si>
    <t>UF Studienjahr 2020/21</t>
  </si>
  <si>
    <t>UG Studienjahr 2007/08</t>
  </si>
  <si>
    <t>UH Studienjahr 2018/19</t>
  </si>
  <si>
    <t>UI Studienjahr 2006/07</t>
  </si>
  <si>
    <t>UJ Studienjahr 2017/18</t>
  </si>
  <si>
    <t>UK Studienjahr 2011/12</t>
  </si>
  <si>
    <t>UL Studienjahr 2016/17</t>
  </si>
  <si>
    <t>UN Studienjahr 2015/16</t>
  </si>
  <si>
    <t>UO Studienjahr 2008/09</t>
  </si>
  <si>
    <t>UQ Studienjahr 2007/08</t>
  </si>
  <si>
    <t>UR Studienjahr 2018/19</t>
  </si>
  <si>
    <t>US Studienjahr 2006/07</t>
  </si>
  <si>
    <t>UT Studienjahr 2017/18</t>
  </si>
  <si>
    <t>UV Studienjahr 2016/17</t>
  </si>
  <si>
    <t>UW Studienjahr 2010/11</t>
  </si>
  <si>
    <t>UW Studienjahr 2022/23</t>
  </si>
  <si>
    <t>UK Studienjahr 2023/24</t>
  </si>
  <si>
    <t>UU Studienjahr 2023/24</t>
  </si>
  <si>
    <t>UI Studienjahr 2024/25</t>
  </si>
  <si>
    <t>US Studienjahr 2024/25</t>
  </si>
  <si>
    <t>W</t>
  </si>
  <si>
    <t>UA</t>
  </si>
  <si>
    <t>UB Studienjahr 2011/12</t>
  </si>
  <si>
    <t>UE Studienjahr 2019/20</t>
  </si>
  <si>
    <t>UE Studienjahr 2021/22</t>
  </si>
  <si>
    <t>UF Studienjahr 2014/15</t>
  </si>
  <si>
    <t>UG Studienjahr 2020/21</t>
  </si>
  <si>
    <t>UH Studienjahr 2013/14</t>
  </si>
  <si>
    <t>UI Studienjahr 2018/19</t>
  </si>
  <si>
    <t>UJ Studienjahr 2012/13</t>
  </si>
  <si>
    <t>UK Studienjahr 2017/18</t>
  </si>
  <si>
    <t>UL Studienjahr 2009/10</t>
  </si>
  <si>
    <t>UL Studienjahr 2011/12</t>
  </si>
  <si>
    <t>UN Studienjahr 2010/11</t>
  </si>
  <si>
    <t>UO Studienjahr 2019/20</t>
  </si>
  <si>
    <t>UO Studienjahr 2021/22</t>
  </si>
  <si>
    <t>UQ Studienjahr 2020/21</t>
  </si>
  <si>
    <t>UR Studienjahr 2013/14</t>
  </si>
  <si>
    <t>US Studienjahr 2018/19</t>
  </si>
  <si>
    <t>UT Studienjahr 2012/13</t>
  </si>
  <si>
    <t>UU Studienjahr 2017/18</t>
  </si>
  <si>
    <t>UV Studienjahr 2009/10</t>
  </si>
  <si>
    <t>UV Studienjahr 2011/12</t>
  </si>
  <si>
    <t>UW Studienjahr 2016/17</t>
  </si>
  <si>
    <t>UC Studienjahr 2022/23</t>
  </si>
  <si>
    <t>UM Studienjahr 2022/23</t>
  </si>
  <si>
    <t>UA Studienjahr 2023/24</t>
  </si>
  <si>
    <t>2023/24</t>
  </si>
  <si>
    <t>Kennzahl 3.A.3 - Gesamtübersicht</t>
  </si>
  <si>
    <t>Universität Innsbruck</t>
  </si>
  <si>
    <t>Medizinische Universität Graz</t>
  </si>
  <si>
    <t>D</t>
  </si>
  <si>
    <t>UA Studienjahr 2017/18</t>
  </si>
  <si>
    <t>UE</t>
  </si>
  <si>
    <t>UI</t>
  </si>
  <si>
    <t>UC Studienjahr 2016/17</t>
  </si>
  <si>
    <t>UD Studienjahr 2010/11</t>
  </si>
  <si>
    <t>UE Studienjahr 2015/16</t>
  </si>
  <si>
    <t>UF Studienjahr 2008/09</t>
  </si>
  <si>
    <t>UG Studienjahr 2014/15</t>
  </si>
  <si>
    <t>UH Studienjahr 2007/08</t>
  </si>
  <si>
    <t>UI Studienjahr 2013/14</t>
  </si>
  <si>
    <t>UJ Studienjahr 2006/07</t>
  </si>
  <si>
    <t>UM Studienjahr 2016/17</t>
  </si>
  <si>
    <t>UO Studienjahr 2015/16</t>
  </si>
  <si>
    <t>UQ Studienjahr 2014/15</t>
  </si>
  <si>
    <t>UR Studienjahr 2007/08</t>
  </si>
  <si>
    <t>US Studienjahr 2013/14</t>
  </si>
  <si>
    <t>UT Studienjahr 2006/07</t>
  </si>
  <si>
    <t>UU Studienjahr 2012/13</t>
  </si>
  <si>
    <t>UD Studienjahr 2022/23</t>
  </si>
  <si>
    <t>UN Studienjahr 2022/23</t>
  </si>
  <si>
    <t>UB Studienjahr 2023/24</t>
  </si>
  <si>
    <t>UL Studienjahr 2023/24</t>
  </si>
  <si>
    <t>UV Studienjahr 2023/24</t>
  </si>
  <si>
    <t>UJ Studienjahr 2024/25</t>
  </si>
  <si>
    <t>UT Studienjahr 2024/25</t>
  </si>
  <si>
    <t>mit Auslandsaufenthalt in EU</t>
  </si>
  <si>
    <t>Technische Universität Graz</t>
  </si>
  <si>
    <t>H</t>
  </si>
  <si>
    <t>L</t>
  </si>
  <si>
    <t>UA Studienjahr 2012/13</t>
  </si>
  <si>
    <t>UQ</t>
  </si>
  <si>
    <t>UB Studienjahr 2017/18</t>
  </si>
  <si>
    <t>UC Studienjahr 2009/10</t>
  </si>
  <si>
    <t>UC Studienjahr 2011/12</t>
  </si>
  <si>
    <t>UD Studienjahr 2016/17</t>
  </si>
  <si>
    <t>UE Studienjahr 2010/11</t>
  </si>
  <si>
    <t>UF Studienjahr 2019/20</t>
  </si>
  <si>
    <t>UF Studienjahr 2021/22</t>
  </si>
  <si>
    <t>UG Studienjahr 2008/09</t>
  </si>
  <si>
    <t>UH Studienjahr 2020/21</t>
  </si>
  <si>
    <t>UI Studienjahr 2007/08</t>
  </si>
  <si>
    <t>UJ Studienjahr 2018/19</t>
  </si>
  <si>
    <t>UK Studienjahr 2012/13</t>
  </si>
  <si>
    <t>UL Studienjahr 2017/18</t>
  </si>
  <si>
    <t>UM Studienjahr 2009/10</t>
  </si>
  <si>
    <t>UM Studienjahr 2011/12</t>
  </si>
  <si>
    <t>UN Studienjahr 2016/17</t>
  </si>
  <si>
    <t>UO Studienjahr 2010/11</t>
  </si>
  <si>
    <t>UQ Studienjahr 2008/09</t>
  </si>
  <si>
    <t>UR Studienjahr 2020/21</t>
  </si>
  <si>
    <t>US Studienjahr 2007/08</t>
  </si>
  <si>
    <t>UT Studienjahr 2018/19</t>
  </si>
  <si>
    <t>UU Studienjahr 2006/07</t>
  </si>
  <si>
    <t>UV Studienjahr 2017/18</t>
  </si>
  <si>
    <t>UW Studienjahr 2009/10</t>
  </si>
  <si>
    <t>UW Studienjahr 2011/12</t>
  </si>
  <si>
    <t>UW Studienjahr 2023/24</t>
  </si>
  <si>
    <t>UK Studienjahr 2024/25</t>
  </si>
  <si>
    <t>UU Studienjahr 2024/25</t>
  </si>
  <si>
    <t>Anmerkung: Aufgrund von Änderungen in den Erhebungsmethoden sind die Indikatorwerte im zeitlichen Verlauf nicht immer direkt vergleichbar.</t>
  </si>
  <si>
    <t>T</t>
  </si>
  <si>
    <t>-</t>
  </si>
  <si>
    <t>Universität für künstlerische und industrielle Gestaltung Linz</t>
  </si>
  <si>
    <t>UA Studienjahr 2006/07</t>
  </si>
  <si>
    <t>UB Studienjahr 2012/13</t>
  </si>
  <si>
    <t>UU</t>
  </si>
  <si>
    <t>UF Studienjahr 2015/16</t>
  </si>
  <si>
    <t>UG Studienjahr 2019/20</t>
  </si>
  <si>
    <t>UG Studienjahr 2021/22</t>
  </si>
  <si>
    <t>UH Studienjahr 2014/15</t>
  </si>
  <si>
    <t>UI Studienjahr 2020/21</t>
  </si>
  <si>
    <t>UJ Studienjahr 2013/14</t>
  </si>
  <si>
    <t>UK Studienjahr 2018/19</t>
  </si>
  <si>
    <t>UL Studienjahr 2012/13</t>
  </si>
  <si>
    <t>UN Studienjahr 2009/10</t>
  </si>
  <si>
    <t>UN Studienjahr 2011/12</t>
  </si>
  <si>
    <t>UQ Studienjahr 2019/20</t>
  </si>
  <si>
    <t>UQ Studienjahr 2021/22</t>
  </si>
  <si>
    <t>UR Studienjahr 2014/15</t>
  </si>
  <si>
    <t>US Studienjahr 2020/21</t>
  </si>
  <si>
    <t>UT Studienjahr 2013/14</t>
  </si>
  <si>
    <t>UU Studienjahr 2018/19</t>
  </si>
  <si>
    <t>UV Studienjahr 2012/13</t>
  </si>
  <si>
    <t>UW Studienjahr 2017/18</t>
  </si>
  <si>
    <t>Studienjahr 2020/21</t>
  </si>
  <si>
    <t>UE Studienjahr 2022/23</t>
  </si>
  <si>
    <t>UO Studienjahr 2022/23</t>
  </si>
  <si>
    <t>UC Studienjahr 2023/24</t>
  </si>
  <si>
    <t>UM Studienjahr 2023/24</t>
  </si>
  <si>
    <t>UA Studienjahr 2024/25</t>
  </si>
  <si>
    <t>Akademie der bildenden Künste Wien</t>
  </si>
  <si>
    <t>UA Studienjahr 2018/19</t>
  </si>
  <si>
    <t>UB Studienjahr 2006/07</t>
  </si>
  <si>
    <t>UC Studienjahr 2017/18</t>
  </si>
  <si>
    <t>UD Studienjahr 2009/10</t>
  </si>
  <si>
    <t>UD Studienjahr 2011/12</t>
  </si>
  <si>
    <t>UE Studienjahr 2016/17</t>
  </si>
  <si>
    <t>UF Studienjahr 2010/11</t>
  </si>
  <si>
    <t>UG Studienjahr 2015/16</t>
  </si>
  <si>
    <t>UH Studienjahr 2008/09</t>
  </si>
  <si>
    <t>UI Studienjahr 2014/15</t>
  </si>
  <si>
    <t>UJ Studienjahr 2007/08</t>
  </si>
  <si>
    <t>UL Studienjahr 2006/07</t>
  </si>
  <si>
    <t>UM Studienjahr 2017/18</t>
  </si>
  <si>
    <t>UO Studienjahr 2016/17</t>
  </si>
  <si>
    <t>UQ Studienjahr 2015/16</t>
  </si>
  <si>
    <t>UR Studienjahr 2008/09</t>
  </si>
  <si>
    <t>US Studienjahr 2014/15</t>
  </si>
  <si>
    <t>UT Studienjahr 2007/08</t>
  </si>
  <si>
    <t>UU Studienjahr 2013/14</t>
  </si>
  <si>
    <t>UV Studienjahr 2006/07</t>
  </si>
  <si>
    <t>UD Studienjahr 2023/24</t>
  </si>
  <si>
    <t>UN Studienjahr 2023/24</t>
  </si>
  <si>
    <t>Datenprüfung und -aufbereitung: bmfwf, Abt. I/10</t>
  </si>
  <si>
    <t>UB Studienjahr 2024/25</t>
  </si>
  <si>
    <t>UL Studienjahr 2024/25</t>
  </si>
  <si>
    <t>UV Studienjahr 2024/25</t>
  </si>
  <si>
    <t xml:space="preserve">Anzahl der Studienabschlüsse mit studienbezogenem Auslandsaufenthalt </t>
  </si>
  <si>
    <t>A</t>
  </si>
  <si>
    <t>Insgesamt</t>
  </si>
  <si>
    <t>Universität Graz</t>
  </si>
  <si>
    <t>Universität für Musik und darstellende Kunst Graz</t>
  </si>
  <si>
    <t>UB</t>
  </si>
  <si>
    <t>UA Studienjahr 2013/14</t>
  </si>
  <si>
    <t>UF</t>
  </si>
  <si>
    <t>UB Studienjahr 2018/19</t>
  </si>
  <si>
    <t>UJ</t>
  </si>
  <si>
    <t>UC Studienjahr 2012/13</t>
  </si>
  <si>
    <t>UD Studienjahr 2017/18</t>
  </si>
  <si>
    <t>UE Studienjahr 2009/10</t>
  </si>
  <si>
    <t>UE Studienjahr 2011/12</t>
  </si>
  <si>
    <t>UG Studienjahr 2010/11</t>
  </si>
  <si>
    <t>UH Studienjahr 2019/20</t>
  </si>
  <si>
    <t>UH Studienjahr 2021/22</t>
  </si>
  <si>
    <t>UI Studienjahr 2008/09</t>
  </si>
  <si>
    <t>UJ Studienjahr 2020/21</t>
  </si>
  <si>
    <t>UK Studienjahr 2013/14</t>
  </si>
  <si>
    <t>UL Studienjahr 2018/19</t>
  </si>
  <si>
    <t>UM Studienjahr 2012/13</t>
  </si>
  <si>
    <t>UN Studienjahr 2017/18</t>
  </si>
  <si>
    <t>UO Studienjahr 2009/10</t>
  </si>
  <si>
    <t>UO Studienjahr 2011/12</t>
  </si>
  <si>
    <t>UQ Studienjahr 2010/11</t>
  </si>
  <si>
    <t>UR Studienjahr 2019/20</t>
  </si>
  <si>
    <t>UR Studienjahr 2021/22</t>
  </si>
  <si>
    <t>US Studienjahr 2008/09</t>
  </si>
  <si>
    <t>UT Studienjahr 2020/21</t>
  </si>
  <si>
    <t>UU Studienjahr 2007/08</t>
  </si>
  <si>
    <t>UV Studienjahr 2018/19</t>
  </si>
  <si>
    <t>UW Studienjahr 2012/13</t>
  </si>
  <si>
    <t>UF Studienjahr 2022/23</t>
  </si>
  <si>
    <t>UW Studienjahr 2024/25</t>
  </si>
  <si>
    <t>Medizinische Universität Wien</t>
  </si>
  <si>
    <t>Universität Salzburg</t>
  </si>
  <si>
    <t>E</t>
  </si>
  <si>
    <t>Universität für Bodenkultur Wien</t>
  </si>
  <si>
    <t>I</t>
  </si>
  <si>
    <t>Universität Linz</t>
  </si>
  <si>
    <t>UA Studienjahr 2007/08</t>
  </si>
  <si>
    <t>UN</t>
  </si>
  <si>
    <t>UB Studienjahr 2013/14</t>
  </si>
  <si>
    <t>UC Studienjahr 2006/07</t>
  </si>
  <si>
    <t>UR</t>
  </si>
  <si>
    <t>UD Studienjahr 2012/13</t>
  </si>
  <si>
    <t>UF Studienjahr 2016/17</t>
  </si>
  <si>
    <t>UH Studienjahr 2015/16</t>
  </si>
  <si>
    <t>UI Studienjahr 2019/20</t>
  </si>
  <si>
    <t>UI Studienjahr 2021/22</t>
  </si>
  <si>
    <t>UJ Studienjahr 2014/15</t>
  </si>
  <si>
    <t>UK Studienjahr 2020/21</t>
  </si>
  <si>
    <t>UL Studienjahr 2013/14</t>
  </si>
  <si>
    <t>UM Studienjahr 2006/07</t>
  </si>
  <si>
    <t>UN Studienjahr 2012/13</t>
  </si>
  <si>
    <t>UR Studienjahr 2015/16</t>
  </si>
  <si>
    <t>US Studienjahr 2019/20</t>
  </si>
  <si>
    <t>US Studienjahr 2021/22</t>
  </si>
  <si>
    <t>UT Studienjahr 2014/15</t>
  </si>
  <si>
    <t>UU Studienjahr 2020/21</t>
  </si>
  <si>
    <t>UV Studienjahr 2013/14</t>
  </si>
  <si>
    <t>UW Studienjahr 2006/07</t>
  </si>
  <si>
    <t>UW Studienjahr 2018/19</t>
  </si>
  <si>
    <t>UG Studienjahr 2022/23</t>
  </si>
  <si>
    <t>UQ Studienjahr 2022/23</t>
  </si>
  <si>
    <t>UE Studienjahr 2023/24</t>
  </si>
  <si>
    <t>UO Studienjahr 2023/24</t>
  </si>
  <si>
    <t>UC Studienjahr 2024/25</t>
  </si>
  <si>
    <t>UM Studienjahr 2024/25</t>
  </si>
  <si>
    <t>Studienjahr 2021/22</t>
  </si>
  <si>
    <t>Wissensbilanz</t>
  </si>
  <si>
    <t>Gastland des Auslandsaufenthaltes</t>
  </si>
  <si>
    <t>Q</t>
  </si>
  <si>
    <t>Technische Universität Wien</t>
  </si>
  <si>
    <t>U</t>
  </si>
  <si>
    <t>UA Studienjahr 2020/21</t>
  </si>
  <si>
    <t>UB Studienjahr 2007/08</t>
  </si>
  <si>
    <t>UV</t>
  </si>
  <si>
    <t>UC Studienjahr 2018/19</t>
  </si>
  <si>
    <t>UE Studienjahr 2017/18</t>
  </si>
  <si>
    <t>UF Studienjahr 2009/10</t>
  </si>
  <si>
    <t>UF Studienjahr 2011/12</t>
  </si>
  <si>
    <t>UG Studienjahr 2016/17</t>
  </si>
  <si>
    <t>UH Studienjahr 2010/11</t>
  </si>
  <si>
    <t>UI Studienjahr 2015/16</t>
  </si>
  <si>
    <t>UJ Studienjahr 2008/09</t>
  </si>
  <si>
    <t>UL Studienjahr 2007/08</t>
  </si>
  <si>
    <t>UM Studienjahr 2018/19</t>
  </si>
  <si>
    <t>UN Studienjahr 2006/07</t>
  </si>
  <si>
    <t>UO Studienjahr 2017/18</t>
  </si>
  <si>
    <t>UQ Studienjahr 2016/17</t>
  </si>
  <si>
    <t>UR Studienjahr 2010/11</t>
  </si>
  <si>
    <t>US Studienjahr 2015/16</t>
  </si>
  <si>
    <t>UT Studienjahr 2008/09</t>
  </si>
  <si>
    <t>UU Studienjahr 2014/15</t>
  </si>
  <si>
    <t>UV Studienjahr 2007/08</t>
  </si>
  <si>
    <t>UW Studienjahr 2013/14</t>
  </si>
  <si>
    <t>UR Studienjahr 2022/23</t>
  </si>
  <si>
    <t>UD Studienjahr 2024/25</t>
  </si>
  <si>
    <t>UN Studienjahr 2024/25</t>
  </si>
  <si>
    <t>Nähere Informationen zu den Kennzahlen bzw. deren Definition finden sich in der aktuellen Ausgabe des Arbeitsbehelfs zur Wissensbilanz-Verordnung.</t>
  </si>
  <si>
    <t>Interpretation</t>
  </si>
  <si>
    <t>KZIDF_IV_1_2</t>
  </si>
  <si>
    <t>UA Studienjahr 2014/15</t>
  </si>
  <si>
    <t>UB Studienjahr 2020/21</t>
  </si>
  <si>
    <t>UC Studienjahr 2013/14</t>
  </si>
  <si>
    <t>UD Studienjahr 2018/19</t>
  </si>
  <si>
    <t>UE Studienjahr 2012/13</t>
  </si>
  <si>
    <t>UG Studienjahr 2009/10</t>
  </si>
  <si>
    <t>UG Studienjahr 2011/12</t>
  </si>
  <si>
    <t>UI Studienjahr 2010/11</t>
  </si>
  <si>
    <t>UJ Studienjahr 2019/20</t>
  </si>
  <si>
    <t>UJ Studienjahr 2021/22</t>
  </si>
  <si>
    <t>UK Studienjahr 2014/15</t>
  </si>
  <si>
    <t>UL Studienjahr 2020/21</t>
  </si>
  <si>
    <t>UM Studienjahr 2013/14</t>
  </si>
  <si>
    <t>UN Studienjahr 2018/19</t>
  </si>
  <si>
    <t>UO Studienjahr 2012/13</t>
  </si>
  <si>
    <t>UQ Studienjahr 2009/10</t>
  </si>
  <si>
    <t>UQ Studienjahr 2011/12</t>
  </si>
  <si>
    <t>US Studienjahr 2010/11</t>
  </si>
  <si>
    <t>UT Studienjahr 2019/20</t>
  </si>
  <si>
    <t>UT Studienjahr 2021/22</t>
  </si>
  <si>
    <t>UU Studienjahr 2008/09</t>
  </si>
  <si>
    <t>UV Studienjahr 2020/21</t>
  </si>
  <si>
    <t>UH Studienjahr 2022/23</t>
  </si>
  <si>
    <t>UF Studienjahr 2023/24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</si>
</sst>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2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262626"/>
      <name val="Tahoma"/>
      <family val="2"/>
    </font>
    <font>
      <u/>
      <sz val="10"/>
      <color theme="1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C7D9F1"/>
        <bgColor indexed="64"/>
      </patternFill>
    </fill>
  </fills>
  <borders count="11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indexed="64"/>
      </bottom>
      <diagonal/>
    </border>
    <border>
      <left style="hair">
        <color rgb="FFC0C0C0"/>
      </left>
      <right style="hair">
        <color rgb="FFC0C0C0"/>
      </right>
      <top style="thin">
        <color indexed="64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thin">
        <color indexed="64"/>
      </top>
      <bottom/>
      <diagonal/>
    </border>
    <border>
      <left style="hair">
        <color rgb="FFC0C0C0"/>
      </left>
      <right style="hair">
        <color rgb="FFC0C0C0"/>
      </right>
      <top/>
      <bottom style="thin">
        <color indexed="64"/>
      </bottom>
      <diagonal/>
    </border>
    <border>
      <left style="hair">
        <color rgb="FFC0C0C0"/>
      </left>
      <right style="hair">
        <color rgb="FFC0C0C0"/>
      </right>
      <top/>
      <bottom/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/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0" fillId="0" borderId="0"/>
    <xf numFmtId="0" fontId="2" fillId="0" borderId="0"/>
    <xf numFmtId="0" fontId="4" fillId="0" borderId="0">
      <alignment horizontal="left"/>
    </xf>
    <xf numFmtId="0" fontId="4" fillId="0" borderId="0">
      <alignment horizontal="center"/>
    </xf>
    <xf numFmtId="0" fontId="5" fillId="0" borderId="0">
      <alignment horizontal="left" vertical="center" wrapText="1"/>
    </xf>
    <xf numFmtId="0" fontId="5" fillId="0" borderId="0">
      <alignment horizontal="center" vertical="center" wrapText="1"/>
    </xf>
    <xf numFmtId="0" fontId="5" fillId="0" borderId="0">
      <alignment horizontal="right"/>
    </xf>
    <xf numFmtId="0" fontId="5" fillId="0" borderId="0">
      <alignment horizontal="left"/>
    </xf>
  </cellStyleXfs>
  <cellXfs count="50">
    <xf numFmtId="0" fontId="0" fillId="0" borderId="0" xfId="0"/>
    <xf numFmtId="3" fontId="6" fillId="2" borderId="1" xfId="5" applyNumberFormat="1" applyFont="1" applyFill="1" applyBorder="1" applyAlignment="1" applyProtection="1">
      <alignment horizontal="right"/>
    </xf>
    <xf numFmtId="3" fontId="6" fillId="0" borderId="1" xfId="5" applyNumberFormat="1" applyFont="1" applyFill="1" applyBorder="1" applyAlignment="1" applyProtection="1"/>
    <xf numFmtId="3" fontId="6" fillId="0" borderId="1" xfId="5" applyNumberFormat="1" applyFont="1" applyFill="1" applyBorder="1" applyAlignment="1" applyProtection="1">
      <alignment horizontal="right"/>
    </xf>
    <xf numFmtId="0" fontId="7" fillId="0" borderId="2" xfId="1" quotePrefix="1" applyFont="1" applyFill="1" applyBorder="1" applyAlignment="1" applyProtection="1">
      <alignment vertical="center"/>
    </xf>
    <xf numFmtId="0" fontId="7" fillId="0" borderId="1" xfId="1" quotePrefix="1" applyFont="1" applyFill="1" applyBorder="1" applyAlignment="1" applyProtection="1">
      <alignment vertical="center"/>
    </xf>
    <xf numFmtId="0" fontId="6" fillId="0" borderId="1" xfId="5" applyFont="1" applyFill="1" applyBorder="1" applyAlignment="1" applyProtection="1">
      <alignment vertical="center"/>
    </xf>
    <xf numFmtId="0" fontId="7" fillId="0" borderId="3" xfId="1" quotePrefix="1" applyFont="1" applyFill="1" applyBorder="1" applyAlignment="1" applyProtection="1">
      <alignment vertical="center"/>
    </xf>
    <xf numFmtId="3" fontId="6" fillId="0" borderId="3" xfId="5" applyNumberFormat="1" applyFont="1" applyFill="1" applyBorder="1" applyAlignment="1" applyProtection="1"/>
    <xf numFmtId="3" fontId="6" fillId="0" borderId="2" xfId="5" applyNumberFormat="1" applyFont="1" applyFill="1" applyBorder="1" applyAlignment="1" applyProtection="1">
      <alignment horizontal="right"/>
    </xf>
    <xf numFmtId="3" fontId="6" fillId="0" borderId="2" xfId="5" applyNumberFormat="1" applyFont="1" applyFill="1" applyBorder="1" applyAlignment="1" applyProtection="1"/>
    <xf numFmtId="3" fontId="6" fillId="2" borderId="2" xfId="5" applyNumberFormat="1" applyFont="1" applyFill="1" applyBorder="1" applyAlignment="1" applyProtection="1">
      <alignment horizontal="right"/>
    </xf>
    <xf numFmtId="3" fontId="6" fillId="2" borderId="3" xfId="5" applyNumberFormat="1" applyFont="1" applyFill="1" applyBorder="1" applyAlignment="1" applyProtection="1">
      <alignment horizontal="right"/>
    </xf>
    <xf numFmtId="3" fontId="6" fillId="0" borderId="3" xfId="5" applyNumberFormat="1" applyFont="1" applyFill="1" applyBorder="1" applyAlignment="1" applyProtection="1">
      <alignment horizontal="right"/>
    </xf>
    <xf numFmtId="0" fontId="6" fillId="0" borderId="3" xfId="5" applyFont="1" applyFill="1" applyBorder="1" applyAlignment="1" applyProtection="1">
      <alignment vertical="center"/>
    </xf>
    <xf numFmtId="0" fontId="6" fillId="0" borderId="2" xfId="5" applyFont="1" applyFill="1" applyBorder="1" applyAlignment="1" applyProtection="1">
      <alignment vertical="center"/>
    </xf>
    <xf numFmtId="0" fontId="6" fillId="2" borderId="1" xfId="5" applyFont="1" applyFill="1" applyBorder="1" applyAlignment="1" applyProtection="1">
      <alignment vertical="center"/>
    </xf>
    <xf numFmtId="0" fontId="8" fillId="0" borderId="0" xfId="0" applyFont="1" applyFill="1" applyBorder="1" applyAlignment="1">
      <alignment vertical="center"/>
    </xf>
    <xf numFmtId="0" fontId="6" fillId="0" borderId="4" xfId="5" applyFont="1" applyFill="1" applyBorder="1" applyAlignment="1" applyProtection="1">
      <alignment horizontal="left" vertical="center" wrapText="1"/>
    </xf>
    <xf numFmtId="0" fontId="6" fillId="0" borderId="5" xfId="5" applyFont="1" applyFill="1" applyBorder="1" applyAlignment="1" applyProtection="1">
      <alignment horizontal="left" vertical="center" wrapText="1"/>
    </xf>
    <xf numFmtId="0" fontId="6" fillId="0" borderId="6" xfId="5" applyFont="1" applyFill="1" applyBorder="1" applyAlignment="1" applyProtection="1">
      <alignment horizontal="left" vertical="center" wrapText="1"/>
    </xf>
    <xf numFmtId="3" fontId="6" fillId="2" borderId="1" xfId="0" applyNumberFormat="1" applyFont="1" applyFill="1" applyBorder="1" applyAlignment="1" applyProtection="1">
      <alignment horizontal="right"/>
    </xf>
    <xf numFmtId="3" fontId="6" fillId="0" borderId="1" xfId="0" applyNumberFormat="1" applyFont="1" applyFill="1" applyBorder="1" applyAlignment="1" applyProtection="1"/>
    <xf numFmtId="3" fontId="6" fillId="0" borderId="1" xfId="0" applyNumberFormat="1" applyFont="1" applyFill="1" applyBorder="1" applyAlignment="1" applyProtection="1">
      <alignment horizontal="right"/>
    </xf>
    <xf numFmtId="0" fontId="0" fillId="0" borderId="0" xfId="0" applyFont="1"/>
    <xf numFmtId="0" fontId="6" fillId="0" borderId="7" xfId="5" applyFont="1" applyFill="1" applyBorder="1" applyAlignment="1" applyProtection="1">
      <alignment horizontal="center" vertical="center"/>
    </xf>
    <xf numFmtId="0" fontId="6" fillId="0" borderId="8" xfId="5" applyFont="1" applyFill="1" applyBorder="1" applyAlignment="1" applyProtection="1">
      <alignment horizontal="right"/>
    </xf>
    <xf numFmtId="3" fontId="6" fillId="0" borderId="2" xfId="0" applyNumberFormat="1" applyFont="1" applyFill="1" applyBorder="1" applyAlignment="1" applyProtection="1"/>
    <xf numFmtId="3" fontId="6" fillId="0" borderId="3" xfId="0" applyNumberFormat="1" applyFont="1" applyFill="1" applyBorder="1" applyAlignment="1" applyProtection="1">
      <alignment horizontal="right"/>
    </xf>
    <xf numFmtId="3" fontId="6" fillId="0" borderId="3" xfId="0" applyNumberFormat="1" applyFont="1" applyFill="1" applyBorder="1" applyAlignment="1" applyProtection="1"/>
    <xf numFmtId="3" fontId="6" fillId="0" borderId="2" xfId="0" applyNumberFormat="1" applyFont="1" applyFill="1" applyBorder="1" applyAlignment="1" applyProtection="1">
      <alignment horizontal="right"/>
    </xf>
    <xf numFmtId="3" fontId="6" fillId="2" borderId="3" xfId="0" applyNumberFormat="1" applyFont="1" applyFill="1" applyBorder="1" applyAlignment="1" applyProtection="1">
      <alignment horizontal="right"/>
    </xf>
    <xf numFmtId="3" fontId="6" fillId="2" borderId="2" xfId="0" applyNumberFormat="1" applyFont="1" applyFill="1" applyBorder="1" applyAlignment="1" applyProtection="1">
      <alignment horizontal="right"/>
    </xf>
    <xf numFmtId="3" fontId="6" fillId="0" borderId="8" xfId="5" applyNumberFormat="1" applyFont="1" applyFill="1" applyBorder="1" applyAlignment="1" applyProtection="1"/>
    <xf numFmtId="0" fontId="6" fillId="2" borderId="8" xfId="5" applyFont="1" applyFill="1" applyBorder="1" applyAlignment="1" applyProtection="1">
      <alignment horizontal="right"/>
    </xf>
    <xf numFmtId="0" fontId="6" fillId="0" borderId="9" xfId="5" applyFont="1" applyFill="1" applyBorder="1" applyAlignment="1" applyProtection="1">
      <alignment horizontal="center" vertical="center"/>
    </xf>
    <xf numFmtId="0" fontId="6" fillId="0" borderId="10" xfId="5" applyFont="1" applyFill="1" applyBorder="1" applyAlignment="1" applyProtection="1">
      <alignment horizontal="center" vertical="center"/>
    </xf>
    <xf numFmtId="1" fontId="0" fillId="0" borderId="0" xfId="0" applyNumberFormat="1"/>
    <xf numFmtId="3" fontId="6" fillId="2" borderId="1" xfId="5" applyNumberFormat="1" applyFont="1" applyFill="1" applyBorder="1" applyAlignment="1" applyProtection="1"/>
    <xf numFmtId="3" fontId="6" fillId="0" borderId="1" xfId="0" applyNumberFormat="1" applyFont="1" applyBorder="1" applyAlignment="1" applyProtection="1"/>
    <xf numFmtId="0" fontId="6" fillId="0" borderId="4" xfId="5" applyFont="1" applyFill="1" applyBorder="1" applyAlignment="1" applyProtection="1">
      <alignment vertical="center" wrapText="1"/>
    </xf>
    <xf numFmtId="3" fontId="6" fillId="2" borderId="3" xfId="5" applyNumberFormat="1" applyFont="1" applyFill="1" applyBorder="1" applyAlignment="1" applyProtection="1"/>
    <xf numFmtId="3" fontId="6" fillId="0" borderId="1" xfId="0" quotePrefix="1" applyNumberFormat="1" applyFont="1" applyBorder="1" applyAlignment="1" applyProtection="1"/>
    <xf numFmtId="0" fontId="6" fillId="0" borderId="5" xfId="5" applyFont="1" applyFill="1" applyBorder="1" applyAlignment="1" applyProtection="1">
      <alignment vertical="center" wrapText="1"/>
    </xf>
    <xf numFmtId="3" fontId="6" fillId="2" borderId="2" xfId="5" applyNumberFormat="1" applyFont="1" applyFill="1" applyBorder="1" applyAlignment="1" applyProtection="1"/>
    <xf numFmtId="0" fontId="6" fillId="0" borderId="6" xfId="5" applyFont="1" applyFill="1" applyBorder="1" applyAlignment="1" applyProtection="1">
      <alignment vertical="center" wrapText="1"/>
    </xf>
    <xf numFmtId="0" fontId="9" fillId="0" borderId="0" xfId="0" applyFont="1" applyFill="1" applyBorder="1" applyAlignment="1">
      <alignment vertical="top"/>
    </xf>
    <xf numFmtId="0" fontId="6" fillId="3" borderId="8" xfId="5" applyFont="1" applyFill="1" applyBorder="1" applyAlignment="1" applyProtection="1">
      <alignment horizontal="left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</cellXfs>
  <cellStyles count="12">
    <cellStyle name="Hyperlink" xfId="1" builtinId="8" customBuiltin="1"/>
    <cellStyle name="Komma 2" xfId="2"/>
    <cellStyle name="Normal" xfId="0" builtinId="0"/>
    <cellStyle name="Normal_Sheet1" xfId="3"/>
    <cellStyle name="Standard 2" xfId="4"/>
    <cellStyle name="Standard 3" xfId="5"/>
    <cellStyle name="Style1" xfId="6"/>
    <cellStyle name="Style2" xfId="7"/>
    <cellStyle name="Style3" xfId="8"/>
    <cellStyle name="Style4" xfId="9"/>
    <cellStyle name="Style5" xfId="10"/>
    <cellStyle name="Style6" xfId="1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XLCubedFormat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XLCubedFormat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oravm13.noc-science.at/apex/f?p=103:34:::::P34_UNIV,P34_JAHR,P34_KZIDF,P34_LIEFIDF:A,2024,36530,77167" TargetMode="External" /><Relationship Id="rId2" Type="http://schemas.openxmlformats.org/officeDocument/2006/relationships/hyperlink" Target="https://oravm13.noc-science.at/apex/f?p=103:34:::::P34_UNIV,P34_JAHR,P34_KZIDF,P34_LIEFIDF:A,2022,36530,70283" TargetMode="External" /><Relationship Id="rId3" Type="http://schemas.openxmlformats.org/officeDocument/2006/relationships/hyperlink" Target="https://oravm13.noc-science.at/apex/f?p=103:34:::::P34_UNIV,P34_JAHR,P34_KZIDF,P34_LIEFIDF:B,2024,36530,77258" TargetMode="External" /><Relationship Id="rId4" Type="http://schemas.openxmlformats.org/officeDocument/2006/relationships/hyperlink" Target="https://oravm13.noc-science.at/apex/f?p=103:34:::::P34_UNIV,P34_JAHR,P34_KZIDF,P34_LIEFIDF:C,2024,36530,76895" TargetMode="External" /><Relationship Id="rId5" Type="http://schemas.openxmlformats.org/officeDocument/2006/relationships/hyperlink" Target="https://oravm13.noc-science.at/apex/f?p=103:34:::::P34_UNIV,P34_JAHR,P34_KZIDF,P34_LIEFIDF:A,2023,36530,73762" TargetMode="External" /><Relationship Id="rId6" Type="http://schemas.openxmlformats.org/officeDocument/2006/relationships/hyperlink" Target="https://oravm13.noc-science.at/apex/f?p=103:34:::::P34_UNIV,P34_JAHR,P34_KZIDF,P34_LIEFIDF:B,2023,36530,73800" TargetMode="External" /><Relationship Id="rId7" Type="http://schemas.openxmlformats.org/officeDocument/2006/relationships/hyperlink" Target="https://oravm13.noc-science.at/apex/f?p=103:34:::::P34_UNIV,P34_JAHR,P34_KZIDF,P34_LIEFIDF:C,2023,36530,74599" TargetMode="External" /><Relationship Id="rId8" Type="http://schemas.openxmlformats.org/officeDocument/2006/relationships/hyperlink" Target="https://oravm13.noc-science.at/apex/f?p=103:34:::::P34_UNIV,P34_JAHR,P34_KZIDF,P34_LIEFIDF:N,2023,36530,73195" TargetMode="External" /><Relationship Id="rId9" Type="http://schemas.openxmlformats.org/officeDocument/2006/relationships/hyperlink" Target="https://oravm13.noc-science.at/apex/f?p=103:34:::::P34_UNIV,P34_JAHR,P34_KZIDF,P34_LIEFIDF:O,2023,36530,74035" TargetMode="External" /><Relationship Id="rId10" Type="http://schemas.openxmlformats.org/officeDocument/2006/relationships/hyperlink" Target="https://oravm13.noc-science.at/apex/f?p=103:34:::::P34_UNIV,P34_JAHR,P34_KZIDF,P34_LIEFIDF:Q,2023,36530,73985" TargetMode="External" /><Relationship Id="rId11" Type="http://schemas.openxmlformats.org/officeDocument/2006/relationships/hyperlink" Target="https://oravm13.noc-science.at/apex/f?p=103:34:::::P34_UNIV,P34_JAHR,P34_KZIDF,P34_LIEFIDF:D,2023,36530,73576" TargetMode="External" /><Relationship Id="rId12" Type="http://schemas.openxmlformats.org/officeDocument/2006/relationships/hyperlink" Target="https://oravm13.noc-science.at/apex/f?p=103:34:::::P34_UNIV,P34_JAHR,P34_KZIDF,P34_LIEFIDF:E,2023,36530,73779" TargetMode="External" /><Relationship Id="rId13" Type="http://schemas.openxmlformats.org/officeDocument/2006/relationships/hyperlink" Target="https://oravm13.noc-science.at/apex/f?p=103:34:::::P34_UNIV,P34_JAHR,P34_KZIDF,P34_LIEFIDF:F,2023,36530,73603" TargetMode="External" /><Relationship Id="rId14" Type="http://schemas.openxmlformats.org/officeDocument/2006/relationships/hyperlink" Target="https://oravm13.noc-science.at/apex/f?p=103:34:::::P34_UNIV,P34_JAHR,P34_KZIDF,P34_LIEFIDF:G,2023,36530,73974" TargetMode="External" /><Relationship Id="rId15" Type="http://schemas.openxmlformats.org/officeDocument/2006/relationships/hyperlink" Target="https://oravm13.noc-science.at/apex/f?p=103:34:::::P34_UNIV,P34_JAHR,P34_KZIDF,P34_LIEFIDF:H,2023,36530,74297" TargetMode="External" /><Relationship Id="rId16" Type="http://schemas.openxmlformats.org/officeDocument/2006/relationships/hyperlink" Target="https://oravm13.noc-science.at/apex/f?p=103:34:::::P34_UNIV,P34_JAHR,P34_KZIDF,P34_LIEFIDF:I,2023,36530,73269" TargetMode="External" /><Relationship Id="rId17" Type="http://schemas.openxmlformats.org/officeDocument/2006/relationships/hyperlink" Target="https://oravm13.noc-science.at/apex/f?p=103:34:::::P34_UNIV,P34_JAHR,P34_KZIDF,P34_LIEFIDF:J,2023,36530,73795" TargetMode="External" /><Relationship Id="rId18" Type="http://schemas.openxmlformats.org/officeDocument/2006/relationships/hyperlink" Target="https://oravm13.noc-science.at/apex/f?p=103:34:::::P34_UNIV,P34_JAHR,P34_KZIDF,P34_LIEFIDF:K,2023,36530,73392" TargetMode="External" /><Relationship Id="rId19" Type="http://schemas.openxmlformats.org/officeDocument/2006/relationships/hyperlink" Target="https://oravm13.noc-science.at/apex/f?p=103:34:::::P34_UNIV,P34_JAHR,P34_KZIDF,P34_LIEFIDF:L,2023,36530,73710" TargetMode="External" /><Relationship Id="rId20" Type="http://schemas.openxmlformats.org/officeDocument/2006/relationships/hyperlink" Target="https://oravm13.noc-science.at/apex/f?p=103:34:::::P34_UNIV,P34_JAHR,P34_KZIDF,P34_LIEFIDF:S,2023,36530,74110" TargetMode="External" /><Relationship Id="rId21" Type="http://schemas.openxmlformats.org/officeDocument/2006/relationships/hyperlink" Target="https://oravm13.noc-science.at/apex/f?p=103:34:::::P34_UNIV,P34_JAHR,P34_KZIDF,P34_LIEFIDF:T,2023,36530,74083" TargetMode="External" /><Relationship Id="rId22" Type="http://schemas.openxmlformats.org/officeDocument/2006/relationships/hyperlink" Target="https://oravm13.noc-science.at/apex/f?p=103:34:::::P34_UNIV,P34_JAHR,P34_KZIDF,P34_LIEFIDF:U,2023,36530,73622" TargetMode="External" /><Relationship Id="rId23" Type="http://schemas.openxmlformats.org/officeDocument/2006/relationships/hyperlink" Target="https://oravm13.noc-science.at/apex/f?p=103:34:::::P34_UNIV,P34_JAHR,P34_KZIDF,P34_LIEFIDF:V,2023,36530,73934" TargetMode="External" /><Relationship Id="rId24" Type="http://schemas.openxmlformats.org/officeDocument/2006/relationships/hyperlink" Target="https://oravm13.noc-science.at/apex/f?p=103:34:::::P34_UNIV,P34_JAHR,P34_KZIDF,P34_LIEFIDF:R,2023,36530,73457" TargetMode="External" /><Relationship Id="rId25" Type="http://schemas.openxmlformats.org/officeDocument/2006/relationships/hyperlink" Target="https://oravm13.noc-science.at/apex/f?p=103:34:::::P34_UNIV,P34_JAHR,P34_KZIDF,P34_LIEFIDF:R,2024,36530,78258" TargetMode="External" /><Relationship Id="rId26" Type="http://schemas.openxmlformats.org/officeDocument/2006/relationships/hyperlink" Target="https://oravm13.noc-science.at/apex/f?p=103:34:::::P34_UNIV,P34_JAHR,P34_KZIDF,P34_LIEFIDF:W,2024,36530,77881" TargetMode="External" /><Relationship Id="rId27" Type="http://schemas.openxmlformats.org/officeDocument/2006/relationships/hyperlink" Target="https://oravm13.noc-science.at/apex/f?p=103:34:::::P34_UNIV,P34_JAHR,P34_KZIDF,P34_LIEFIDF:V,2024,36530,78100" TargetMode="External" /><Relationship Id="rId28" Type="http://schemas.openxmlformats.org/officeDocument/2006/relationships/hyperlink" Target="https://oravm13.noc-science.at/apex/f?p=103:34:::::P34_UNIV,P34_JAHR,P34_KZIDF,P34_LIEFIDF:U,2024,36530,77033" TargetMode="External" /><Relationship Id="rId29" Type="http://schemas.openxmlformats.org/officeDocument/2006/relationships/hyperlink" Target="https://oravm13.noc-science.at/apex/f?p=103:34:::::P34_UNIV,P34_JAHR,P34_KZIDF,P34_LIEFIDF:T,2024,36530,77559" TargetMode="External" /><Relationship Id="rId30" Type="http://schemas.openxmlformats.org/officeDocument/2006/relationships/hyperlink" Target="https://oravm13.noc-science.at/apex/f?p=103:34:::::P34_UNIV,P34_JAHR,P34_KZIDF,P34_LIEFIDF:S,2024,36530,77495" TargetMode="External" /><Relationship Id="rId31" Type="http://schemas.openxmlformats.org/officeDocument/2006/relationships/hyperlink" Target="https://oravm13.noc-science.at/apex/f?p=103:34:::::P34_UNIV,P34_JAHR,P34_KZIDF,P34_LIEFIDF:L,2024,36530,77115" TargetMode="External" /><Relationship Id="rId32" Type="http://schemas.openxmlformats.org/officeDocument/2006/relationships/hyperlink" Target="https://oravm13.noc-science.at/apex/f?p=103:34:::::P34_UNIV,P34_JAHR,P34_KZIDF,P34_LIEFIDF:K,2024,36530,76837" TargetMode="External" /><Relationship Id="rId33" Type="http://schemas.openxmlformats.org/officeDocument/2006/relationships/hyperlink" Target="https://oravm13.noc-science.at/apex/f?p=103:34:::::P34_UNIV,P34_JAHR,P34_KZIDF,P34_LIEFIDF:J,2024,36530,77141" TargetMode="External" /><Relationship Id="rId34" Type="http://schemas.openxmlformats.org/officeDocument/2006/relationships/hyperlink" Target="https://oravm13.noc-science.at/apex/f?p=103:34:::::P34_UNIV,P34_JAHR,P34_KZIDF,P34_LIEFIDF:I,2024,36530,77085" TargetMode="External" /><Relationship Id="rId35" Type="http://schemas.openxmlformats.org/officeDocument/2006/relationships/hyperlink" Target="https://oravm13.noc-science.at/apex/f?p=103:34:::::P34_UNIV,P34_JAHR,P34_KZIDF,P34_LIEFIDF:H,2024,36530,76735" TargetMode="External" /><Relationship Id="rId36" Type="http://schemas.openxmlformats.org/officeDocument/2006/relationships/hyperlink" Target="https://oravm13.noc-science.at/apex/f?p=103:34:::::P34_UNIV,P34_JAHR,P34_KZIDF,P34_LIEFIDF:G,2024,36530,77386" TargetMode="External" /><Relationship Id="rId37" Type="http://schemas.openxmlformats.org/officeDocument/2006/relationships/hyperlink" Target="https://oravm13.noc-science.at/apex/f?p=103:34:::::P34_UNIV,P34_JAHR,P34_KZIDF,P34_LIEFIDF:F,2024,36530,77996" TargetMode="External" /><Relationship Id="rId38" Type="http://schemas.openxmlformats.org/officeDocument/2006/relationships/hyperlink" Target="https://oravm13.noc-science.at/apex/f?p=103:34:::::P34_UNIV,P34_JAHR,P34_KZIDF,P34_LIEFIDF:E,2024,36530,77205" TargetMode="External" /><Relationship Id="rId39" Type="http://schemas.openxmlformats.org/officeDocument/2006/relationships/hyperlink" Target="https://oravm13.noc-science.at/apex/f?p=103:34:::::P34_UNIV,P34_JAHR,P34_KZIDF,P34_LIEFIDF:D,2024,36530,78013" TargetMode="External" /><Relationship Id="rId40" Type="http://schemas.openxmlformats.org/officeDocument/2006/relationships/hyperlink" Target="https://oravm13.noc-science.at/apex/f?p=103:34:::::P34_UNIV,P34_JAHR,P34_KZIDF,P34_LIEFIDF:Q,2024,36530,78433" TargetMode="External" /><Relationship Id="rId41" Type="http://schemas.openxmlformats.org/officeDocument/2006/relationships/hyperlink" Target="https://oravm13.noc-science.at/apex/f?p=103:34:::::P34_UNIV,P34_JAHR,P34_KZIDF,P34_LIEFIDF:O,2024,36530,78478" TargetMode="External" /><Relationship Id="rId42" Type="http://schemas.openxmlformats.org/officeDocument/2006/relationships/hyperlink" Target="https://oravm13.noc-science.at/apex/f?p=103:34:::::P34_UNIV,P34_JAHR,P34_KZIDF,P34_LIEFIDF:N,2024,36530,76773" TargetMode="External" /><Relationship Id="rId43" Type="http://schemas.openxmlformats.org/officeDocument/2006/relationships/hyperlink" Target="https://oravm13.noc-science.at/apex/f?p=103:34:::::P34_UNIV,P34_JAHR,P34_KZIDF,P34_LIEFIDF:W,2023,36530,73473" TargetMode="External" /><Relationship Id="rId44" Type="http://schemas.openxmlformats.org/officeDocument/2006/relationships/hyperlink" Target="https://oravm13.noc-science.at/apex/f?p=103:34:::::P34_UNIV,P34_JAHR,P34_KZIDF,P34_LIEFIDF:B,2022,36530,70763" TargetMode="External" /><Relationship Id="rId45" Type="http://schemas.openxmlformats.org/officeDocument/2006/relationships/hyperlink" Target="https://oravm13.noc-science.at/apex/f?p=103:34:::::P34_UNIV,P34_JAHR,P34_KZIDF,P34_LIEFIDF:C,2022,36530,70205" TargetMode="External" /><Relationship Id="rId46" Type="http://schemas.openxmlformats.org/officeDocument/2006/relationships/hyperlink" Target="https://oravm13.noc-science.at/apex/f?p=103:34:::::P34_UNIV,P34_JAHR,P34_KZIDF,P34_LIEFIDF:N,2022,36530,70169" TargetMode="External" /><Relationship Id="rId47" Type="http://schemas.openxmlformats.org/officeDocument/2006/relationships/hyperlink" Target="https://oravm13.noc-science.at/apex/f?p=103:34:::::P34_UNIV,P34_JAHR,P34_KZIDF,P34_LIEFIDF:O,2022,36530,70334" TargetMode="External" /><Relationship Id="rId48" Type="http://schemas.openxmlformats.org/officeDocument/2006/relationships/hyperlink" Target="https://oravm13.noc-science.at/apex/f?p=103:34:::::P34_UNIV,P34_JAHR,P34_KZIDF,P34_LIEFIDF:Q,2022,36530,70637" TargetMode="External" /><Relationship Id="rId49" Type="http://schemas.openxmlformats.org/officeDocument/2006/relationships/hyperlink" Target="https://oravm13.noc-science.at/apex/f?p=103:34:::::P34_UNIV,P34_JAHR,P34_KZIDF,P34_LIEFIDF:D,2022,36530,70257" TargetMode="External" /><Relationship Id="rId50" Type="http://schemas.openxmlformats.org/officeDocument/2006/relationships/hyperlink" Target="https://oravm13.noc-science.at/apex/f?p=103:34:::::P34_UNIV,P34_JAHR,P34_KZIDF,P34_LIEFIDF:E,2022,36530,70695" TargetMode="External" /><Relationship Id="rId51" Type="http://schemas.openxmlformats.org/officeDocument/2006/relationships/hyperlink" Target="https://oravm13.noc-science.at/apex/f?p=103:34:::::P34_UNIV,P34_JAHR,P34_KZIDF,P34_LIEFIDF:F,2022,36530,70360" TargetMode="External" /><Relationship Id="rId52" Type="http://schemas.openxmlformats.org/officeDocument/2006/relationships/hyperlink" Target="https://oravm13.noc-science.at/apex/f?p=103:34:::::P34_UNIV,P34_JAHR,P34_KZIDF,P34_LIEFIDF:G,2022,36530,70787" TargetMode="External" /><Relationship Id="rId53" Type="http://schemas.openxmlformats.org/officeDocument/2006/relationships/hyperlink" Target="https://oravm13.noc-science.at/apex/f?p=103:34:::::P34_UNIV,P34_JAHR,P34_KZIDF,P34_LIEFIDF:H,2022,36530,70678" TargetMode="External" /><Relationship Id="rId54" Type="http://schemas.openxmlformats.org/officeDocument/2006/relationships/hyperlink" Target="https://oravm13.noc-science.at/apex/f?p=103:34:::::P34_UNIV,P34_JAHR,P34_KZIDF,P34_LIEFIDF:I,2022,36530,70352" TargetMode="External" /><Relationship Id="rId55" Type="http://schemas.openxmlformats.org/officeDocument/2006/relationships/hyperlink" Target="https://oravm13.noc-science.at/apex/f?p=103:34:::::P34_UNIV,P34_JAHR,P34_KZIDF,P34_LIEFIDF:J,2022,36530,70929" TargetMode="External" /><Relationship Id="rId56" Type="http://schemas.openxmlformats.org/officeDocument/2006/relationships/hyperlink" Target="https://oravm13.noc-science.at/apex/f?p=103:34:::::P34_UNIV,P34_JAHR,P34_KZIDF,P34_LIEFIDF:K,2022,36530,69976" TargetMode="External" /><Relationship Id="rId57" Type="http://schemas.openxmlformats.org/officeDocument/2006/relationships/hyperlink" Target="https://oravm13.noc-science.at/apex/f?p=103:34:::::P34_UNIV,P34_JAHR,P34_KZIDF,P34_LIEFIDF:L,2022,36530,70806" TargetMode="External" /><Relationship Id="rId58" Type="http://schemas.openxmlformats.org/officeDocument/2006/relationships/hyperlink" Target="https://oravm13.noc-science.at/apex/f?p=103:34:::::P34_UNIV,P34_JAHR,P34_KZIDF,P34_LIEFIDF:S,2022,36530,70533" TargetMode="External" /><Relationship Id="rId59" Type="http://schemas.openxmlformats.org/officeDocument/2006/relationships/hyperlink" Target="https://oravm13.noc-science.at/apex/f?p=103:34:::::P34_UNIV,P34_JAHR,P34_KZIDF,P34_LIEFIDF:T,2022,36530,70908" TargetMode="External" /><Relationship Id="rId60" Type="http://schemas.openxmlformats.org/officeDocument/2006/relationships/hyperlink" Target="https://oravm13.noc-science.at/apex/f?p=103:34:::::P34_UNIV,P34_JAHR,P34_KZIDF,P34_LIEFIDF:U,2022,36530,70595" TargetMode="External" /><Relationship Id="rId61" Type="http://schemas.openxmlformats.org/officeDocument/2006/relationships/hyperlink" Target="https://oravm13.noc-science.at/apex/f?p=103:34:::::P34_UNIV,P34_JAHR,P34_KZIDF,P34_LIEFIDF:V,2022,36530,70868" TargetMode="External" /><Relationship Id="rId62" Type="http://schemas.openxmlformats.org/officeDocument/2006/relationships/hyperlink" Target="https://oravm13.noc-science.at/apex/f?p=103:34:::::P34_UNIV,P34_JAHR,P34_KZIDF,P34_LIEFIDF:W,2022,36530,70405" TargetMode="External" /><Relationship Id="rId63" Type="http://schemas.openxmlformats.org/officeDocument/2006/relationships/hyperlink" Target="https://oravm13.noc-science.at/apex/f?p=103:34:::::P34_UNIV,P34_JAHR,P34_KZIDF,P34_LIEFIDF:R,2022,36530,70509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17"/>
  <sheetViews>
    <sheetView tabSelected="1" workbookViewId="0"/>
  </sheetViews>
  <sheetFormatPr defaultColWidth="11.42578125" defaultRowHeight="15" outlineLevelCol="1"/>
  <cols>
    <col min="1" max="1" width="28.28515625" customWidth="1"/>
    <col min="2" max="2" width="11" hidden="1" customWidth="1" outlineLevel="1"/>
    <col min="3" max="3" width="32.5703125" customWidth="1" collapsed="1"/>
    <col min="4" max="6" width="11" customWidth="1"/>
    <col min="7" max="7" width="13.5703125" customWidth="1"/>
    <col min="8" max="10" width="11" customWidth="1"/>
    <col min="11" max="11" width="13.5703125" customWidth="1"/>
    <col min="15" max="15" width="13.5703125" customWidth="1"/>
  </cols>
  <sheetData>
    <row ht="14.95">
      <c s="48" t="s">
        <v>444</v>
      </c>
    </row>
    <row ht="14.95">
      <c s="49" t="s">
        <v>252</v>
      </c>
    </row>
    <row ht="24" customHeight="1">
      <c s="46" t="s">
        <v>373</v>
      </c>
    </row>
    <row ht="14.95">
      <c s="17"/>
      <c s="17"/>
      <c s="17"/>
      <c s="17"/>
      <c s="17"/>
      <c s="17"/>
      <c s="17"/>
    </row>
    <row ht="14.95">
      <c s="17" t="s">
        <v>132</v>
      </c>
      <c s="17"/>
      <c s="17"/>
      <c s="17"/>
      <c s="17"/>
      <c s="17"/>
      <c s="17"/>
      <c s="17"/>
      <c s="17"/>
      <c s="17"/>
      <c s="17"/>
    </row>
    <row ht="14.95">
      <c s="17" t="s">
        <v>369</v>
      </c>
    </row>
    <row ht="14.95">
      <c s="17" t="s">
        <v>162</v>
      </c>
    </row>
    <row ht="14.95">
      <c s="17" t="s">
        <v>315</v>
      </c>
      <c s="17"/>
      <c s="17"/>
      <c s="17"/>
      <c s="17"/>
      <c s="17"/>
      <c s="17"/>
      <c s="17"/>
      <c s="17"/>
      <c s="17"/>
      <c s="17"/>
    </row>
    <row ht="14.95">
      <c s="17" t="s">
        <v>474</v>
      </c>
      <c s="17"/>
      <c s="17"/>
      <c s="17"/>
      <c s="17"/>
      <c s="17"/>
      <c s="17"/>
    </row>
    <row r="11" ht="14.95">
      <c r="D11" s="36" t="s">
        <v>30</v>
      </c>
      <c s="25"/>
      <c s="25"/>
      <c s="35"/>
      <c s="36" t="s">
        <v>443</v>
      </c>
      <c s="25"/>
      <c s="25"/>
      <c s="35"/>
      <c s="36" t="s">
        <v>340</v>
      </c>
      <c s="25"/>
      <c s="25"/>
      <c s="35"/>
    </row>
    <row ht="14.95">
      <c r="C12" s="47" t="s">
        <v>445</v>
      </c>
      <c s="26" t="s">
        <v>0</v>
      </c>
      <c s="26" t="s">
        <v>163</v>
      </c>
      <c s="34" t="s">
        <v>101</v>
      </c>
      <c s="33" t="s">
        <v>475</v>
      </c>
      <c s="26" t="s">
        <v>0</v>
      </c>
      <c s="26" t="s">
        <v>163</v>
      </c>
      <c s="34" t="s">
        <v>101</v>
      </c>
      <c s="33" t="s">
        <v>475</v>
      </c>
      <c s="26" t="s">
        <v>0</v>
      </c>
      <c s="26" t="s">
        <v>163</v>
      </c>
      <c s="34" t="s">
        <v>101</v>
      </c>
      <c s="33" t="s">
        <v>475</v>
      </c>
    </row>
    <row ht="14.95">
      <c s="40" t="s">
        <v>68</v>
      </c>
      <c s="14" t="s">
        <v>374</v>
      </c>
      <c s="14" t="s">
        <v>281</v>
      </c>
      <c s="13">
        <v>681.87</v>
      </c>
      <c s="8">
        <v>282.44999999999999</v>
      </c>
      <c s="12">
        <v>964.32000000000005</v>
      </c>
      <c s="7" t="s">
        <v>475</v>
      </c>
      <c s="13">
        <v>436</v>
      </c>
      <c s="8">
        <v>160</v>
      </c>
      <c s="12">
        <v>596</v>
      </c>
      <c s="7" t="s">
        <v>475</v>
      </c>
      <c s="13">
        <v>601</v>
      </c>
      <c s="8">
        <v>248</v>
      </c>
      <c s="12">
        <v>849</v>
      </c>
      <c s="7" t="s">
        <v>475</v>
      </c>
    </row>
    <row ht="14.95">
      <c s="45"/>
      <c s="6"/>
      <c s="6" t="s">
        <v>102</v>
      </c>
      <c s="3">
        <v>287.02999999999997</v>
      </c>
      <c s="2">
        <v>163.19</v>
      </c>
      <c s="1">
        <v>450.22000000000003</v>
      </c>
      <c s="5" t="s">
        <v>34</v>
      </c>
      <c s="3">
        <v>187</v>
      </c>
      <c s="2">
        <v>111</v>
      </c>
      <c s="1">
        <v>298</v>
      </c>
      <c s="5" t="s">
        <v>34</v>
      </c>
      <c s="3">
        <v>290</v>
      </c>
      <c s="2">
        <v>132</v>
      </c>
      <c s="1">
        <v>423</v>
      </c>
      <c s="5" t="s">
        <v>34</v>
      </c>
    </row>
    <row ht="14.95">
      <c s="45"/>
      <c s="6"/>
      <c s="16" t="s">
        <v>375</v>
      </c>
      <c s="1">
        <v>968.89999999999998</v>
      </c>
      <c s="1">
        <v>445.63999999999999</v>
      </c>
      <c s="1">
        <v>1414.54</v>
      </c>
      <c s="5" t="s">
        <v>34</v>
      </c>
      <c s="1">
        <v>623</v>
      </c>
      <c s="1">
        <v>271</v>
      </c>
      <c s="1">
        <v>894</v>
      </c>
      <c s="5" t="s">
        <v>34</v>
      </c>
      <c s="1">
        <v>891</v>
      </c>
      <c s="1">
        <v>381</v>
      </c>
      <c s="1">
        <v>1272</v>
      </c>
      <c s="5" t="s">
        <v>34</v>
      </c>
    </row>
    <row ht="14.95">
      <c s="45"/>
      <c s="6"/>
      <c s="6" t="s">
        <v>35</v>
      </c>
      <c s="3">
        <v>4818.25</v>
      </c>
      <c s="2">
        <v>2491.7399999999998</v>
      </c>
      <c s="1">
        <v>7309.9899999999998</v>
      </c>
      <c s="5" t="s">
        <v>34</v>
      </c>
      <c s="3">
        <v>5255</v>
      </c>
      <c s="2">
        <v>2780</v>
      </c>
      <c s="1">
        <v>8035</v>
      </c>
      <c s="5" t="s">
        <v>34</v>
      </c>
      <c s="3">
        <v>5694</v>
      </c>
      <c s="2">
        <v>2759</v>
      </c>
      <c s="1">
        <v>8453</v>
      </c>
      <c s="5" t="s">
        <v>34</v>
      </c>
    </row>
    <row ht="14.95">
      <c s="43"/>
      <c s="15"/>
      <c s="15" t="s">
        <v>164</v>
      </c>
      <c s="9">
        <v>171.56999999999999</v>
      </c>
      <c s="10">
        <v>153.34999999999999</v>
      </c>
      <c s="11">
        <v>324.93000000000001</v>
      </c>
      <c s="4" t="s">
        <v>34</v>
      </c>
      <c s="9">
        <v>191</v>
      </c>
      <c s="10">
        <v>177</v>
      </c>
      <c s="11">
        <v>369</v>
      </c>
      <c s="4" t="s">
        <v>34</v>
      </c>
      <c s="9">
        <v>268</v>
      </c>
      <c s="10">
        <v>207</v>
      </c>
      <c s="11">
        <v>475</v>
      </c>
      <c s="4" t="s">
        <v>34</v>
      </c>
    </row>
    <row ht="14.95">
      <c s="18" t="s">
        <v>376</v>
      </c>
      <c s="14" t="s">
        <v>1</v>
      </c>
      <c s="14" t="s">
        <v>281</v>
      </c>
      <c s="13">
        <v>278.07999999999998</v>
      </c>
      <c s="8">
        <v>137.63</v>
      </c>
      <c s="12">
        <v>415.70999999999998</v>
      </c>
      <c s="7" t="s">
        <v>475</v>
      </c>
      <c s="13">
        <v>163</v>
      </c>
      <c s="8">
        <v>70</v>
      </c>
      <c s="12">
        <v>233</v>
      </c>
      <c s="7" t="s">
        <v>475</v>
      </c>
      <c s="13">
        <v>245</v>
      </c>
      <c s="8">
        <v>102</v>
      </c>
      <c s="12">
        <v>348</v>
      </c>
      <c s="7" t="s">
        <v>475</v>
      </c>
    </row>
    <row ht="14.95">
      <c s="20"/>
      <c s="6"/>
      <c s="6" t="s">
        <v>102</v>
      </c>
      <c s="3">
        <v>114.44</v>
      </c>
      <c s="2">
        <v>64.189999999999998</v>
      </c>
      <c s="1">
        <v>178.62</v>
      </c>
      <c s="5" t="s">
        <v>34</v>
      </c>
      <c s="3">
        <v>89</v>
      </c>
      <c s="2">
        <v>39</v>
      </c>
      <c s="1">
        <v>129</v>
      </c>
      <c s="5" t="s">
        <v>34</v>
      </c>
      <c s="3">
        <v>171</v>
      </c>
      <c s="2">
        <v>69</v>
      </c>
      <c s="1">
        <v>240</v>
      </c>
      <c s="5" t="s">
        <v>34</v>
      </c>
    </row>
    <row ht="14.95">
      <c s="20"/>
      <c s="6"/>
      <c s="16" t="s">
        <v>375</v>
      </c>
      <c s="1">
        <v>392.51999999999998</v>
      </c>
      <c s="1">
        <v>201.81999999999999</v>
      </c>
      <c s="1">
        <v>594.32999999999993</v>
      </c>
      <c s="5" t="s">
        <v>34</v>
      </c>
      <c s="1">
        <v>252</v>
      </c>
      <c s="1">
        <v>109</v>
      </c>
      <c s="1">
        <v>361</v>
      </c>
      <c s="5" t="s">
        <v>34</v>
      </c>
      <c s="1">
        <v>416</v>
      </c>
      <c s="1">
        <v>172</v>
      </c>
      <c s="1">
        <v>588</v>
      </c>
      <c s="5" t="s">
        <v>34</v>
      </c>
    </row>
    <row ht="14.95">
      <c s="20"/>
      <c s="6"/>
      <c s="6" t="s">
        <v>35</v>
      </c>
      <c s="3">
        <v>1537.1400000000001</v>
      </c>
      <c s="2">
        <v>762.70000000000005</v>
      </c>
      <c s="1">
        <v>2299.8400000000001</v>
      </c>
      <c s="5" t="s">
        <v>34</v>
      </c>
      <c s="3">
        <v>1611</v>
      </c>
      <c s="2">
        <v>814</v>
      </c>
      <c s="1">
        <v>2426</v>
      </c>
      <c s="5" t="s">
        <v>34</v>
      </c>
      <c s="3">
        <v>1981</v>
      </c>
      <c s="2">
        <v>1081</v>
      </c>
      <c s="1">
        <v>3062</v>
      </c>
      <c s="5" t="s">
        <v>34</v>
      </c>
    </row>
    <row ht="14.95">
      <c s="19"/>
      <c s="15"/>
      <c s="15" t="s">
        <v>164</v>
      </c>
      <c s="9">
        <v>73.659999999999997</v>
      </c>
      <c s="10">
        <v>32.009999999999998</v>
      </c>
      <c s="11">
        <v>105.67</v>
      </c>
      <c s="4" t="s">
        <v>34</v>
      </c>
      <c s="9">
        <v>39</v>
      </c>
      <c s="10">
        <v>25</v>
      </c>
      <c s="11">
        <v>64</v>
      </c>
      <c s="4" t="s">
        <v>34</v>
      </c>
      <c s="9">
        <v>91</v>
      </c>
      <c s="10">
        <v>48</v>
      </c>
      <c s="11">
        <v>139</v>
      </c>
      <c s="4" t="s">
        <v>34</v>
      </c>
    </row>
    <row ht="14.95">
      <c s="18" t="s">
        <v>253</v>
      </c>
      <c s="14" t="s">
        <v>133</v>
      </c>
      <c s="14" t="s">
        <v>281</v>
      </c>
      <c s="13">
        <v>189.43000000000001</v>
      </c>
      <c s="8">
        <v>156.15000000000001</v>
      </c>
      <c s="12">
        <v>345.58999999999997</v>
      </c>
      <c s="7" t="s">
        <v>475</v>
      </c>
      <c s="13">
        <v>127</v>
      </c>
      <c s="8">
        <v>88</v>
      </c>
      <c s="12">
        <v>216</v>
      </c>
      <c s="7" t="s">
        <v>475</v>
      </c>
      <c s="13">
        <v>195</v>
      </c>
      <c s="8">
        <v>100</v>
      </c>
      <c s="12">
        <v>295</v>
      </c>
      <c s="7" t="s">
        <v>475</v>
      </c>
    </row>
    <row ht="14.95">
      <c s="20"/>
      <c s="6"/>
      <c s="6" t="s">
        <v>102</v>
      </c>
      <c s="3">
        <v>79.459999999999994</v>
      </c>
      <c s="2">
        <v>79.400000000000006</v>
      </c>
      <c s="1">
        <v>158.86000000000001</v>
      </c>
      <c s="5" t="s">
        <v>34</v>
      </c>
      <c s="3">
        <v>81</v>
      </c>
      <c s="2">
        <v>47</v>
      </c>
      <c s="1">
        <v>128</v>
      </c>
      <c s="5" t="s">
        <v>34</v>
      </c>
      <c s="3">
        <v>107</v>
      </c>
      <c s="2">
        <v>91</v>
      </c>
      <c s="1">
        <v>198</v>
      </c>
      <c s="5" t="s">
        <v>34</v>
      </c>
    </row>
    <row ht="14.95">
      <c s="20"/>
      <c s="6"/>
      <c s="16" t="s">
        <v>375</v>
      </c>
      <c s="1">
        <v>268.88999999999999</v>
      </c>
      <c s="1">
        <v>235.55000000000001</v>
      </c>
      <c s="1">
        <v>504.44999999999999</v>
      </c>
      <c s="5" t="s">
        <v>34</v>
      </c>
      <c s="1">
        <v>209</v>
      </c>
      <c s="1">
        <v>135</v>
      </c>
      <c s="1">
        <v>344</v>
      </c>
      <c s="5" t="s">
        <v>34</v>
      </c>
      <c s="1">
        <v>302</v>
      </c>
      <c s="1">
        <v>191</v>
      </c>
      <c s="1">
        <v>493</v>
      </c>
      <c s="5" t="s">
        <v>34</v>
      </c>
    </row>
    <row ht="14.95">
      <c s="20"/>
      <c s="6"/>
      <c s="6" t="s">
        <v>35</v>
      </c>
      <c s="3">
        <v>2068.0799999999999</v>
      </c>
      <c s="2">
        <v>1594.5599999999999</v>
      </c>
      <c s="1">
        <v>3662.6399999999999</v>
      </c>
      <c s="5" t="s">
        <v>34</v>
      </c>
      <c s="3">
        <v>2022</v>
      </c>
      <c s="2">
        <v>1699</v>
      </c>
      <c s="1">
        <v>3721</v>
      </c>
      <c s="5" t="s">
        <v>34</v>
      </c>
      <c s="3">
        <v>2050</v>
      </c>
      <c s="2">
        <v>1716</v>
      </c>
      <c s="1">
        <v>3766</v>
      </c>
      <c s="5" t="s">
        <v>34</v>
      </c>
    </row>
    <row ht="14.95">
      <c s="19"/>
      <c s="15"/>
      <c s="15" t="s">
        <v>164</v>
      </c>
      <c s="9">
        <v>71.269999999999996</v>
      </c>
      <c s="10">
        <v>63.490000000000002</v>
      </c>
      <c s="11">
        <v>134.75</v>
      </c>
      <c s="4" t="s">
        <v>34</v>
      </c>
      <c s="9">
        <v>70</v>
      </c>
      <c s="10">
        <v>64</v>
      </c>
      <c s="11">
        <v>133</v>
      </c>
      <c s="4" t="s">
        <v>34</v>
      </c>
      <c s="9">
        <v>50</v>
      </c>
      <c s="10">
        <v>54</v>
      </c>
      <c s="11">
        <v>104</v>
      </c>
      <c s="4" t="s">
        <v>34</v>
      </c>
    </row>
    <row ht="14.95">
      <c s="18" t="s">
        <v>408</v>
      </c>
      <c s="14" t="s">
        <v>69</v>
      </c>
      <c s="14" t="s">
        <v>281</v>
      </c>
      <c s="13">
        <v>50.200000000000003</v>
      </c>
      <c s="8">
        <v>41.200000000000003</v>
      </c>
      <c s="12">
        <v>91.400000000000006</v>
      </c>
      <c s="7" t="s">
        <v>475</v>
      </c>
      <c s="13">
        <v>96</v>
      </c>
      <c s="8">
        <v>74</v>
      </c>
      <c s="12">
        <v>170</v>
      </c>
      <c s="7" t="s">
        <v>475</v>
      </c>
      <c s="13">
        <v>107</v>
      </c>
      <c s="8">
        <v>75</v>
      </c>
      <c s="12">
        <v>182</v>
      </c>
      <c s="7" t="s">
        <v>475</v>
      </c>
    </row>
    <row ht="14.95">
      <c s="20"/>
      <c s="6"/>
      <c s="6" t="s">
        <v>102</v>
      </c>
      <c s="3">
        <v>30.300000000000001</v>
      </c>
      <c s="2">
        <v>13.300000000000001</v>
      </c>
      <c s="1">
        <v>43.600000000000001</v>
      </c>
      <c s="5" t="s">
        <v>34</v>
      </c>
      <c s="3">
        <v>40</v>
      </c>
      <c s="2">
        <v>28</v>
      </c>
      <c s="1">
        <v>68</v>
      </c>
      <c s="5" t="s">
        <v>34</v>
      </c>
      <c s="3">
        <v>35</v>
      </c>
      <c s="2">
        <v>25</v>
      </c>
      <c s="1">
        <v>60</v>
      </c>
      <c s="5" t="s">
        <v>34</v>
      </c>
    </row>
    <row ht="14.95">
      <c s="20"/>
      <c s="6"/>
      <c s="16" t="s">
        <v>375</v>
      </c>
      <c s="1">
        <v>80.5</v>
      </c>
      <c s="1">
        <v>54.5</v>
      </c>
      <c s="1">
        <v>135</v>
      </c>
      <c s="5" t="s">
        <v>34</v>
      </c>
      <c s="1">
        <v>136</v>
      </c>
      <c s="1">
        <v>102</v>
      </c>
      <c s="1">
        <v>238</v>
      </c>
      <c s="5" t="s">
        <v>34</v>
      </c>
      <c s="1">
        <v>142</v>
      </c>
      <c s="1">
        <v>100</v>
      </c>
      <c s="1">
        <v>242</v>
      </c>
      <c s="5" t="s">
        <v>34</v>
      </c>
    </row>
    <row ht="14.95">
      <c s="20"/>
      <c s="6"/>
      <c s="6" t="s">
        <v>35</v>
      </c>
      <c s="3">
        <v>92.299999999999997</v>
      </c>
      <c s="2">
        <v>64.200000000000003</v>
      </c>
      <c s="1">
        <v>156.5</v>
      </c>
      <c s="5" t="s">
        <v>34</v>
      </c>
      <c s="3">
        <v>263</v>
      </c>
      <c s="2">
        <v>245</v>
      </c>
      <c s="1">
        <v>508</v>
      </c>
      <c s="5" t="s">
        <v>34</v>
      </c>
      <c s="3">
        <v>281</v>
      </c>
      <c s="2">
        <v>292</v>
      </c>
      <c s="1">
        <v>573</v>
      </c>
      <c s="5" t="s">
        <v>34</v>
      </c>
    </row>
    <row ht="14.95">
      <c s="19"/>
      <c s="15"/>
      <c s="15" t="s">
        <v>164</v>
      </c>
      <c s="9">
        <v>237</v>
      </c>
      <c s="10">
        <v>239</v>
      </c>
      <c s="11">
        <v>476</v>
      </c>
      <c s="4" t="s">
        <v>34</v>
      </c>
      <c s="9">
        <v>48</v>
      </c>
      <c s="10">
        <v>38</v>
      </c>
      <c s="11">
        <v>86</v>
      </c>
      <c s="4" t="s">
        <v>34</v>
      </c>
      <c s="9">
        <v>27</v>
      </c>
      <c s="10">
        <v>22</v>
      </c>
      <c s="11">
        <v>49</v>
      </c>
      <c s="4" t="s">
        <v>34</v>
      </c>
    </row>
    <row ht="14.95">
      <c s="18" t="s">
        <v>254</v>
      </c>
      <c s="14" t="s">
        <v>194</v>
      </c>
      <c s="14" t="s">
        <v>281</v>
      </c>
      <c s="13">
        <v>67</v>
      </c>
      <c s="8">
        <v>49</v>
      </c>
      <c s="12">
        <v>116</v>
      </c>
      <c s="7" t="s">
        <v>475</v>
      </c>
      <c s="13">
        <v>36</v>
      </c>
      <c s="8">
        <v>26</v>
      </c>
      <c s="12">
        <v>62</v>
      </c>
      <c s="7" t="s">
        <v>475</v>
      </c>
      <c s="13">
        <v>32</v>
      </c>
      <c s="8">
        <v>35</v>
      </c>
      <c s="12">
        <v>66</v>
      </c>
      <c s="7" t="s">
        <v>475</v>
      </c>
    </row>
    <row ht="14.95">
      <c s="20"/>
      <c s="6"/>
      <c s="6" t="s">
        <v>102</v>
      </c>
      <c s="3">
        <v>60</v>
      </c>
      <c s="2">
        <v>33</v>
      </c>
      <c s="1">
        <v>93</v>
      </c>
      <c s="5" t="s">
        <v>34</v>
      </c>
      <c s="3">
        <v>19</v>
      </c>
      <c s="2">
        <v>36</v>
      </c>
      <c s="1">
        <v>55</v>
      </c>
      <c s="5" t="s">
        <v>34</v>
      </c>
      <c s="3">
        <v>35</v>
      </c>
      <c s="2">
        <v>20</v>
      </c>
      <c s="1">
        <v>55</v>
      </c>
      <c s="5" t="s">
        <v>34</v>
      </c>
    </row>
    <row ht="14.95">
      <c s="20"/>
      <c s="6"/>
      <c s="16" t="s">
        <v>375</v>
      </c>
      <c s="1">
        <v>127</v>
      </c>
      <c s="1">
        <v>82</v>
      </c>
      <c s="1">
        <v>209</v>
      </c>
      <c s="5" t="s">
        <v>34</v>
      </c>
      <c s="1">
        <v>55</v>
      </c>
      <c s="1">
        <v>62</v>
      </c>
      <c s="1">
        <v>117</v>
      </c>
      <c s="5" t="s">
        <v>34</v>
      </c>
      <c s="1">
        <v>66</v>
      </c>
      <c s="1">
        <v>55</v>
      </c>
      <c s="1">
        <v>121</v>
      </c>
      <c s="5" t="s">
        <v>34</v>
      </c>
    </row>
    <row ht="14.95">
      <c s="20"/>
      <c s="6"/>
      <c s="6" t="s">
        <v>35</v>
      </c>
      <c s="3">
        <v>132</v>
      </c>
      <c s="2">
        <v>100.33</v>
      </c>
      <c s="1">
        <v>232.33000000000001</v>
      </c>
      <c s="5" t="s">
        <v>34</v>
      </c>
      <c s="3">
        <v>123</v>
      </c>
      <c s="2">
        <v>136</v>
      </c>
      <c s="1">
        <v>259</v>
      </c>
      <c s="5" t="s">
        <v>34</v>
      </c>
      <c s="3">
        <v>173</v>
      </c>
      <c s="2">
        <v>155</v>
      </c>
      <c s="1">
        <v>328</v>
      </c>
      <c s="5" t="s">
        <v>34</v>
      </c>
    </row>
    <row ht="14.95">
      <c s="19"/>
      <c s="15"/>
      <c s="15" t="s">
        <v>164</v>
      </c>
      <c s="9">
        <v>6</v>
      </c>
      <c s="10">
        <v>5.6699999999999999</v>
      </c>
      <c s="11">
        <v>11.67</v>
      </c>
      <c s="4" t="s">
        <v>34</v>
      </c>
      <c s="9">
        <v>4</v>
      </c>
      <c s="10">
        <v>3</v>
      </c>
      <c s="11">
        <v>7</v>
      </c>
      <c s="4" t="s">
        <v>34</v>
      </c>
      <c s="9">
        <v>4</v>
      </c>
      <c s="10">
        <v>7</v>
      </c>
      <c s="11">
        <v>12</v>
      </c>
      <c s="4" t="s">
        <v>34</v>
      </c>
    </row>
    <row ht="14.95">
      <c s="18" t="s">
        <v>165</v>
      </c>
      <c s="14" t="s">
        <v>446</v>
      </c>
      <c s="14" t="s">
        <v>281</v>
      </c>
      <c s="13">
        <v>107</v>
      </c>
      <c s="8">
        <v>59</v>
      </c>
      <c s="12">
        <v>166</v>
      </c>
      <c s="7" t="s">
        <v>475</v>
      </c>
      <c s="13">
        <v>68</v>
      </c>
      <c s="8">
        <v>48</v>
      </c>
      <c s="12">
        <v>116</v>
      </c>
      <c s="7" t="s">
        <v>475</v>
      </c>
      <c s="13">
        <v>72</v>
      </c>
      <c s="8">
        <v>44</v>
      </c>
      <c s="12">
        <v>116</v>
      </c>
      <c s="7" t="s">
        <v>475</v>
      </c>
    </row>
    <row ht="14.95">
      <c s="20"/>
      <c s="6"/>
      <c s="6" t="s">
        <v>102</v>
      </c>
      <c s="3">
        <v>42</v>
      </c>
      <c s="2">
        <v>51</v>
      </c>
      <c s="1">
        <v>93</v>
      </c>
      <c s="5" t="s">
        <v>34</v>
      </c>
      <c s="3">
        <v>44</v>
      </c>
      <c s="2">
        <v>24</v>
      </c>
      <c s="1">
        <v>68</v>
      </c>
      <c s="5" t="s">
        <v>34</v>
      </c>
      <c s="3">
        <v>36</v>
      </c>
      <c s="2">
        <v>31</v>
      </c>
      <c s="1">
        <v>67</v>
      </c>
      <c s="5" t="s">
        <v>34</v>
      </c>
    </row>
    <row ht="14.95">
      <c s="20"/>
      <c s="6"/>
      <c s="16" t="s">
        <v>375</v>
      </c>
      <c s="1">
        <v>149</v>
      </c>
      <c s="1">
        <v>110</v>
      </c>
      <c s="1">
        <v>259</v>
      </c>
      <c s="5" t="s">
        <v>34</v>
      </c>
      <c s="1">
        <v>112</v>
      </c>
      <c s="1">
        <v>72</v>
      </c>
      <c s="1">
        <v>184</v>
      </c>
      <c s="5" t="s">
        <v>34</v>
      </c>
      <c s="1">
        <v>108</v>
      </c>
      <c s="1">
        <v>75</v>
      </c>
      <c s="1">
        <v>183</v>
      </c>
      <c s="5" t="s">
        <v>34</v>
      </c>
    </row>
    <row ht="14.95">
      <c s="20"/>
      <c s="6"/>
      <c s="6" t="s">
        <v>35</v>
      </c>
      <c s="3">
        <v>112</v>
      </c>
      <c s="2">
        <v>95</v>
      </c>
      <c s="1">
        <v>207</v>
      </c>
      <c s="5" t="s">
        <v>34</v>
      </c>
      <c s="3">
        <v>125</v>
      </c>
      <c s="2">
        <v>135</v>
      </c>
      <c s="1">
        <v>260</v>
      </c>
      <c s="5" t="s">
        <v>34</v>
      </c>
      <c s="3">
        <v>133</v>
      </c>
      <c s="2">
        <v>123</v>
      </c>
      <c s="1">
        <v>256</v>
      </c>
      <c s="5" t="s">
        <v>34</v>
      </c>
    </row>
    <row ht="14.95">
      <c s="19"/>
      <c s="15"/>
      <c s="15" t="s">
        <v>164</v>
      </c>
      <c s="9">
        <v>5</v>
      </c>
      <c s="10">
        <v>4</v>
      </c>
      <c s="11">
        <v>9</v>
      </c>
      <c s="4" t="s">
        <v>34</v>
      </c>
      <c s="9">
        <v>4</v>
      </c>
      <c s="10">
        <v>3</v>
      </c>
      <c s="11">
        <v>7</v>
      </c>
      <c s="4" t="s">
        <v>34</v>
      </c>
      <c s="9">
        <v>8</v>
      </c>
      <c s="10">
        <v>2</v>
      </c>
      <c s="11">
        <v>10</v>
      </c>
      <c s="4" t="s">
        <v>34</v>
      </c>
    </row>
    <row ht="14.95">
      <c s="18" t="s">
        <v>409</v>
      </c>
      <c s="14" t="s">
        <v>255</v>
      </c>
      <c s="14" t="s">
        <v>281</v>
      </c>
      <c s="13">
        <v>214.38999999999999</v>
      </c>
      <c s="8">
        <v>111.40000000000001</v>
      </c>
      <c s="12">
        <v>325.79000000000002</v>
      </c>
      <c s="7" t="s">
        <v>475</v>
      </c>
      <c s="13">
        <v>101</v>
      </c>
      <c s="8">
        <v>41</v>
      </c>
      <c s="12">
        <v>142</v>
      </c>
      <c s="7" t="s">
        <v>475</v>
      </c>
      <c s="13">
        <v>111</v>
      </c>
      <c s="8">
        <v>51</v>
      </c>
      <c s="12">
        <v>162</v>
      </c>
      <c s="7" t="s">
        <v>475</v>
      </c>
    </row>
    <row ht="14.95">
      <c s="20"/>
      <c s="6"/>
      <c s="6" t="s">
        <v>102</v>
      </c>
      <c s="3">
        <v>70.489999999999995</v>
      </c>
      <c s="2">
        <v>33.579999999999998</v>
      </c>
      <c s="1">
        <v>104.06999999999999</v>
      </c>
      <c s="5" t="s">
        <v>34</v>
      </c>
      <c s="3">
        <v>50</v>
      </c>
      <c s="2">
        <v>16</v>
      </c>
      <c s="1">
        <v>66</v>
      </c>
      <c s="5" t="s">
        <v>34</v>
      </c>
      <c s="3">
        <v>69</v>
      </c>
      <c s="2">
        <v>33</v>
      </c>
      <c s="1">
        <v>102</v>
      </c>
      <c s="5" t="s">
        <v>34</v>
      </c>
    </row>
    <row ht="14.95">
      <c s="20"/>
      <c s="6"/>
      <c s="16" t="s">
        <v>375</v>
      </c>
      <c s="1">
        <v>284.88</v>
      </c>
      <c s="1">
        <v>144.98000000000002</v>
      </c>
      <c s="1">
        <v>429.86000000000001</v>
      </c>
      <c s="5" t="s">
        <v>34</v>
      </c>
      <c s="1">
        <v>151</v>
      </c>
      <c s="1">
        <v>57</v>
      </c>
      <c s="1">
        <v>208</v>
      </c>
      <c s="5" t="s">
        <v>34</v>
      </c>
      <c s="1">
        <v>180</v>
      </c>
      <c s="1">
        <v>84</v>
      </c>
      <c s="1">
        <v>264</v>
      </c>
      <c s="5" t="s">
        <v>34</v>
      </c>
    </row>
    <row ht="14.95">
      <c s="20"/>
      <c s="6"/>
      <c s="6" t="s">
        <v>35</v>
      </c>
      <c s="3">
        <v>1008.46</v>
      </c>
      <c s="2">
        <v>443.51999999999998</v>
      </c>
      <c s="1">
        <v>1451.98</v>
      </c>
      <c s="5" t="s">
        <v>34</v>
      </c>
      <c s="3">
        <v>1014</v>
      </c>
      <c s="2">
        <v>515</v>
      </c>
      <c s="1">
        <v>1530</v>
      </c>
      <c s="5" t="s">
        <v>34</v>
      </c>
      <c s="3">
        <v>955</v>
      </c>
      <c s="2">
        <v>485</v>
      </c>
      <c s="1">
        <v>1440</v>
      </c>
      <c s="5" t="s">
        <v>34</v>
      </c>
    </row>
    <row ht="14.95">
      <c s="19"/>
      <c s="15"/>
      <c s="15" t="s">
        <v>164</v>
      </c>
      <c s="9">
        <v>19.039999999999999</v>
      </c>
      <c s="10">
        <v>11.43</v>
      </c>
      <c s="11">
        <v>30.469999999999999</v>
      </c>
      <c s="4" t="s">
        <v>34</v>
      </c>
      <c s="9">
        <v>59</v>
      </c>
      <c s="10">
        <v>28</v>
      </c>
      <c s="11">
        <v>86</v>
      </c>
      <c s="4" t="s">
        <v>34</v>
      </c>
      <c s="9">
        <v>107</v>
      </c>
      <c s="10">
        <v>44</v>
      </c>
      <c s="11">
        <v>152</v>
      </c>
      <c s="4" t="s">
        <v>34</v>
      </c>
    </row>
    <row ht="14.95">
      <c s="18" t="s">
        <v>447</v>
      </c>
      <c s="14" t="s">
        <v>410</v>
      </c>
      <c s="14" t="s">
        <v>281</v>
      </c>
      <c s="13">
        <v>191.5</v>
      </c>
      <c s="8">
        <v>254.5</v>
      </c>
      <c s="12">
        <v>446</v>
      </c>
      <c s="7" t="s">
        <v>475</v>
      </c>
      <c s="13">
        <v>69</v>
      </c>
      <c s="8">
        <v>104</v>
      </c>
      <c s="12">
        <v>173</v>
      </c>
      <c s="7" t="s">
        <v>475</v>
      </c>
      <c s="13">
        <v>72</v>
      </c>
      <c s="8">
        <v>126</v>
      </c>
      <c s="12">
        <v>198</v>
      </c>
      <c s="7" t="s">
        <v>475</v>
      </c>
    </row>
    <row ht="14.95">
      <c s="20"/>
      <c s="6"/>
      <c s="6" t="s">
        <v>102</v>
      </c>
      <c s="3">
        <v>78</v>
      </c>
      <c s="2">
        <v>111.5</v>
      </c>
      <c s="1">
        <v>189.5</v>
      </c>
      <c s="5" t="s">
        <v>34</v>
      </c>
      <c s="3">
        <v>33</v>
      </c>
      <c s="2">
        <v>64</v>
      </c>
      <c s="1">
        <v>97</v>
      </c>
      <c s="5" t="s">
        <v>34</v>
      </c>
      <c s="3">
        <v>53</v>
      </c>
      <c s="2">
        <v>87</v>
      </c>
      <c s="1">
        <v>140</v>
      </c>
      <c s="5" t="s">
        <v>34</v>
      </c>
    </row>
    <row ht="14.95">
      <c s="20"/>
      <c s="6"/>
      <c s="16" t="s">
        <v>375</v>
      </c>
      <c s="1">
        <v>269.5</v>
      </c>
      <c s="1">
        <v>366</v>
      </c>
      <c s="1">
        <v>635.5</v>
      </c>
      <c s="5" t="s">
        <v>34</v>
      </c>
      <c s="1">
        <v>102</v>
      </c>
      <c s="1">
        <v>168</v>
      </c>
      <c s="1">
        <v>270</v>
      </c>
      <c s="5" t="s">
        <v>34</v>
      </c>
      <c s="1">
        <v>125</v>
      </c>
      <c s="1">
        <v>213</v>
      </c>
      <c s="1">
        <v>338</v>
      </c>
      <c s="5" t="s">
        <v>34</v>
      </c>
    </row>
    <row ht="14.95">
      <c s="20"/>
      <c s="6"/>
      <c s="6" t="s">
        <v>35</v>
      </c>
      <c s="3">
        <v>671</v>
      </c>
      <c s="2">
        <v>1591</v>
      </c>
      <c s="1">
        <v>2262</v>
      </c>
      <c s="5" t="s">
        <v>34</v>
      </c>
      <c s="3">
        <v>763</v>
      </c>
      <c s="2">
        <v>1677</v>
      </c>
      <c s="1">
        <v>2440</v>
      </c>
      <c s="5" t="s">
        <v>34</v>
      </c>
      <c s="3">
        <v>826</v>
      </c>
      <c s="2">
        <v>1728</v>
      </c>
      <c s="1">
        <v>2554</v>
      </c>
      <c s="5" t="s">
        <v>34</v>
      </c>
    </row>
    <row ht="14.95">
      <c s="19"/>
      <c s="15"/>
      <c s="15" t="s">
        <v>164</v>
      </c>
      <c s="9">
        <v>49</v>
      </c>
      <c s="10">
        <v>93</v>
      </c>
      <c s="11">
        <v>142</v>
      </c>
      <c s="4" t="s">
        <v>34</v>
      </c>
      <c s="9">
        <v>47</v>
      </c>
      <c s="10">
        <v>90</v>
      </c>
      <c s="11">
        <v>137</v>
      </c>
      <c s="4" t="s">
        <v>34</v>
      </c>
      <c s="9">
        <v>56</v>
      </c>
      <c s="10">
        <v>133</v>
      </c>
      <c s="11">
        <v>189</v>
      </c>
      <c s="4" t="s">
        <v>34</v>
      </c>
    </row>
    <row ht="14.95">
      <c s="18" t="s">
        <v>282</v>
      </c>
      <c s="14" t="s">
        <v>36</v>
      </c>
      <c s="14" t="s">
        <v>281</v>
      </c>
      <c s="13">
        <v>69.5</v>
      </c>
      <c s="8">
        <v>119.06</v>
      </c>
      <c s="12">
        <v>188.56</v>
      </c>
      <c s="7" t="s">
        <v>475</v>
      </c>
      <c s="13">
        <v>40</v>
      </c>
      <c s="8">
        <v>76</v>
      </c>
      <c s="12">
        <v>116</v>
      </c>
      <c s="7" t="s">
        <v>475</v>
      </c>
      <c s="13">
        <v>51</v>
      </c>
      <c s="8">
        <v>71</v>
      </c>
      <c s="12">
        <v>122</v>
      </c>
      <c s="7" t="s">
        <v>475</v>
      </c>
    </row>
    <row ht="14.95">
      <c s="20"/>
      <c s="6"/>
      <c s="6" t="s">
        <v>102</v>
      </c>
      <c s="3">
        <v>26.5</v>
      </c>
      <c s="2">
        <v>71.5</v>
      </c>
      <c s="1">
        <v>98</v>
      </c>
      <c s="5" t="s">
        <v>34</v>
      </c>
      <c s="3">
        <v>22</v>
      </c>
      <c s="2">
        <v>45</v>
      </c>
      <c s="1">
        <v>67</v>
      </c>
      <c s="5" t="s">
        <v>34</v>
      </c>
      <c s="3">
        <v>27</v>
      </c>
      <c s="2">
        <v>61</v>
      </c>
      <c s="1">
        <v>87</v>
      </c>
      <c s="5" t="s">
        <v>34</v>
      </c>
    </row>
    <row ht="14.95">
      <c s="20"/>
      <c s="6"/>
      <c s="16" t="s">
        <v>375</v>
      </c>
      <c s="1">
        <v>96</v>
      </c>
      <c s="1">
        <v>190.56</v>
      </c>
      <c s="1">
        <v>286.56</v>
      </c>
      <c s="5" t="s">
        <v>34</v>
      </c>
      <c s="1">
        <v>62</v>
      </c>
      <c s="1">
        <v>120</v>
      </c>
      <c s="1">
        <v>182</v>
      </c>
      <c s="5" t="s">
        <v>34</v>
      </c>
      <c s="1">
        <v>78</v>
      </c>
      <c s="1">
        <v>132</v>
      </c>
      <c s="1">
        <v>209</v>
      </c>
      <c s="5" t="s">
        <v>34</v>
      </c>
    </row>
    <row ht="14.95">
      <c s="20"/>
      <c s="6"/>
      <c s="6" t="s">
        <v>35</v>
      </c>
      <c s="3">
        <v>321.11000000000001</v>
      </c>
      <c s="2">
        <v>1079.3699999999999</v>
      </c>
      <c s="1">
        <v>1400.48</v>
      </c>
      <c s="5" t="s">
        <v>34</v>
      </c>
      <c s="3">
        <v>353</v>
      </c>
      <c s="2">
        <v>1135</v>
      </c>
      <c s="1">
        <v>1488</v>
      </c>
      <c s="5" t="s">
        <v>34</v>
      </c>
      <c s="3">
        <v>323</v>
      </c>
      <c s="2">
        <v>1116</v>
      </c>
      <c s="1">
        <v>1439</v>
      </c>
      <c s="5" t="s">
        <v>34</v>
      </c>
    </row>
    <row ht="14.95">
      <c s="19"/>
      <c s="15"/>
      <c s="15" t="s">
        <v>164</v>
      </c>
      <c s="9">
        <v>84.5</v>
      </c>
      <c s="10">
        <v>86</v>
      </c>
      <c s="11">
        <v>170.5</v>
      </c>
      <c s="4" t="s">
        <v>34</v>
      </c>
      <c s="9">
        <v>65</v>
      </c>
      <c s="10">
        <v>80</v>
      </c>
      <c s="11">
        <v>145</v>
      </c>
      <c s="4" t="s">
        <v>34</v>
      </c>
      <c s="9">
        <v>96</v>
      </c>
      <c s="10">
        <v>123</v>
      </c>
      <c s="11">
        <v>219</v>
      </c>
      <c s="4" t="s">
        <v>34</v>
      </c>
    </row>
    <row ht="14.95">
      <c s="18" t="s">
        <v>2</v>
      </c>
      <c s="14" t="s">
        <v>166</v>
      </c>
      <c s="14" t="s">
        <v>281</v>
      </c>
      <c s="28">
        <v>25</v>
      </c>
      <c s="29">
        <v>72</v>
      </c>
      <c s="31">
        <v>97</v>
      </c>
      <c s="7" t="s">
        <v>475</v>
      </c>
      <c s="28">
        <v>10</v>
      </c>
      <c s="29">
        <v>27</v>
      </c>
      <c s="31">
        <v>37</v>
      </c>
      <c s="7" t="s">
        <v>475</v>
      </c>
      <c s="28">
        <v>17</v>
      </c>
      <c s="29">
        <v>50</v>
      </c>
      <c s="31">
        <v>67</v>
      </c>
      <c s="7" t="s">
        <v>475</v>
      </c>
    </row>
    <row ht="14.95">
      <c s="20"/>
      <c s="6"/>
      <c s="6" t="s">
        <v>102</v>
      </c>
      <c s="23">
        <v>16</v>
      </c>
      <c s="22">
        <v>32</v>
      </c>
      <c s="21">
        <v>48</v>
      </c>
      <c s="5" t="s">
        <v>34</v>
      </c>
      <c s="23">
        <v>7</v>
      </c>
      <c s="22">
        <v>21</v>
      </c>
      <c s="21">
        <v>28</v>
      </c>
      <c s="5" t="s">
        <v>34</v>
      </c>
      <c s="23">
        <v>18</v>
      </c>
      <c s="22">
        <v>36</v>
      </c>
      <c s="21">
        <v>54</v>
      </c>
      <c s="5" t="s">
        <v>34</v>
      </c>
    </row>
    <row ht="14.95">
      <c s="20"/>
      <c s="6"/>
      <c s="16" t="s">
        <v>375</v>
      </c>
      <c s="21">
        <v>41</v>
      </c>
      <c s="21">
        <v>104</v>
      </c>
      <c s="21">
        <v>145</v>
      </c>
      <c s="5" t="s">
        <v>34</v>
      </c>
      <c s="21">
        <v>17</v>
      </c>
      <c s="21">
        <v>48</v>
      </c>
      <c s="21">
        <v>65</v>
      </c>
      <c s="5" t="s">
        <v>34</v>
      </c>
      <c s="21">
        <v>35</v>
      </c>
      <c s="21">
        <v>86</v>
      </c>
      <c s="21">
        <v>121</v>
      </c>
      <c s="5" t="s">
        <v>34</v>
      </c>
    </row>
    <row ht="14.95">
      <c s="20"/>
      <c s="6"/>
      <c s="6" t="s">
        <v>35</v>
      </c>
      <c s="23">
        <v>100</v>
      </c>
      <c s="22">
        <v>356</v>
      </c>
      <c s="21">
        <v>456</v>
      </c>
      <c s="5" t="s">
        <v>34</v>
      </c>
      <c s="23">
        <v>113</v>
      </c>
      <c s="22">
        <v>345</v>
      </c>
      <c s="21">
        <v>458</v>
      </c>
      <c s="5" t="s">
        <v>34</v>
      </c>
      <c s="23">
        <v>130</v>
      </c>
      <c s="22">
        <v>415</v>
      </c>
      <c s="21">
        <v>545</v>
      </c>
      <c s="5" t="s">
        <v>34</v>
      </c>
    </row>
    <row ht="14.95">
      <c s="19"/>
      <c s="15"/>
      <c s="15" t="s">
        <v>164</v>
      </c>
      <c s="30">
        <v>5</v>
      </c>
      <c s="27">
        <v>14</v>
      </c>
      <c s="32">
        <v>19</v>
      </c>
      <c s="4" t="s">
        <v>34</v>
      </c>
      <c s="30">
        <v>5</v>
      </c>
      <c s="27">
        <v>12</v>
      </c>
      <c s="32">
        <v>17</v>
      </c>
      <c s="4" t="s">
        <v>34</v>
      </c>
      <c s="30">
        <v>6</v>
      </c>
      <c s="27">
        <v>17</v>
      </c>
      <c s="32">
        <v>23</v>
      </c>
      <c s="4" t="s">
        <v>34</v>
      </c>
    </row>
    <row ht="14.95">
      <c s="18" t="s">
        <v>411</v>
      </c>
      <c s="14" t="s">
        <v>283</v>
      </c>
      <c s="14" t="s">
        <v>281</v>
      </c>
      <c s="13">
        <v>140.72</v>
      </c>
      <c s="8">
        <v>97.700000000000003</v>
      </c>
      <c s="12">
        <v>238.41999999999999</v>
      </c>
      <c s="7" t="s">
        <v>475</v>
      </c>
      <c s="13">
        <v>113</v>
      </c>
      <c s="8">
        <v>61</v>
      </c>
      <c s="12">
        <v>173</v>
      </c>
      <c s="7" t="s">
        <v>475</v>
      </c>
      <c s="13">
        <v>125</v>
      </c>
      <c s="8">
        <v>77</v>
      </c>
      <c s="12">
        <v>202</v>
      </c>
      <c s="7" t="s">
        <v>475</v>
      </c>
    </row>
    <row ht="14.95">
      <c s="20"/>
      <c s="6"/>
      <c s="6" t="s">
        <v>102</v>
      </c>
      <c s="3">
        <v>47.93</v>
      </c>
      <c s="2">
        <v>49.799999999999997</v>
      </c>
      <c s="1">
        <v>97.730000000000004</v>
      </c>
      <c s="5" t="s">
        <v>34</v>
      </c>
      <c s="3">
        <v>42</v>
      </c>
      <c s="2">
        <v>28</v>
      </c>
      <c s="1">
        <v>70</v>
      </c>
      <c s="5" t="s">
        <v>34</v>
      </c>
      <c s="3">
        <v>51</v>
      </c>
      <c s="2">
        <v>47</v>
      </c>
      <c s="1">
        <v>98</v>
      </c>
      <c s="5" t="s">
        <v>34</v>
      </c>
    </row>
    <row ht="14.95">
      <c s="20"/>
      <c s="6"/>
      <c s="16" t="s">
        <v>375</v>
      </c>
      <c s="1">
        <v>188.65000000000001</v>
      </c>
      <c s="1">
        <v>147.5</v>
      </c>
      <c s="1">
        <v>336.14999999999998</v>
      </c>
      <c s="5" t="s">
        <v>34</v>
      </c>
      <c s="1">
        <v>155</v>
      </c>
      <c s="1">
        <v>89</v>
      </c>
      <c s="1">
        <v>244</v>
      </c>
      <c s="5" t="s">
        <v>34</v>
      </c>
      <c s="1">
        <v>176</v>
      </c>
      <c s="1">
        <v>124</v>
      </c>
      <c s="1">
        <v>300</v>
      </c>
      <c s="5" t="s">
        <v>34</v>
      </c>
    </row>
    <row ht="14.95">
      <c s="20"/>
      <c s="6"/>
      <c s="6" t="s">
        <v>35</v>
      </c>
      <c s="3">
        <v>486.70999999999998</v>
      </c>
      <c s="2">
        <v>405.5</v>
      </c>
      <c s="1">
        <v>892.21000000000004</v>
      </c>
      <c s="5" t="s">
        <v>34</v>
      </c>
      <c s="3">
        <v>569</v>
      </c>
      <c s="2">
        <v>559</v>
      </c>
      <c s="1">
        <v>1128</v>
      </c>
      <c s="5" t="s">
        <v>34</v>
      </c>
      <c s="3">
        <v>533</v>
      </c>
      <c s="2">
        <v>651</v>
      </c>
      <c s="1">
        <v>1183</v>
      </c>
      <c s="5" t="s">
        <v>34</v>
      </c>
    </row>
    <row ht="14.95">
      <c s="19"/>
      <c s="15"/>
      <c s="15" t="s">
        <v>164</v>
      </c>
      <c s="9">
        <v>7.6600000000000001</v>
      </c>
      <c s="10">
        <v>8</v>
      </c>
      <c s="11">
        <v>15.66</v>
      </c>
      <c s="4" t="s">
        <v>34</v>
      </c>
      <c s="9">
        <v>13</v>
      </c>
      <c s="10">
        <v>14</v>
      </c>
      <c s="11">
        <v>27</v>
      </c>
      <c s="4" t="s">
        <v>34</v>
      </c>
      <c s="9">
        <v>23</v>
      </c>
      <c s="10">
        <v>22</v>
      </c>
      <c s="11">
        <v>45</v>
      </c>
      <c s="4" t="s">
        <v>34</v>
      </c>
    </row>
    <row ht="14.95">
      <c s="18" t="s">
        <v>195</v>
      </c>
      <c s="14" t="s">
        <v>412</v>
      </c>
      <c s="14" t="s">
        <v>281</v>
      </c>
      <c s="8">
        <v>84.280000000000001</v>
      </c>
      <c s="8">
        <v>25.579999999999998</v>
      </c>
      <c s="41">
        <v>109.86</v>
      </c>
      <c s="7" t="s">
        <v>475</v>
      </c>
      <c s="13">
        <v>59</v>
      </c>
      <c s="8">
        <v>12</v>
      </c>
      <c s="12">
        <v>72</v>
      </c>
      <c s="7" t="s">
        <v>475</v>
      </c>
      <c s="13">
        <v>43</v>
      </c>
      <c s="8">
        <v>17</v>
      </c>
      <c s="12">
        <v>60</v>
      </c>
      <c s="7" t="s">
        <v>475</v>
      </c>
    </row>
    <row ht="14.95">
      <c s="20"/>
      <c s="6"/>
      <c s="6" t="s">
        <v>102</v>
      </c>
      <c s="2">
        <v>29.07</v>
      </c>
      <c s="3">
        <v>7.7599999999999998</v>
      </c>
      <c s="38">
        <v>36.829999999999998</v>
      </c>
      <c s="5" t="s">
        <v>34</v>
      </c>
      <c s="3">
        <v>30</v>
      </c>
      <c s="2" t="s">
        <v>317</v>
      </c>
      <c s="1">
        <v>30</v>
      </c>
      <c s="5" t="s">
        <v>34</v>
      </c>
      <c s="3">
        <v>35</v>
      </c>
      <c s="2">
        <v>7</v>
      </c>
      <c s="1">
        <v>42</v>
      </c>
      <c s="5" t="s">
        <v>34</v>
      </c>
    </row>
    <row ht="14.95">
      <c s="20"/>
      <c s="6"/>
      <c s="16" t="s">
        <v>375</v>
      </c>
      <c s="38">
        <v>113.34999999999999</v>
      </c>
      <c s="38">
        <v>33.339999999999996</v>
      </c>
      <c s="38">
        <v>146.69</v>
      </c>
      <c s="5" t="s">
        <v>34</v>
      </c>
      <c s="1">
        <v>89</v>
      </c>
      <c s="1">
        <v>12</v>
      </c>
      <c s="1">
        <v>101</v>
      </c>
      <c s="5" t="s">
        <v>34</v>
      </c>
      <c s="1">
        <v>78</v>
      </c>
      <c s="1">
        <v>25</v>
      </c>
      <c s="1">
        <v>102</v>
      </c>
      <c s="5" t="s">
        <v>34</v>
      </c>
    </row>
    <row ht="14.95">
      <c s="20"/>
      <c s="6"/>
      <c s="6" t="s">
        <v>35</v>
      </c>
      <c s="2">
        <v>143.84999999999999</v>
      </c>
      <c s="2">
        <v>28.059999999999999</v>
      </c>
      <c s="38">
        <v>171.91</v>
      </c>
      <c s="5" t="s">
        <v>34</v>
      </c>
      <c s="3">
        <v>145</v>
      </c>
      <c s="2">
        <v>34</v>
      </c>
      <c s="1">
        <v>179</v>
      </c>
      <c s="5" t="s">
        <v>34</v>
      </c>
      <c s="3">
        <v>140</v>
      </c>
      <c s="2">
        <v>41</v>
      </c>
      <c s="1">
        <v>181</v>
      </c>
      <c s="5" t="s">
        <v>34</v>
      </c>
    </row>
    <row ht="14.95">
      <c s="19"/>
      <c s="15"/>
      <c s="15" t="s">
        <v>164</v>
      </c>
      <c s="10">
        <v>6.3399999999999999</v>
      </c>
      <c s="9">
        <v>0</v>
      </c>
      <c s="44">
        <v>6.3399999999999999</v>
      </c>
      <c s="4" t="s">
        <v>34</v>
      </c>
      <c s="9">
        <v>5</v>
      </c>
      <c s="10" t="s">
        <v>317</v>
      </c>
      <c s="11">
        <v>5</v>
      </c>
      <c s="4" t="s">
        <v>34</v>
      </c>
      <c s="9">
        <v>1</v>
      </c>
      <c s="10">
        <v>0</v>
      </c>
      <c s="11">
        <v>1</v>
      </c>
      <c s="4" t="s">
        <v>34</v>
      </c>
    </row>
    <row ht="14.95">
      <c s="18" t="s">
        <v>3</v>
      </c>
      <c s="14" t="s">
        <v>37</v>
      </c>
      <c s="14" t="s">
        <v>281</v>
      </c>
      <c s="13">
        <v>269</v>
      </c>
      <c s="8">
        <v>218</v>
      </c>
      <c s="12">
        <v>487</v>
      </c>
      <c s="7" t="s">
        <v>475</v>
      </c>
      <c s="13">
        <v>189</v>
      </c>
      <c s="8">
        <v>137</v>
      </c>
      <c s="12">
        <v>326</v>
      </c>
      <c s="7" t="s">
        <v>475</v>
      </c>
      <c s="13">
        <v>207</v>
      </c>
      <c s="8">
        <v>146</v>
      </c>
      <c s="12">
        <v>353</v>
      </c>
      <c s="7" t="s">
        <v>475</v>
      </c>
    </row>
    <row ht="14.95">
      <c s="20"/>
      <c s="6"/>
      <c s="6" t="s">
        <v>102</v>
      </c>
      <c s="3">
        <v>233</v>
      </c>
      <c s="2">
        <v>258</v>
      </c>
      <c s="1">
        <v>491</v>
      </c>
      <c s="5" t="s">
        <v>34</v>
      </c>
      <c s="3">
        <v>166</v>
      </c>
      <c s="2">
        <v>142</v>
      </c>
      <c s="1">
        <v>308</v>
      </c>
      <c s="5" t="s">
        <v>34</v>
      </c>
      <c s="3">
        <v>221</v>
      </c>
      <c s="2">
        <v>240</v>
      </c>
      <c s="1">
        <v>461</v>
      </c>
      <c s="5" t="s">
        <v>34</v>
      </c>
    </row>
    <row ht="14.95">
      <c s="20"/>
      <c s="6"/>
      <c s="16" t="s">
        <v>375</v>
      </c>
      <c s="1">
        <v>502</v>
      </c>
      <c s="1">
        <v>476</v>
      </c>
      <c s="1">
        <v>978</v>
      </c>
      <c s="5" t="s">
        <v>34</v>
      </c>
      <c s="1">
        <v>355</v>
      </c>
      <c s="1">
        <v>279</v>
      </c>
      <c s="1">
        <v>634</v>
      </c>
      <c s="5" t="s">
        <v>34</v>
      </c>
      <c s="1">
        <v>428</v>
      </c>
      <c s="1">
        <v>386</v>
      </c>
      <c s="1">
        <v>814</v>
      </c>
      <c s="5" t="s">
        <v>34</v>
      </c>
    </row>
    <row ht="14.95">
      <c s="20"/>
      <c s="6"/>
      <c s="6" t="s">
        <v>35</v>
      </c>
      <c s="3">
        <v>1158</v>
      </c>
      <c s="2">
        <v>1374</v>
      </c>
      <c s="1">
        <v>2532</v>
      </c>
      <c s="5" t="s">
        <v>34</v>
      </c>
      <c s="3">
        <v>1121</v>
      </c>
      <c s="2">
        <v>1306</v>
      </c>
      <c s="1">
        <v>2427</v>
      </c>
      <c s="5" t="s">
        <v>34</v>
      </c>
      <c s="3">
        <v>1189</v>
      </c>
      <c s="2">
        <v>1260</v>
      </c>
      <c s="1">
        <v>2449</v>
      </c>
      <c s="5" t="s">
        <v>34</v>
      </c>
    </row>
    <row ht="14.95">
      <c s="19"/>
      <c s="15"/>
      <c s="15" t="s">
        <v>164</v>
      </c>
      <c s="9">
        <v>22</v>
      </c>
      <c s="10">
        <v>36</v>
      </c>
      <c s="11">
        <v>58</v>
      </c>
      <c s="4" t="s">
        <v>34</v>
      </c>
      <c s="9">
        <v>17</v>
      </c>
      <c s="10">
        <v>19</v>
      </c>
      <c s="11">
        <v>36</v>
      </c>
      <c s="4" t="s">
        <v>34</v>
      </c>
      <c s="9">
        <v>37</v>
      </c>
      <c s="10">
        <v>35</v>
      </c>
      <c s="11">
        <v>72</v>
      </c>
      <c s="4" t="s">
        <v>34</v>
      </c>
    </row>
    <row ht="14.95">
      <c s="18" t="s">
        <v>413</v>
      </c>
      <c s="14" t="s">
        <v>167</v>
      </c>
      <c s="14" t="s">
        <v>281</v>
      </c>
      <c s="28">
        <v>96.930000000000007</v>
      </c>
      <c s="29">
        <v>88.659999999999997</v>
      </c>
      <c s="31">
        <v>185.59</v>
      </c>
      <c s="7" t="s">
        <v>475</v>
      </c>
      <c s="28">
        <v>41</v>
      </c>
      <c s="29">
        <v>26</v>
      </c>
      <c s="31">
        <v>67</v>
      </c>
      <c s="7" t="s">
        <v>475</v>
      </c>
      <c s="13">
        <v>47</v>
      </c>
      <c s="8">
        <v>38</v>
      </c>
      <c s="12">
        <v>86</v>
      </c>
      <c s="7" t="s">
        <v>475</v>
      </c>
    </row>
    <row ht="14.95">
      <c s="20"/>
      <c s="6"/>
      <c s="6" t="s">
        <v>102</v>
      </c>
      <c s="23">
        <v>88.989999999999995</v>
      </c>
      <c s="22">
        <v>81.540000000000006</v>
      </c>
      <c s="21">
        <v>170.53</v>
      </c>
      <c s="5" t="s">
        <v>34</v>
      </c>
      <c s="23">
        <v>55</v>
      </c>
      <c s="22">
        <v>37</v>
      </c>
      <c s="21">
        <v>93</v>
      </c>
      <c s="5" t="s">
        <v>34</v>
      </c>
      <c s="3">
        <v>61</v>
      </c>
      <c s="2">
        <v>41</v>
      </c>
      <c s="1">
        <v>103</v>
      </c>
      <c s="5" t="s">
        <v>34</v>
      </c>
    </row>
    <row ht="14.95">
      <c s="20"/>
      <c s="6"/>
      <c s="16" t="s">
        <v>375</v>
      </c>
      <c s="21">
        <v>185.92000000000002</v>
      </c>
      <c s="21">
        <v>170.19999999999999</v>
      </c>
      <c s="21">
        <v>356.12</v>
      </c>
      <c s="5" t="s">
        <v>34</v>
      </c>
      <c s="21">
        <v>96</v>
      </c>
      <c s="21">
        <v>64</v>
      </c>
      <c s="21">
        <v>159</v>
      </c>
      <c s="5" t="s">
        <v>34</v>
      </c>
      <c s="1">
        <v>109</v>
      </c>
      <c s="1">
        <v>79</v>
      </c>
      <c s="1">
        <v>188</v>
      </c>
      <c s="5" t="s">
        <v>34</v>
      </c>
    </row>
    <row ht="14.95">
      <c s="20"/>
      <c s="6"/>
      <c s="6" t="s">
        <v>35</v>
      </c>
      <c s="23">
        <v>861.60000000000002</v>
      </c>
      <c s="22">
        <v>944.22000000000003</v>
      </c>
      <c s="21">
        <v>1805.8199999999999</v>
      </c>
      <c s="5" t="s">
        <v>34</v>
      </c>
      <c s="23">
        <v>828</v>
      </c>
      <c s="22">
        <v>845</v>
      </c>
      <c s="21">
        <v>1674</v>
      </c>
      <c s="5" t="s">
        <v>34</v>
      </c>
      <c s="3">
        <v>825</v>
      </c>
      <c s="2">
        <v>901</v>
      </c>
      <c s="1">
        <v>1726</v>
      </c>
      <c s="5" t="s">
        <v>34</v>
      </c>
    </row>
    <row ht="14.95">
      <c s="19"/>
      <c s="15"/>
      <c s="15" t="s">
        <v>164</v>
      </c>
      <c s="30">
        <v>20.300000000000001</v>
      </c>
      <c s="27">
        <v>17.710000000000001</v>
      </c>
      <c s="32">
        <v>38.009999999999998</v>
      </c>
      <c s="4" t="s">
        <v>34</v>
      </c>
      <c s="30">
        <v>7</v>
      </c>
      <c s="27">
        <v>15</v>
      </c>
      <c s="32">
        <v>22</v>
      </c>
      <c s="4" t="s">
        <v>34</v>
      </c>
      <c s="9">
        <v>6</v>
      </c>
      <c s="10">
        <v>6</v>
      </c>
      <c s="11">
        <v>12</v>
      </c>
      <c s="4" t="s">
        <v>34</v>
      </c>
    </row>
    <row ht="14.95">
      <c s="18" t="s">
        <v>103</v>
      </c>
      <c s="14" t="s">
        <v>284</v>
      </c>
      <c s="14" t="s">
        <v>281</v>
      </c>
      <c s="13">
        <v>93.359999999999999</v>
      </c>
      <c s="8">
        <v>41.649999999999999</v>
      </c>
      <c s="12">
        <v>135</v>
      </c>
      <c s="7" t="s">
        <v>475</v>
      </c>
      <c s="13">
        <v>41</v>
      </c>
      <c s="8">
        <v>21</v>
      </c>
      <c s="12">
        <v>61</v>
      </c>
      <c s="7" t="s">
        <v>475</v>
      </c>
      <c s="13">
        <v>59</v>
      </c>
      <c s="8">
        <v>22</v>
      </c>
      <c s="12">
        <v>81</v>
      </c>
      <c s="7" t="s">
        <v>475</v>
      </c>
    </row>
    <row ht="14.95">
      <c s="20"/>
      <c s="6"/>
      <c s="6" t="s">
        <v>102</v>
      </c>
      <c s="3">
        <v>32.079999999999998</v>
      </c>
      <c s="2">
        <v>19.690000000000001</v>
      </c>
      <c s="1">
        <v>51.770000000000003</v>
      </c>
      <c s="5" t="s">
        <v>34</v>
      </c>
      <c s="3">
        <v>21</v>
      </c>
      <c s="2">
        <v>11</v>
      </c>
      <c s="1">
        <v>32</v>
      </c>
      <c s="5" t="s">
        <v>34</v>
      </c>
      <c s="3">
        <v>40</v>
      </c>
      <c s="2">
        <v>17</v>
      </c>
      <c s="1">
        <v>56</v>
      </c>
      <c s="5" t="s">
        <v>34</v>
      </c>
    </row>
    <row ht="14.95">
      <c s="20"/>
      <c s="6"/>
      <c s="16" t="s">
        <v>375</v>
      </c>
      <c s="1">
        <v>125.44</v>
      </c>
      <c s="1">
        <v>61.340000000000003</v>
      </c>
      <c s="1">
        <v>186.77000000000001</v>
      </c>
      <c s="5" t="s">
        <v>34</v>
      </c>
      <c s="1">
        <v>62</v>
      </c>
      <c s="1">
        <v>31</v>
      </c>
      <c s="1">
        <v>93</v>
      </c>
      <c s="5" t="s">
        <v>34</v>
      </c>
      <c s="1">
        <v>99</v>
      </c>
      <c s="1">
        <v>38</v>
      </c>
      <c s="1">
        <v>137</v>
      </c>
      <c s="5" t="s">
        <v>34</v>
      </c>
    </row>
    <row ht="14.95">
      <c s="20"/>
      <c s="6"/>
      <c s="6" t="s">
        <v>35</v>
      </c>
      <c s="3">
        <v>524.64999999999998</v>
      </c>
      <c s="2">
        <v>252.75</v>
      </c>
      <c s="1">
        <v>777.39999999999998</v>
      </c>
      <c s="5" t="s">
        <v>34</v>
      </c>
      <c s="3">
        <v>585</v>
      </c>
      <c s="2">
        <v>277</v>
      </c>
      <c s="1">
        <v>863</v>
      </c>
      <c s="5" t="s">
        <v>34</v>
      </c>
      <c s="3">
        <v>558</v>
      </c>
      <c s="2">
        <v>240</v>
      </c>
      <c s="1">
        <v>797</v>
      </c>
      <c s="5" t="s">
        <v>34</v>
      </c>
    </row>
    <row ht="14.95">
      <c s="19"/>
      <c s="15"/>
      <c s="15" t="s">
        <v>164</v>
      </c>
      <c s="9">
        <v>19.329999999999998</v>
      </c>
      <c s="10">
        <v>19.859999999999999</v>
      </c>
      <c s="11">
        <v>39.189999999999998</v>
      </c>
      <c s="4" t="s">
        <v>34</v>
      </c>
      <c s="9">
        <v>27</v>
      </c>
      <c s="10">
        <v>21</v>
      </c>
      <c s="11">
        <v>49</v>
      </c>
      <c s="4" t="s">
        <v>34</v>
      </c>
      <c s="9">
        <v>34</v>
      </c>
      <c s="10">
        <v>16</v>
      </c>
      <c s="11">
        <v>49</v>
      </c>
      <c s="4" t="s">
        <v>34</v>
      </c>
    </row>
    <row ht="14.95">
      <c s="18" t="s">
        <v>70</v>
      </c>
      <c s="14" t="s">
        <v>196</v>
      </c>
      <c s="14" t="s">
        <v>281</v>
      </c>
      <c s="13">
        <v>38.5</v>
      </c>
      <c s="8">
        <v>34</v>
      </c>
      <c s="12">
        <v>72.5</v>
      </c>
      <c s="7" t="s">
        <v>475</v>
      </c>
      <c s="13">
        <v>17</v>
      </c>
      <c s="8">
        <v>8</v>
      </c>
      <c s="12">
        <v>25</v>
      </c>
      <c s="7" t="s">
        <v>475</v>
      </c>
      <c s="13">
        <v>27</v>
      </c>
      <c s="8">
        <v>20</v>
      </c>
      <c s="12">
        <v>47</v>
      </c>
      <c s="7" t="s">
        <v>475</v>
      </c>
    </row>
    <row ht="14.95">
      <c s="20"/>
      <c s="6"/>
      <c s="6" t="s">
        <v>102</v>
      </c>
      <c s="3">
        <v>17</v>
      </c>
      <c s="2">
        <v>17</v>
      </c>
      <c s="1">
        <v>34</v>
      </c>
      <c s="5" t="s">
        <v>34</v>
      </c>
      <c s="3">
        <v>11</v>
      </c>
      <c s="2">
        <v>8</v>
      </c>
      <c s="1">
        <v>19</v>
      </c>
      <c s="5" t="s">
        <v>34</v>
      </c>
      <c s="3">
        <v>19</v>
      </c>
      <c s="2">
        <v>13</v>
      </c>
      <c s="1">
        <v>32</v>
      </c>
      <c s="5" t="s">
        <v>34</v>
      </c>
    </row>
    <row ht="14.95">
      <c s="20"/>
      <c s="6"/>
      <c s="16" t="s">
        <v>375</v>
      </c>
      <c s="1">
        <v>55.5</v>
      </c>
      <c s="1">
        <v>51</v>
      </c>
      <c s="1">
        <v>106.5</v>
      </c>
      <c s="5" t="s">
        <v>34</v>
      </c>
      <c s="1">
        <v>28</v>
      </c>
      <c s="1">
        <v>16</v>
      </c>
      <c s="1">
        <v>44</v>
      </c>
      <c s="5" t="s">
        <v>34</v>
      </c>
      <c s="1">
        <v>46</v>
      </c>
      <c s="1">
        <v>33</v>
      </c>
      <c s="1">
        <v>78</v>
      </c>
      <c s="5" t="s">
        <v>34</v>
      </c>
    </row>
    <row ht="14.95">
      <c s="20"/>
      <c s="6"/>
      <c s="6" t="s">
        <v>35</v>
      </c>
      <c s="3">
        <v>77.5</v>
      </c>
      <c s="2">
        <v>52</v>
      </c>
      <c s="1">
        <v>129.5</v>
      </c>
      <c s="5" t="s">
        <v>34</v>
      </c>
      <c s="3">
        <v>80</v>
      </c>
      <c s="2">
        <v>43</v>
      </c>
      <c s="1">
        <v>122</v>
      </c>
      <c s="5" t="s">
        <v>34</v>
      </c>
      <c s="3">
        <v>104</v>
      </c>
      <c s="2">
        <v>50</v>
      </c>
      <c s="1">
        <v>154</v>
      </c>
      <c s="5" t="s">
        <v>34</v>
      </c>
    </row>
    <row ht="14.95">
      <c s="19"/>
      <c s="15"/>
      <c s="15" t="s">
        <v>164</v>
      </c>
      <c s="9">
        <v>1</v>
      </c>
      <c s="10">
        <v>2</v>
      </c>
      <c s="11">
        <v>3</v>
      </c>
      <c s="4" t="s">
        <v>34</v>
      </c>
      <c s="9">
        <v>5</v>
      </c>
      <c s="10" t="s">
        <v>317</v>
      </c>
      <c s="11">
        <v>5</v>
      </c>
      <c s="4" t="s">
        <v>34</v>
      </c>
      <c s="9">
        <v>4</v>
      </c>
      <c s="10">
        <v>4</v>
      </c>
      <c s="11">
        <v>8</v>
      </c>
      <c s="4" t="s">
        <v>34</v>
      </c>
    </row>
    <row ht="14.95">
      <c s="18" t="s">
        <v>38</v>
      </c>
      <c s="14" t="s">
        <v>316</v>
      </c>
      <c s="14" t="s">
        <v>281</v>
      </c>
      <c s="13">
        <v>32</v>
      </c>
      <c s="8">
        <v>16</v>
      </c>
      <c s="12">
        <v>48</v>
      </c>
      <c s="7" t="s">
        <v>475</v>
      </c>
      <c s="13">
        <v>10</v>
      </c>
      <c s="8">
        <v>8</v>
      </c>
      <c s="12">
        <v>18</v>
      </c>
      <c s="7" t="s">
        <v>475</v>
      </c>
      <c s="13">
        <v>9</v>
      </c>
      <c s="8">
        <v>8</v>
      </c>
      <c s="12">
        <v>17</v>
      </c>
      <c s="7" t="s">
        <v>475</v>
      </c>
    </row>
    <row ht="14.95">
      <c s="20"/>
      <c s="6"/>
      <c s="6" t="s">
        <v>102</v>
      </c>
      <c s="3">
        <v>7</v>
      </c>
      <c s="2">
        <v>2.6299999999999999</v>
      </c>
      <c s="1">
        <v>9.6300000000000008</v>
      </c>
      <c s="5" t="s">
        <v>34</v>
      </c>
      <c s="3">
        <v>9</v>
      </c>
      <c s="2">
        <v>1</v>
      </c>
      <c s="1">
        <v>10</v>
      </c>
      <c s="5" t="s">
        <v>34</v>
      </c>
      <c s="3">
        <v>4</v>
      </c>
      <c s="2">
        <v>0</v>
      </c>
      <c s="1">
        <v>4</v>
      </c>
      <c s="5" t="s">
        <v>34</v>
      </c>
    </row>
    <row ht="14.95">
      <c s="20"/>
      <c s="6"/>
      <c s="16" t="s">
        <v>375</v>
      </c>
      <c s="1">
        <v>39</v>
      </c>
      <c s="1">
        <v>18.629999999999999</v>
      </c>
      <c s="1">
        <v>57.630000000000003</v>
      </c>
      <c s="5" t="s">
        <v>34</v>
      </c>
      <c s="1">
        <v>19</v>
      </c>
      <c s="1">
        <v>9</v>
      </c>
      <c s="1">
        <v>28</v>
      </c>
      <c s="5" t="s">
        <v>34</v>
      </c>
      <c s="1">
        <v>12</v>
      </c>
      <c s="1">
        <v>8</v>
      </c>
      <c s="1">
        <v>20</v>
      </c>
      <c s="5" t="s">
        <v>34</v>
      </c>
    </row>
    <row ht="14.95">
      <c s="20"/>
      <c s="6"/>
      <c s="6" t="s">
        <v>35</v>
      </c>
      <c s="3">
        <v>187.41</v>
      </c>
      <c s="2">
        <v>150.52000000000001</v>
      </c>
      <c s="1">
        <v>337.93000000000001</v>
      </c>
      <c s="5" t="s">
        <v>34</v>
      </c>
      <c s="3">
        <v>212</v>
      </c>
      <c s="2">
        <v>132</v>
      </c>
      <c s="1">
        <v>343</v>
      </c>
      <c s="5" t="s">
        <v>34</v>
      </c>
      <c s="3">
        <v>223</v>
      </c>
      <c s="2">
        <v>153</v>
      </c>
      <c s="1">
        <v>376</v>
      </c>
      <c s="5" t="s">
        <v>34</v>
      </c>
    </row>
    <row ht="14.95">
      <c s="19"/>
      <c s="15"/>
      <c s="15" t="s">
        <v>164</v>
      </c>
      <c s="9">
        <v>17.629999999999999</v>
      </c>
      <c s="10">
        <v>10</v>
      </c>
      <c s="11">
        <v>27.629999999999999</v>
      </c>
      <c s="4" t="s">
        <v>34</v>
      </c>
      <c s="9">
        <v>11</v>
      </c>
      <c s="10">
        <v>4</v>
      </c>
      <c s="11">
        <v>15</v>
      </c>
      <c s="4" t="s">
        <v>34</v>
      </c>
      <c s="9">
        <v>9</v>
      </c>
      <c s="10">
        <v>11</v>
      </c>
      <c s="11">
        <v>20</v>
      </c>
      <c s="4" t="s">
        <v>34</v>
      </c>
    </row>
    <row ht="14.95">
      <c s="18" t="s">
        <v>104</v>
      </c>
      <c s="14" t="s">
        <v>448</v>
      </c>
      <c s="14" t="s">
        <v>281</v>
      </c>
      <c s="13">
        <v>33.670000000000002</v>
      </c>
      <c s="8">
        <v>27.010000000000002</v>
      </c>
      <c s="12">
        <v>60.670000000000002</v>
      </c>
      <c s="7" t="s">
        <v>475</v>
      </c>
      <c s="13">
        <v>11</v>
      </c>
      <c s="8">
        <v>7</v>
      </c>
      <c s="12">
        <v>18</v>
      </c>
      <c s="7" t="s">
        <v>475</v>
      </c>
      <c s="13">
        <v>12</v>
      </c>
      <c s="8">
        <v>2</v>
      </c>
      <c s="12">
        <v>14</v>
      </c>
      <c s="7" t="s">
        <v>475</v>
      </c>
    </row>
    <row ht="14.95">
      <c s="20"/>
      <c s="6"/>
      <c s="6" t="s">
        <v>102</v>
      </c>
      <c s="3">
        <v>7</v>
      </c>
      <c s="2">
        <v>4</v>
      </c>
      <c s="1">
        <v>11</v>
      </c>
      <c s="5" t="s">
        <v>34</v>
      </c>
      <c s="3">
        <v>2</v>
      </c>
      <c s="2">
        <v>2</v>
      </c>
      <c s="1">
        <v>4</v>
      </c>
      <c s="5" t="s">
        <v>34</v>
      </c>
      <c s="3">
        <v>2</v>
      </c>
      <c s="2">
        <v>1</v>
      </c>
      <c s="1">
        <v>3</v>
      </c>
      <c s="5" t="s">
        <v>34</v>
      </c>
    </row>
    <row ht="14.95">
      <c s="20"/>
      <c s="6"/>
      <c s="16" t="s">
        <v>375</v>
      </c>
      <c s="1">
        <v>40.670000000000002</v>
      </c>
      <c s="1">
        <v>31.010000000000002</v>
      </c>
      <c s="1">
        <v>71.670000000000002</v>
      </c>
      <c s="5" t="s">
        <v>34</v>
      </c>
      <c s="1">
        <v>14</v>
      </c>
      <c s="1">
        <v>9</v>
      </c>
      <c s="1">
        <v>22</v>
      </c>
      <c s="5" t="s">
        <v>34</v>
      </c>
      <c s="1">
        <v>14</v>
      </c>
      <c s="1">
        <v>3</v>
      </c>
      <c s="1">
        <v>17</v>
      </c>
      <c s="5" t="s">
        <v>34</v>
      </c>
    </row>
    <row ht="14.95">
      <c s="20"/>
      <c s="6"/>
      <c s="6" t="s">
        <v>35</v>
      </c>
      <c s="3">
        <v>171.05000000000001</v>
      </c>
      <c s="2">
        <v>111.37</v>
      </c>
      <c s="1">
        <v>282.43000000000001</v>
      </c>
      <c s="5" t="s">
        <v>34</v>
      </c>
      <c s="3">
        <v>168</v>
      </c>
      <c s="2">
        <v>131</v>
      </c>
      <c s="1">
        <v>298</v>
      </c>
      <c s="5" t="s">
        <v>34</v>
      </c>
      <c s="3">
        <v>167</v>
      </c>
      <c s="2">
        <v>98</v>
      </c>
      <c s="1">
        <v>265</v>
      </c>
      <c s="5" t="s">
        <v>34</v>
      </c>
    </row>
    <row ht="14.95">
      <c s="19"/>
      <c s="15"/>
      <c s="15" t="s">
        <v>164</v>
      </c>
      <c s="9">
        <v>12</v>
      </c>
      <c s="10">
        <v>16</v>
      </c>
      <c s="11">
        <v>28</v>
      </c>
      <c s="4" t="s">
        <v>34</v>
      </c>
      <c s="9">
        <v>17</v>
      </c>
      <c s="10">
        <v>14</v>
      </c>
      <c s="11">
        <v>31</v>
      </c>
      <c s="4" t="s">
        <v>34</v>
      </c>
      <c s="9">
        <v>20</v>
      </c>
      <c s="10">
        <v>19</v>
      </c>
      <c s="11">
        <v>39</v>
      </c>
      <c s="4" t="s">
        <v>34</v>
      </c>
    </row>
    <row ht="14.95">
      <c s="18" t="s">
        <v>377</v>
      </c>
      <c s="14" t="s">
        <v>71</v>
      </c>
      <c s="14" t="s">
        <v>281</v>
      </c>
      <c s="13">
        <v>25.420000000000002</v>
      </c>
      <c s="8">
        <v>32.409999999999997</v>
      </c>
      <c s="12">
        <v>57.829999999999998</v>
      </c>
      <c s="7" t="s">
        <v>475</v>
      </c>
      <c s="13">
        <v>4</v>
      </c>
      <c s="8">
        <v>7</v>
      </c>
      <c s="12">
        <v>12</v>
      </c>
      <c s="7" t="s">
        <v>475</v>
      </c>
      <c s="13">
        <v>8</v>
      </c>
      <c s="8">
        <v>6</v>
      </c>
      <c s="12">
        <v>14</v>
      </c>
      <c s="7" t="s">
        <v>475</v>
      </c>
    </row>
    <row ht="14.95">
      <c s="20"/>
      <c s="6"/>
      <c s="6" t="s">
        <v>102</v>
      </c>
      <c s="3">
        <v>3</v>
      </c>
      <c s="2">
        <v>6</v>
      </c>
      <c s="1">
        <v>9</v>
      </c>
      <c s="5" t="s">
        <v>34</v>
      </c>
      <c s="3">
        <v>3</v>
      </c>
      <c s="2">
        <v>1</v>
      </c>
      <c s="1">
        <v>3</v>
      </c>
      <c s="5" t="s">
        <v>34</v>
      </c>
      <c s="3">
        <v>2</v>
      </c>
      <c s="2">
        <v>0</v>
      </c>
      <c s="1">
        <v>2</v>
      </c>
      <c s="5" t="s">
        <v>34</v>
      </c>
    </row>
    <row ht="14.95">
      <c s="20"/>
      <c s="6"/>
      <c s="16" t="s">
        <v>375</v>
      </c>
      <c s="1">
        <v>28.420000000000002</v>
      </c>
      <c s="1">
        <v>38.409999999999997</v>
      </c>
      <c s="1">
        <v>66.829999999999998</v>
      </c>
      <c s="5" t="s">
        <v>34</v>
      </c>
      <c s="1">
        <v>7</v>
      </c>
      <c s="1">
        <v>8</v>
      </c>
      <c s="1">
        <v>15</v>
      </c>
      <c s="5" t="s">
        <v>34</v>
      </c>
      <c s="1">
        <v>10</v>
      </c>
      <c s="1">
        <v>6</v>
      </c>
      <c s="1">
        <v>16</v>
      </c>
      <c s="5" t="s">
        <v>34</v>
      </c>
    </row>
    <row ht="14.95">
      <c s="20"/>
      <c s="6"/>
      <c s="6" t="s">
        <v>35</v>
      </c>
      <c s="3">
        <v>142.25</v>
      </c>
      <c s="2">
        <v>120.28</v>
      </c>
      <c s="1">
        <v>262.52999999999997</v>
      </c>
      <c s="5" t="s">
        <v>34</v>
      </c>
      <c s="3">
        <v>123</v>
      </c>
      <c s="2">
        <v>151</v>
      </c>
      <c s="1">
        <v>274</v>
      </c>
      <c s="5" t="s">
        <v>34</v>
      </c>
      <c s="3">
        <v>140</v>
      </c>
      <c s="2">
        <v>154</v>
      </c>
      <c s="1">
        <v>293</v>
      </c>
      <c s="5" t="s">
        <v>34</v>
      </c>
    </row>
    <row ht="14.95">
      <c s="19"/>
      <c s="15"/>
      <c s="15" t="s">
        <v>164</v>
      </c>
      <c s="9">
        <v>15.42</v>
      </c>
      <c s="10">
        <v>10</v>
      </c>
      <c s="11">
        <v>25.420000000000002</v>
      </c>
      <c s="4" t="s">
        <v>34</v>
      </c>
      <c s="9">
        <v>18</v>
      </c>
      <c s="10">
        <v>16</v>
      </c>
      <c s="11">
        <v>34</v>
      </c>
      <c s="4" t="s">
        <v>34</v>
      </c>
      <c s="9">
        <v>12</v>
      </c>
      <c s="10">
        <v>13</v>
      </c>
      <c s="11">
        <v>25</v>
      </c>
      <c s="4" t="s">
        <v>34</v>
      </c>
    </row>
    <row ht="14.95">
      <c s="18" t="s">
        <v>318</v>
      </c>
      <c s="14" t="s">
        <v>224</v>
      </c>
      <c s="14" t="s">
        <v>281</v>
      </c>
      <c s="13">
        <v>42.93</v>
      </c>
      <c s="8">
        <v>19.390000000000001</v>
      </c>
      <c s="12">
        <v>62.329999999999998</v>
      </c>
      <c s="7" t="s">
        <v>475</v>
      </c>
      <c s="13">
        <v>16</v>
      </c>
      <c s="8">
        <v>7</v>
      </c>
      <c s="12">
        <v>23</v>
      </c>
      <c s="7" t="s">
        <v>475</v>
      </c>
      <c s="13">
        <v>24</v>
      </c>
      <c s="8">
        <v>7</v>
      </c>
      <c s="12">
        <v>31</v>
      </c>
      <c s="7" t="s">
        <v>475</v>
      </c>
    </row>
    <row ht="14.95">
      <c s="20"/>
      <c s="6"/>
      <c s="6" t="s">
        <v>102</v>
      </c>
      <c s="3">
        <v>12</v>
      </c>
      <c s="2">
        <v>6</v>
      </c>
      <c s="1">
        <v>18</v>
      </c>
      <c s="5" t="s">
        <v>34</v>
      </c>
      <c s="3">
        <v>9</v>
      </c>
      <c s="2">
        <v>5</v>
      </c>
      <c s="1">
        <v>15</v>
      </c>
      <c s="5" t="s">
        <v>34</v>
      </c>
      <c s="3">
        <v>9</v>
      </c>
      <c s="2">
        <v>3</v>
      </c>
      <c s="1">
        <v>12</v>
      </c>
      <c s="5" t="s">
        <v>34</v>
      </c>
    </row>
    <row ht="14.95">
      <c s="20"/>
      <c s="6"/>
      <c s="16" t="s">
        <v>375</v>
      </c>
      <c s="1">
        <v>54.93</v>
      </c>
      <c s="1">
        <v>25.390000000000001</v>
      </c>
      <c s="1">
        <v>80.329999999999998</v>
      </c>
      <c s="5" t="s">
        <v>34</v>
      </c>
      <c s="1">
        <v>25</v>
      </c>
      <c s="1">
        <v>12</v>
      </c>
      <c s="1">
        <v>37</v>
      </c>
      <c s="5" t="s">
        <v>34</v>
      </c>
      <c s="1">
        <v>33</v>
      </c>
      <c s="1">
        <v>10</v>
      </c>
      <c s="1">
        <v>43</v>
      </c>
      <c s="5" t="s">
        <v>34</v>
      </c>
    </row>
    <row ht="14.95">
      <c s="20"/>
      <c s="6"/>
      <c s="6" t="s">
        <v>35</v>
      </c>
      <c s="3">
        <v>47.280000000000001</v>
      </c>
      <c s="2">
        <v>19.210000000000001</v>
      </c>
      <c s="1">
        <v>66.489999999999995</v>
      </c>
      <c s="5" t="s">
        <v>34</v>
      </c>
      <c s="3">
        <v>101</v>
      </c>
      <c s="2">
        <v>29</v>
      </c>
      <c s="1">
        <v>130</v>
      </c>
      <c s="5" t="s">
        <v>34</v>
      </c>
      <c s="3">
        <v>69</v>
      </c>
      <c s="2">
        <v>46</v>
      </c>
      <c s="1">
        <v>115</v>
      </c>
      <c s="5" t="s">
        <v>34</v>
      </c>
    </row>
    <row ht="14.95">
      <c s="19"/>
      <c s="15"/>
      <c s="15" t="s">
        <v>164</v>
      </c>
      <c s="9">
        <v>2</v>
      </c>
      <c s="10">
        <v>0</v>
      </c>
      <c s="11">
        <v>2</v>
      </c>
      <c s="4" t="s">
        <v>34</v>
      </c>
      <c s="9">
        <v>3</v>
      </c>
      <c s="10">
        <v>1</v>
      </c>
      <c s="11">
        <v>4</v>
      </c>
      <c s="4" t="s">
        <v>34</v>
      </c>
      <c s="9">
        <v>7</v>
      </c>
      <c s="10">
        <v>5</v>
      </c>
      <c s="11">
        <v>12</v>
      </c>
      <c s="4" t="s">
        <v>34</v>
      </c>
    </row>
    <row ht="14.95">
      <c s="18" t="s">
        <v>346</v>
      </c>
      <c s="14" t="s">
        <v>72</v>
      </c>
      <c s="14" t="s">
        <v>281</v>
      </c>
      <c s="13">
        <v>46</v>
      </c>
      <c s="8">
        <v>25</v>
      </c>
      <c s="12">
        <v>71</v>
      </c>
      <c s="7" t="s">
        <v>475</v>
      </c>
      <c s="13">
        <v>16</v>
      </c>
      <c s="8">
        <v>10</v>
      </c>
      <c s="12">
        <v>26</v>
      </c>
      <c s="7" t="s">
        <v>475</v>
      </c>
      <c s="13">
        <v>30</v>
      </c>
      <c s="8">
        <v>13</v>
      </c>
      <c s="12">
        <v>43</v>
      </c>
      <c s="7" t="s">
        <v>475</v>
      </c>
    </row>
    <row ht="14.95">
      <c s="20"/>
      <c s="6"/>
      <c s="6" t="s">
        <v>102</v>
      </c>
      <c s="3">
        <v>11</v>
      </c>
      <c s="2">
        <v>4.5</v>
      </c>
      <c s="1">
        <v>15.5</v>
      </c>
      <c s="5" t="s">
        <v>34</v>
      </c>
      <c s="3">
        <v>6</v>
      </c>
      <c s="2">
        <v>8</v>
      </c>
      <c s="1">
        <v>14</v>
      </c>
      <c s="5" t="s">
        <v>34</v>
      </c>
      <c s="3">
        <v>14</v>
      </c>
      <c s="2">
        <v>2</v>
      </c>
      <c s="1">
        <v>16</v>
      </c>
      <c s="5" t="s">
        <v>34</v>
      </c>
    </row>
    <row ht="14.95">
      <c s="20"/>
      <c s="6"/>
      <c s="16" t="s">
        <v>375</v>
      </c>
      <c s="1">
        <v>57</v>
      </c>
      <c s="1">
        <v>29.5</v>
      </c>
      <c s="1">
        <v>86.5</v>
      </c>
      <c s="5" t="s">
        <v>34</v>
      </c>
      <c s="1">
        <v>22</v>
      </c>
      <c s="1">
        <v>18</v>
      </c>
      <c s="1">
        <v>40</v>
      </c>
      <c s="5" t="s">
        <v>34</v>
      </c>
      <c s="1">
        <v>44</v>
      </c>
      <c s="1">
        <v>15</v>
      </c>
      <c s="1">
        <v>59</v>
      </c>
      <c s="5" t="s">
        <v>34</v>
      </c>
    </row>
    <row ht="14.95">
      <c s="20"/>
      <c s="6"/>
      <c s="6" t="s">
        <v>35</v>
      </c>
      <c s="3">
        <v>53.5</v>
      </c>
      <c s="2">
        <v>20</v>
      </c>
      <c s="1">
        <v>73.5</v>
      </c>
      <c s="5" t="s">
        <v>34</v>
      </c>
      <c s="3">
        <v>76</v>
      </c>
      <c s="2">
        <v>38</v>
      </c>
      <c s="1">
        <v>114</v>
      </c>
      <c s="5" t="s">
        <v>34</v>
      </c>
      <c s="3">
        <v>98</v>
      </c>
      <c s="2">
        <v>40</v>
      </c>
      <c s="1">
        <v>138</v>
      </c>
      <c s="5" t="s">
        <v>34</v>
      </c>
    </row>
    <row ht="14.95">
      <c s="19"/>
      <c s="15"/>
      <c s="15" t="s">
        <v>164</v>
      </c>
      <c s="9">
        <v>2</v>
      </c>
      <c s="10">
        <v>1</v>
      </c>
      <c s="11">
        <v>3</v>
      </c>
      <c s="4" t="s">
        <v>34</v>
      </c>
      <c s="9">
        <v>1</v>
      </c>
      <c s="10">
        <v>2</v>
      </c>
      <c s="11">
        <v>3</v>
      </c>
      <c s="4" t="s">
        <v>34</v>
      </c>
      <c s="9">
        <v>1</v>
      </c>
      <c s="10">
        <v>3</v>
      </c>
      <c s="11">
        <v>4</v>
      </c>
      <c s="4" t="s">
        <v>34</v>
      </c>
    </row>
  </sheetData>
  <mergeCells count="24">
    <mergeCell ref="D11:G11"/>
    <mergeCell ref="H11:K11"/>
    <mergeCell ref="L11:O11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  <mergeCell ref="A98:A102"/>
    <mergeCell ref="A103:A107"/>
    <mergeCell ref="A108:A112"/>
    <mergeCell ref="A113:A117"/>
  </mergeCells>
  <hyperlinks>
    <hyperlink ref="K14" tooltip="https://oravm13.noc-science.at/apex/f?p=103:34:::::P34_UNIV,P34_JAHR,P34_KZIDF,P34_LIEFIDF:R,2021,36530,67631 - Click once to follow. Click and hold to select this cell."/>
    <hyperlink ref="K15" tooltip="https://oravm13.noc-science.at/apex/f?p=103:34:::::P34_UNIV,P34_JAHR,P34_KZIDF,P34_LIEFIDF:R,2021,36530,67631 - Click once to follow. Click and hold to select this cell."/>
    <hyperlink ref="K16" tooltip="https://oravm13.noc-science.at/apex/f?p=103:34:::::P34_UNIV,P34_JAHR,P34_KZIDF,P34_LIEFIDF:R,2021,36530,67631 - Click once to follow. Click and hold to select this cell."/>
    <hyperlink ref="K17" tooltip="https://oravm13.noc-science.at/apex/f?p=103:34:::::P34_UNIV,P34_JAHR,P34_KZIDF,P34_LIEFIDF:R,2021,36530,67631 - Click once to follow. Click and hold to select this cell."/>
    <hyperlink ref="K116" tooltip="https://oravm13.noc-science.at/apex/f?p=103:34:::::P34_UNIV,P34_JAHR,P34_KZIDF,P34_LIEFIDF:R,2021,36530,67631 - Click once to follow. Click and hold to select this cell."/>
    <hyperlink ref="K117" tooltip="https://oravm13.noc-science.at/apex/f?p=103:34:::::P34_UNIV,P34_JAHR,P34_KZIDF,P34_LIEFIDF:R,2021,36530,67631 - Click once to follow. Click and hold to select this cell."/>
    <hyperlink ref="G13" r:id="rId1" tooltip="https://oravm13.noc-science.at/apex/f?p=103:34:::::P34_UNIV,P34_JAHR,P34_KZIDF,P34_LIEFIDF:A,2024,36530,77167 - Click once to follow. Click and hold to select this cell."/>
    <hyperlink ref="O13" r:id="rId2" tooltip="https://oravm13.noc-science.at/apex/f?p=103:34:::::P34_UNIV,P34_JAHR,P34_KZIDF,P34_LIEFIDF:A,2022,36530,70283 - Einmal klicken für Absprung. Klicken und gedrückt halten, um Zelle zu bearbeiten"/>
    <hyperlink ref="G17" tooltip="https://oravm13.noc-science.at/apex/f?p=103:34:::::P34_UNIV,P34_JAHR,P34_KZIDF,P34_LIEFIDF:R,2021,36530,67631 - Click once to follow. Click and hold to select this cell."/>
    <hyperlink ref="G16" tooltip="https://oravm13.noc-science.at/apex/f?p=103:34:::::P34_UNIV,P34_JAHR,P34_KZIDF,P34_LIEFIDF:R,2021,36530,67631 - Click once to follow. Click and hold to select this cell."/>
    <hyperlink ref="G15" tooltip="https://oravm13.noc-science.at/apex/f?p=103:34:::::P34_UNIV,P34_JAHR,P34_KZIDF,P34_LIEFIDF:R,2021,36530,67631 - Click once to follow. Click and hold to select this cell."/>
    <hyperlink ref="G14" tooltip="https://oravm13.noc-science.at/apex/f?p=103:34:::::P34_UNIV,P34_JAHR,P34_KZIDF,P34_LIEFIDF:R,2021,36530,67631 - Click once to follow. Click and hold to select this cell."/>
    <hyperlink ref="G18" r:id="rId3" tooltip="https://oravm13.noc-science.at/apex/f?p=103:34:::::P34_UNIV,P34_JAHR,P34_KZIDF,P34_LIEFIDF:B,2024,36530,73800 - Einmal klicken für Absprung. Klicken und gedrückt halten, um Zelle zu bearbeiten"/>
    <hyperlink ref="G23" r:id="rId4" tooltip="https://oravm13.noc-science.at/apex/f?p=103:34:::::P34_UNIV,P34_JAHR,P34_KZIDF,P34_LIEFIDF:C,2024,36530,74599 - Einmal klicken für Absprung. Klicken und gedrückt halten, um Zelle zu bearbeiten"/>
    <hyperlink ref="K13" r:id="rId5" tooltip="https://oravm13.noc-science.at/apex/f?p=103:34:::::P34_UNIV,P34_JAHR,P34_KZIDF,P34_LIEFIDF:A,2023,36530,73762 - Einmal klicken für Absprung. Klicken und gedrückt halten, um Zelle zu bearbeiten"/>
    <hyperlink ref="K18" r:id="rId6" tooltip="https://oravm13.noc-science.at/apex/f?p=103:34:::::P34_UNIV,P34_JAHR,P34_KZIDF,P34_LIEFIDF:B,2023,36530,73800 - Einmal klicken für Absprung. Klicken und gedrückt halten, um Zelle zu bearbeiten"/>
    <hyperlink ref="K23" r:id="rId7" tooltip="https://oravm13.noc-science.at/apex/f?p=103:34:::::P34_UNIV,P34_JAHR,P34_KZIDF,P34_LIEFIDF:C,2023,36530,74599 - Einmal klicken für Absprung. Klicken und gedrückt halten, um Zelle zu bearbeiten"/>
    <hyperlink ref="K28" r:id="rId8" tooltip="https://oravm13.noc-science.at/apex/f?p=103:34:::::P34_UNIV,P34_JAHR,P34_KZIDF,P34_LIEFIDF:N,2023,36530,73195 - Einmal klicken für Absprung. Klicken und gedrückt halten, um Zelle zu bearbeiten"/>
    <hyperlink ref="K33" r:id="rId9" tooltip="https://oravm13.noc-science.at/apex/f?p=103:34:::::P34_UNIV,P34_JAHR,P34_KZIDF,P34_LIEFIDF:O,2023,36530,74035 - Einmal klicken für Absprung. Klicken und gedrückt halten, um Zelle zu bearbeiten"/>
    <hyperlink ref="K38" r:id="rId10" tooltip="https://oravm13.noc-science.at/apex/f?p=103:34:::::P34_UNIV,P34_JAHR,P34_KZIDF,P34_LIEFIDF:Q,2023,36530,73985 - Einmal klicken für Absprung. Klicken und gedrückt halten, um Zelle zu bearbeiten"/>
    <hyperlink ref="K43" r:id="rId11" tooltip="https://oravm13.noc-science.at/apex/f?p=103:34:::::P34_UNIV,P34_JAHR,P34_KZIDF,P34_LIEFIDF:D,2023,36530,73576 - Einmal klicken für Absprung. Klicken und gedrückt halten, um Zelle zu bearbeiten"/>
    <hyperlink ref="K48" r:id="rId12" tooltip="https://oravm13.noc-science.at/apex/f?p=103:34:::::P34_UNIV,P34_JAHR,P34_KZIDF,P34_LIEFIDF:E,2023,36530,73779 - Einmal klicken für Absprung. Klicken und gedrückt halten, um Zelle zu bearbeiten"/>
    <hyperlink ref="K53" r:id="rId13" tooltip="https://oravm13.noc-science.at/apex/f?p=103:34:::::P34_UNIV,P34_JAHR,P34_KZIDF,P34_LIEFIDF:F,2023,36530,73603 - Einmal klicken für Absprung. Klicken und gedrückt halten, um Zelle zu bearbeiten"/>
    <hyperlink ref="K58" r:id="rId14" tooltip="https://oravm13.noc-science.at/apex/f?p=103:34:::::P34_UNIV,P34_JAHR,P34_KZIDF,P34_LIEFIDF:G,2023,36530,73974 - Einmal klicken für Absprung. Klicken und gedrückt halten, um Zelle zu bearbeiten"/>
    <hyperlink ref="K63" r:id="rId15" tooltip="https://oravm13.noc-science.at/apex/f?p=103:34:::::P34_UNIV,P34_JAHR,P34_KZIDF,P34_LIEFIDF:H,2023,36530,74297 - Einmal klicken für Absprung. Klicken und gedrückt halten, um Zelle zu bearbeiten"/>
    <hyperlink ref="K68" r:id="rId16" tooltip="https://oravm13.noc-science.at/apex/f?p=103:34:::::P34_UNIV,P34_JAHR,P34_KZIDF,P34_LIEFIDF:I,2023,36530,73269 - Einmal klicken für Absprung. Klicken und gedrückt halten, um Zelle zu bearbeiten"/>
    <hyperlink ref="K73" r:id="rId17" tooltip="https://oravm13.noc-science.at/apex/f?p=103:34:::::P34_UNIV,P34_JAHR,P34_KZIDF,P34_LIEFIDF:J,2023,36530,73795 - Einmal klicken für Absprung. Klicken und gedrückt halten, um Zelle zu bearbeiten"/>
    <hyperlink ref="K78" r:id="rId18" tooltip="https://oravm13.noc-science.at/apex/f?p=103:34:::::P34_UNIV,P34_JAHR,P34_KZIDF,P34_LIEFIDF:K,2023,36530,73392 - Einmal klicken für Absprung. Klicken und gedrückt halten, um Zelle zu bearbeiten"/>
    <hyperlink ref="K83" r:id="rId19" tooltip="https://oravm13.noc-science.at/apex/f?p=103:34:::::P34_UNIV,P34_JAHR,P34_KZIDF,P34_LIEFIDF:L,2023,36530,73710 - Einmal klicken für Absprung. Klicken und gedrückt halten, um Zelle zu bearbeiten"/>
    <hyperlink ref="K88" r:id="rId20" tooltip="https://oravm13.noc-science.at/apex/f?p=103:34:::::P34_UNIV,P34_JAHR,P34_KZIDF,P34_LIEFIDF:S,2023,36530,74110 - Einmal klicken für Absprung. Klicken und gedrückt halten, um Zelle zu bearbeiten"/>
    <hyperlink ref="K93" r:id="rId21" tooltip="https://oravm13.noc-science.at/apex/f?p=103:34:::::P34_UNIV,P34_JAHR,P34_KZIDF,P34_LIEFIDF:T,2023,36530,74083 - Einmal klicken für Absprung. Klicken und gedrückt halten, um Zelle zu bearbeiten"/>
    <hyperlink ref="K98" r:id="rId22" tooltip="https://oravm13.noc-science.at/apex/f?p=103:34:::::P34_UNIV,P34_JAHR,P34_KZIDF,P34_LIEFIDF:U,2023,36530,73622 - Einmal klicken für Absprung. Klicken und gedrückt halten, um Zelle zu bearbeiten"/>
    <hyperlink ref="K103" r:id="rId23" tooltip="https://oravm13.noc-science.at/apex/f?p=103:34:::::P34_UNIV,P34_JAHR,P34_KZIDF,P34_LIEFIDF:V,2023,36530,73934 - Einmal klicken für Absprung. Klicken und gedrückt halten, um Zelle zu bearbeiten"/>
    <hyperlink ref="K113" r:id="rId24" tooltip="https://oravm13.noc-science.at/apex/f?p=103:34:::::P34_UNIV,P34_JAHR,P34_KZIDF,P34_LIEFIDF:R,2023,36530,73457 - Einmal klicken für Absprung. Klicken und gedrückt halten, um Zelle zu bearbeiten"/>
    <hyperlink ref="G113" r:id="rId25" tooltip="https://oravm13.noc-science.at/apex/f?p=103:34:::::P34_UNIV,P34_JAHR,P34_KZIDF,P34_LIEFIDF:R,2024,36530,78258 - Click once to follow. Click and hold to select this cell."/>
    <hyperlink ref="G108" r:id="rId26" tooltip="https://oravm13.noc-science.at/apex/f?p=103:34:::::P34_UNIV,P34_JAHR,P34_KZIDF,P34_LIEFIDF:W,2024,36530,77881 - Einmal klicken für Absprung. Klicken und gedrückt halten, um Zelle zu bearbeiten"/>
    <hyperlink ref="G103" r:id="rId27" tooltip="https://oravm13.noc-science.at/apex/f?p=103:34:::::P34_UNIV,P34_JAHR,P34_KZIDF,P34_LIEFIDF:V,2024,36530,78100 - Einmal klicken für Absprung. Klicken und gedrückt halten, um Zelle zu bearbeiten"/>
    <hyperlink ref="G98" r:id="rId28" tooltip="https://oravm13.noc-science.at/apex/f?p=103:34:::::P34_UNIV,P34_JAHR,P34_KZIDF,P34_LIEFIDF:U,2024,36530,77033 - Einmal klicken für Absprung. Klicken und gedrückt halten, um Zelle zu bearbeiten"/>
    <hyperlink ref="G93" r:id="rId29" tooltip="https://oravm13.noc-science.at/apex/f?p=103:34:::::P34_UNIV,P34_JAHR,P34_KZIDF,P34_LIEFIDF:T,2024,36530,77559 - Einmal klicken für Absprung. Klicken und gedrückt halten, um Zelle zu bearbeiten"/>
    <hyperlink ref="G88" r:id="rId30" tooltip="https://oravm13.noc-science.at/apex/f?p=103:34:::::P34_UNIV,P34_JAHR,P34_KZIDF,P34_LIEFIDF:S,2024,36530,77495 - Einmal klicken für Absprung. Klicken und gedrückt halten, um Zelle zu bearbeiten"/>
    <hyperlink ref="G83" r:id="rId31" tooltip="https://oravm13.noc-science.at/apex/f?p=103:34:::::P34_UNIV,P34_JAHR,P34_KZIDF,P34_LIEFIDF:L,2024,36530,77115 - Einmal klicken für Absprung. Klicken und gedrückt halten, um Zelle zu bearbeiten"/>
    <hyperlink ref="G78" r:id="rId32" tooltip="https://oravm13.noc-science.at/apex/f?p=103:34:::::P34_UNIV,P34_JAHR,P34_KZIDF,P34_LIEFIDF:K,2024,36530,76837 - Einmal klicken für Absprung. Klicken und gedrückt halten, um Zelle zu bearbeiten"/>
    <hyperlink ref="G73" r:id="rId33" tooltip="https://oravm13.noc-science.at/apex/f?p=103:34:::::P34_UNIV,P34_JAHR,P34_KZIDF,P34_LIEFIDF:J,2024,36530,77141 - Einmal klicken für Absprung. Klicken und gedrückt halten, um Zelle zu bearbeiten"/>
    <hyperlink ref="G68" r:id="rId34" tooltip="https://oravm13.noc-science.at/apex/f?p=103:34:::::P34_UNIV,P34_JAHR,P34_KZIDF,P34_LIEFIDF:I,2024,36530,77085 - Einmal klicken für Absprung. Klicken und gedrückt halten, um Zelle zu bearbeiten"/>
    <hyperlink ref="G63" r:id="rId35" tooltip="https://oravm13.noc-science.at/apex/f?p=103:34:::::P34_UNIV,P34_JAHR,P34_KZIDF,P34_LIEFIDF:H,2024,36530,76735 - Einmal klicken für Absprung. Klicken und gedrückt halten, um Zelle zu bearbeiten"/>
    <hyperlink ref="G58" r:id="rId36" tooltip="https://oravm13.noc-science.at/apex/f?p=103:34:::::P34_UNIV,P34_JAHR,P34_KZIDF,P34_LIEFIDF:G,2024,36530,77386 - Einmal klicken für Absprung. Klicken und gedrückt halten, um Zelle zu bearbeiten"/>
    <hyperlink ref="G53" r:id="rId37" tooltip="https://oravm13.noc-science.at/apex/f?p=103:34:::::P34_UNIV,P34_JAHR,P34_KZIDF,P34_LIEFIDF:F,2024,36530,77996 - Einmal klicken für Absprung. Klicken und gedrückt halten, um Zelle zu bearbeiten"/>
    <hyperlink ref="G48" r:id="rId38" tooltip="https://oravm13.noc-science.at/apex/f?p=103:34:::::P34_UNIV,P34_JAHR,P34_KZIDF,P34_LIEFIDF:E,2024,36530,77205 - Einmal klicken für Absprung. Klicken und gedrückt halten, um Zelle zu bearbeiten"/>
    <hyperlink ref="G43" r:id="rId39" tooltip="https://oravm13.noc-science.at/apex/f?p=103:34:::::P34_UNIV,P34_JAHR,P34_KZIDF,P34_LIEFIDF:D,2024,36530,78013 - Einmal klicken für Absprung. Klicken und gedrückt halten, um Zelle zu bearbeiten"/>
    <hyperlink ref="G38" r:id="rId40" tooltip="https://oravm13.noc-science.at/apex/f?p=103:34:::::P34_UNIV,P34_JAHR,P34_KZIDF,P34_LIEFIDF:Q,2024,36530,78433 - Einmal klicken für Absprung. Klicken und gedrückt halten, um Zelle zu bearbeiten"/>
    <hyperlink ref="G33" r:id="rId41" tooltip="https://oravm13.noc-science.at/apex/f?p=103:34:::::P34_UNIV,P34_JAHR,P34_KZIDF,P34_LIEFIDF:O,2024,36530,78478 - Einmal klicken für Absprung. Klicken und gedrückt halten, um Zelle zu bearbeiten"/>
    <hyperlink ref="G28" r:id="rId42" tooltip="https://oravm13.noc-science.at/apex/f?p=103:34:::::P34_UNIV,P34_JAHR,P34_KZIDF,P34_LIEFIDF:N,2024,36530,76773 - Einmal klicken für Absprung. Klicken und gedrückt halten, um Zelle zu bearbeiten"/>
    <hyperlink ref="K108" r:id="rId43" tooltip="https://oravm13.noc-science.at/apex/f?p=103:34:::::P34_UNIV,P34_JAHR,P34_KZIDF,P34_LIEFIDF:W,2023,36530,73473 - Click once to follow. Click and hold to select this cell."/>
    <hyperlink ref="O18" r:id="rId44" tooltip="https://oravm13.noc-science.at/apex/f?p=103:34:::::P34_UNIV,P34_JAHR,P34_KZIDF,P34_LIEFIDF:B,2022,36530,70763 - Einmal klicken für Absprung. Klicken und gedrückt halten, um Zelle zu bearbeiten"/>
    <hyperlink ref="O23" r:id="rId45" tooltip="https://oravm13.noc-science.at/apex/f?p=103:34:::::P34_UNIV,P34_JAHR,P34_KZIDF,P34_LIEFIDF:C,2022,36530,70205 - Einmal klicken für Absprung. Klicken und gedrückt halten, um Zelle zu bearbeiten"/>
    <hyperlink ref="O28" r:id="rId46" tooltip="https://oravm13.noc-science.at/apex/f?p=103:34:::::P34_UNIV,P34_JAHR,P34_KZIDF,P34_LIEFIDF:N,2022,36530,70169 - Einmal klicken für Absprung. Klicken und gedrückt halten, um Zelle zu bearbeiten"/>
    <hyperlink ref="O33" r:id="rId47" tooltip="https://oravm13.noc-science.at/apex/f?p=103:34:::::P34_UNIV,P34_JAHR,P34_KZIDF,P34_LIEFIDF:O,2022,36530,70334 - Einmal klicken für Absprung. Klicken und gedrückt halten, um Zelle zu bearbeiten"/>
    <hyperlink ref="O38" r:id="rId48" tooltip="https://oravm13.noc-science.at/apex/f?p=103:34:::::P34_UNIV,P34_JAHR,P34_KZIDF,P34_LIEFIDF:Q,2022,36530,70637 - Einmal klicken für Absprung. Klicken und gedrückt halten, um Zelle zu bearbeiten"/>
    <hyperlink ref="O43" r:id="rId49" tooltip="https://oravm13.noc-science.at/apex/f?p=103:34:::::P34_UNIV,P34_JAHR,P34_KZIDF,P34_LIEFIDF:D,2022,36530,70257 - Einmal klicken für Absprung. Klicken und gedrückt halten, um Zelle zu bearbeiten"/>
    <hyperlink ref="O48" r:id="rId50" tooltip="https://oravm13.noc-science.at/apex/f?p=103:34:::::P34_UNIV,P34_JAHR,P34_KZIDF,P34_LIEFIDF:E,2022,36530,70695 - Einmal klicken für Absprung. Klicken und gedrückt halten, um Zelle zu bearbeiten"/>
    <hyperlink ref="O53" r:id="rId51" tooltip="https://oravm13.noc-science.at/apex/f?p=103:34:::::P34_UNIV,P34_JAHR,P34_KZIDF,P34_LIEFIDF:F,2022,36530,70360 - Einmal klicken für Absprung. Klicken und gedrückt halten, um Zelle zu bearbeiten"/>
    <hyperlink ref="O58" r:id="rId52" tooltip="https://oravm13.noc-science.at/apex/f?p=103:34:::::P34_UNIV,P34_JAHR,P34_KZIDF,P34_LIEFIDF:G,2022,36530,70787 - Einmal klicken für Absprung. Klicken und gedrückt halten, um Zelle zu bearbeiten"/>
    <hyperlink ref="O63" r:id="rId53" tooltip="https://oravm13.noc-science.at/apex/f?p=103:34:::::P34_UNIV,P34_JAHR,P34_KZIDF,P34_LIEFIDF:H,2022,36530,70678 - Einmal klicken für Absprung. Klicken und gedrückt halten, um Zelle zu bearbeiten"/>
    <hyperlink ref="O68" r:id="rId54" tooltip="https://oravm13.noc-science.at/apex/f?p=103:34:::::P34_UNIV,P34_JAHR,P34_KZIDF,P34_LIEFIDF:I,2022,36530,70352 - Einmal klicken für Absprung. Klicken und gedrückt halten, um Zelle zu bearbeiten"/>
    <hyperlink ref="O73" r:id="rId55" tooltip="https://oravm13.noc-science.at/apex/f?p=103:34:::::P34_UNIV,P34_JAHR,P34_KZIDF,P34_LIEFIDF:J,2022,36530,70929 - Einmal klicken für Absprung. Klicken und gedrückt halten, um Zelle zu bearbeiten"/>
    <hyperlink ref="O78" r:id="rId56" tooltip="https://oravm13.noc-science.at/apex/f?p=103:34:::::P34_UNIV,P34_JAHR,P34_KZIDF,P34_LIEFIDF:K,2022,36530,69976 - Einmal klicken für Absprung. Klicken und gedrückt halten, um Zelle zu bearbeiten"/>
    <hyperlink ref="O83" r:id="rId57" tooltip="https://oravm13.noc-science.at/apex/f?p=103:34:::::P34_UNIV,P34_JAHR,P34_KZIDF,P34_LIEFIDF:L,2022,36530,70806 - Einmal klicken für Absprung. Klicken und gedrückt halten, um Zelle zu bearbeiten"/>
    <hyperlink ref="O88" r:id="rId58" tooltip="https://oravm13.noc-science.at/apex/f?p=103:34:::::P34_UNIV,P34_JAHR,P34_KZIDF,P34_LIEFIDF:S,2022,36530,70533 - Einmal klicken für Absprung. Klicken und gedrückt halten, um Zelle zu bearbeiten"/>
    <hyperlink ref="O93" r:id="rId59" tooltip="https://oravm13.noc-science.at/apex/f?p=103:34:::::P34_UNIV,P34_JAHR,P34_KZIDF,P34_LIEFIDF:T,2022,36530,70908 - Einmal klicken für Absprung. Klicken und gedrückt halten, um Zelle zu bearbeiten"/>
    <hyperlink ref="O98" r:id="rId60" tooltip="https://oravm13.noc-science.at/apex/f?p=103:34:::::P34_UNIV,P34_JAHR,P34_KZIDF,P34_LIEFIDF:U,2022,36530,70595 - Einmal klicken für Absprung. Klicken und gedrückt halten, um Zelle zu bearbeiten"/>
    <hyperlink ref="O103" r:id="rId61" tooltip="https://oravm13.noc-science.at/apex/f?p=103:34:::::P34_UNIV,P34_JAHR,P34_KZIDF,P34_LIEFIDF:V,2022,36530,70868 - Einmal klicken für Absprung. Klicken und gedrückt halten, um Zelle zu bearbeiten"/>
    <hyperlink ref="O108" r:id="rId62" tooltip="https://oravm13.noc-science.at/apex/f?p=103:34:::::P34_UNIV,P34_JAHR,P34_KZIDF,P34_LIEFIDF:W,2022,36530,70405 - Einmal klicken für Absprung. Klicken und gedrückt halten, um Zelle zu bearbeiten"/>
    <hyperlink ref="O113" r:id="rId63" tooltip="https://oravm13.noc-science.at/apex/f?p=103:34:::::P34_UNIV,P34_JAHR,P34_KZIDF,P34_LIEFIDF:R,2022,36530,70509 - Einmal klicken für Absprung. Klicken und gedrückt halten, um Zelle zu bearbeiten"/>
  </hyperlinks>
  <pageMargins left="0.70866141732283472" right="0.70866141732283472" top="0.78740157480314965" bottom="0.78740157480314965" header="0.31496062992125984" footer="0.31496062992125984"/>
  <pageSetup paperSize="9" scale="64" fitToHeight="0" orientation="landscape"/>
  <headerFooter>
    <oddHeader>&amp;L&amp;"Tahoma,Standard"&amp;10unidata.gv.at&amp;R&amp;"Tahoma,Standard"&amp;10&amp;D</oddHeader>
    <oddFooter>&amp;R&amp;"Tahoma,Standard"&amp;10&amp;P/&amp;N</oddFooter>
  </headerFooter>
  <rowBreaks count="3" manualBreakCount="3">
    <brk id="32" max="16383" man="1"/>
    <brk id="62" max="16383" man="1"/>
    <brk id="92" max="16383" man="1"/>
  </rowBreaks>
</worksheet>
</file>

<file path=xl/worksheets/sheet2.xml><?xml version="1.0" encoding="utf-8"?>
<worksheet xmlns:r="http://schemas.openxmlformats.org/officeDocument/2006/relationships" xmlns="http://schemas.openxmlformats.org/spreadsheetml/2006/main">
  <dimension ref="A1:P729"/>
  <sheetViews>
    <sheetView workbookViewId="0"/>
  </sheetViews>
  <sheetFormatPr defaultColWidth="11.42578125" defaultRowHeight="15"/>
  <cols>
    <col min="1" max="1" width="21" bestFit="1" customWidth="1"/>
    <col min="2" max="2" width="13" bestFit="1" customWidth="1"/>
    <col min="3" max="3" width="13.7109375" bestFit="1" customWidth="1"/>
    <col min="8" max="8" width="4.140625" bestFit="1" customWidth="1"/>
    <col min="9" max="11" width="7.7109375" bestFit="1" customWidth="1"/>
    <col min="12" max="12" width="6.7109375" customWidth="1"/>
    <col min="13" max="13" width="6.5703125" customWidth="1"/>
    <col min="14" max="16" width="7.7109375" bestFit="1" customWidth="1"/>
  </cols>
  <sheetData>
    <row ht="14.95">
      <c t="s">
        <v>168</v>
      </c>
      <c t="s">
        <v>476</v>
      </c>
      <c t="s">
        <v>31</v>
      </c>
      <c r="I1" s="24" t="s">
        <v>251</v>
      </c>
      <c s="24" t="s">
        <v>160</v>
      </c>
      <c s="24" t="s">
        <v>67</v>
      </c>
      <c r="N1" s="24" t="s">
        <v>251</v>
      </c>
      <c s="24" t="s">
        <v>160</v>
      </c>
      <c s="24" t="s">
        <v>67</v>
      </c>
    </row>
    <row ht="14.95">
      <c t="s">
        <v>319</v>
      </c>
      <c>
        <v>412</v>
      </c>
      <c>
        <v>4534</v>
      </c>
      <c r="H2" t="s">
        <v>225</v>
      </c>
      <c s="37">
        <f t="shared" si="0" ref="I2:I106">SUMIF($A$2:$A$1000,H2&amp;" Studienjahr 2024/25",$C$2:$C$1000)</f>
        <v>77167</v>
      </c>
      <c s="37">
        <f t="shared" si="1" ref="J2:J106">SUMIF($A$2:$A$1000,H2&amp;" Studienjahr 2023/24",$C$2:$C$1000)</f>
        <v>73762</v>
      </c>
      <c s="37">
        <f t="shared" si="2" ref="K2:K106">SUMIF($A$2:$A$1000,H2&amp;" Studienjahr 2022/23",$C$2:$C$1000)</f>
        <v>70283</v>
      </c>
      <c r="N2">
        <v>36530</v>
      </c>
      <c>
        <v>36530</v>
      </c>
      <c>
        <v>36530</v>
      </c>
    </row>
    <row ht="14.95">
      <c t="s">
        <v>414</v>
      </c>
      <c>
        <v>412</v>
      </c>
      <c>
        <v>11593</v>
      </c>
      <c r="I3" s="37">
        <f t="shared" si="0"/>
        <v>0</v>
      </c>
      <c s="37">
        <f t="shared" si="1"/>
        <v>0</v>
      </c>
      <c s="37">
        <f t="shared" si="2"/>
        <v>0</v>
      </c>
      <c r="N3">
        <v>36530</v>
      </c>
      <c>
        <v>36530</v>
      </c>
      <c>
        <v>36530</v>
      </c>
    </row>
    <row ht="14.95">
      <c t="s">
        <v>4</v>
      </c>
      <c>
        <v>412</v>
      </c>
      <c>
        <v>16161</v>
      </c>
      <c r="I4" s="37">
        <f t="shared" si="0"/>
        <v>0</v>
      </c>
      <c s="37">
        <f t="shared" si="1"/>
        <v>0</v>
      </c>
      <c s="37">
        <f t="shared" si="2"/>
        <v>0</v>
      </c>
      <c r="N4">
        <v>36530</v>
      </c>
      <c>
        <v>36530</v>
      </c>
      <c>
        <v>36530</v>
      </c>
    </row>
    <row ht="14.95">
      <c t="s">
        <v>197</v>
      </c>
      <c>
        <v>412</v>
      </c>
      <c>
        <v>18652</v>
      </c>
      <c r="I5" s="37">
        <f t="shared" si="0"/>
        <v>0</v>
      </c>
      <c s="37">
        <f t="shared" si="1"/>
        <v>0</v>
      </c>
      <c s="37">
        <f t="shared" si="2"/>
        <v>0</v>
      </c>
      <c r="N5">
        <v>36530</v>
      </c>
      <c>
        <v>36530</v>
      </c>
      <c>
        <v>36530</v>
      </c>
    </row>
    <row ht="14.95">
      <c t="s">
        <v>105</v>
      </c>
      <c>
        <v>3653</v>
      </c>
      <c>
        <v>22219</v>
      </c>
      <c r="I6" s="37">
        <f t="shared" si="0"/>
        <v>0</v>
      </c>
      <c s="37">
        <f t="shared" si="1"/>
        <v>0</v>
      </c>
      <c s="37">
        <f t="shared" si="2"/>
        <v>0</v>
      </c>
      <c r="N6">
        <v>36530</v>
      </c>
      <c>
        <v>36530</v>
      </c>
      <c>
        <v>36530</v>
      </c>
    </row>
    <row ht="14.95">
      <c t="s">
        <v>198</v>
      </c>
      <c>
        <v>3653</v>
      </c>
      <c>
        <v>24894</v>
      </c>
      <c r="H7" t="s">
        <v>378</v>
      </c>
      <c s="37">
        <f t="shared" si="0"/>
        <v>77258</v>
      </c>
      <c s="37">
        <f t="shared" si="1"/>
        <v>73800</v>
      </c>
      <c s="37">
        <f t="shared" si="2"/>
        <v>70763</v>
      </c>
      <c r="N7">
        <v>36530</v>
      </c>
      <c>
        <v>36530</v>
      </c>
      <c>
        <v>36530</v>
      </c>
    </row>
    <row ht="14.95">
      <c t="s">
        <v>285</v>
      </c>
      <c>
        <v>3653</v>
      </c>
      <c>
        <v>29067</v>
      </c>
      <c r="I8" s="37">
        <f t="shared" si="0"/>
        <v>0</v>
      </c>
      <c s="37">
        <f t="shared" si="1"/>
        <v>0</v>
      </c>
      <c s="37">
        <f t="shared" si="2"/>
        <v>0</v>
      </c>
      <c r="N8">
        <v>36530</v>
      </c>
      <c>
        <v>36530</v>
      </c>
      <c>
        <v>36530</v>
      </c>
    </row>
    <row ht="14.95">
      <c t="s">
        <v>379</v>
      </c>
      <c>
        <v>3653</v>
      </c>
      <c>
        <v>41060</v>
      </c>
      <c r="I9" s="37">
        <f t="shared" si="0"/>
        <v>0</v>
      </c>
      <c s="37">
        <f t="shared" si="1"/>
        <v>0</v>
      </c>
      <c s="37">
        <f t="shared" si="2"/>
        <v>0</v>
      </c>
      <c r="N9">
        <v>36530</v>
      </c>
      <c>
        <v>36530</v>
      </c>
      <c>
        <v>36530</v>
      </c>
    </row>
    <row ht="14.95">
      <c t="s">
        <v>477</v>
      </c>
      <c>
        <v>3653</v>
      </c>
      <c>
        <v>43302</v>
      </c>
      <c r="I10" s="37">
        <f t="shared" si="0"/>
        <v>0</v>
      </c>
      <c s="37">
        <f t="shared" si="1"/>
        <v>0</v>
      </c>
      <c s="37">
        <f t="shared" si="2"/>
        <v>0</v>
      </c>
      <c r="N10">
        <v>36530</v>
      </c>
      <c>
        <v>36530</v>
      </c>
      <c>
        <v>36530</v>
      </c>
    </row>
    <row ht="14.95">
      <c t="s">
        <v>73</v>
      </c>
      <c>
        <v>3653</v>
      </c>
      <c>
        <v>45005</v>
      </c>
      <c r="I11" s="37">
        <f t="shared" si="0"/>
        <v>0</v>
      </c>
      <c s="37">
        <f t="shared" si="1"/>
        <v>0</v>
      </c>
      <c s="37">
        <f t="shared" si="2"/>
        <v>0</v>
      </c>
      <c r="N11">
        <v>36530</v>
      </c>
      <c>
        <v>36530</v>
      </c>
      <c>
        <v>36530</v>
      </c>
    </row>
    <row ht="14.95">
      <c t="s">
        <v>169</v>
      </c>
      <c>
        <v>36530</v>
      </c>
      <c>
        <v>46024</v>
      </c>
      <c r="H12" t="s">
        <v>5</v>
      </c>
      <c s="37">
        <f t="shared" si="0"/>
        <v>76895</v>
      </c>
      <c s="37">
        <f t="shared" si="1"/>
        <v>74599</v>
      </c>
      <c s="37">
        <f t="shared" si="2"/>
        <v>70205</v>
      </c>
      <c r="N12">
        <v>36530</v>
      </c>
      <c>
        <v>36530</v>
      </c>
      <c>
        <v>36530</v>
      </c>
    </row>
    <row ht="14.95">
      <c t="s">
        <v>256</v>
      </c>
      <c>
        <v>36530</v>
      </c>
      <c>
        <v>51063</v>
      </c>
      <c r="I13" s="37">
        <f t="shared" si="0"/>
        <v>0</v>
      </c>
      <c s="37">
        <f t="shared" si="1"/>
        <v>0</v>
      </c>
      <c s="37">
        <f t="shared" si="2"/>
        <v>0</v>
      </c>
      <c r="N13">
        <v>36530</v>
      </c>
      <c>
        <v>36530</v>
      </c>
      <c>
        <v>36530</v>
      </c>
    </row>
    <row ht="14.95">
      <c t="s">
        <v>347</v>
      </c>
      <c>
        <v>36530</v>
      </c>
      <c>
        <v>53450</v>
      </c>
      <c r="I14" s="37">
        <f t="shared" si="0"/>
        <v>0</v>
      </c>
      <c s="37">
        <f t="shared" si="1"/>
        <v>0</v>
      </c>
      <c s="37">
        <f t="shared" si="2"/>
        <v>0</v>
      </c>
      <c r="N14">
        <v>36530</v>
      </c>
      <c>
        <v>36530</v>
      </c>
      <c>
        <v>36530</v>
      </c>
    </row>
    <row ht="14.95">
      <c t="s">
        <v>40</v>
      </c>
      <c>
        <v>36530</v>
      </c>
      <c>
        <v>57767</v>
      </c>
      <c r="I15" s="37">
        <f t="shared" si="0"/>
        <v>0</v>
      </c>
      <c s="37">
        <f t="shared" si="1"/>
        <v>0</v>
      </c>
      <c s="37">
        <f t="shared" si="2"/>
        <v>0</v>
      </c>
      <c r="N15">
        <v>36530</v>
      </c>
      <c>
        <v>36530</v>
      </c>
      <c>
        <v>36530</v>
      </c>
    </row>
    <row ht="14.95">
      <c t="s">
        <v>449</v>
      </c>
      <c>
        <v>36530</v>
      </c>
      <c>
        <v>65513</v>
      </c>
      <c r="I16" s="37">
        <f t="shared" si="0"/>
        <v>0</v>
      </c>
      <c s="37">
        <f t="shared" si="1"/>
        <v>0</v>
      </c>
      <c s="37">
        <f t="shared" si="2"/>
        <v>0</v>
      </c>
      <c r="N16">
        <v>36530</v>
      </c>
      <c>
        <v>36530</v>
      </c>
      <c>
        <v>36530</v>
      </c>
    </row>
    <row ht="14.95">
      <c t="s">
        <v>41</v>
      </c>
      <c>
        <v>36530</v>
      </c>
      <c>
        <v>67823</v>
      </c>
      <c r="H17" t="s">
        <v>415</v>
      </c>
      <c s="37">
        <f t="shared" si="0"/>
        <v>76773</v>
      </c>
      <c s="37">
        <f t="shared" si="1"/>
        <v>73195</v>
      </c>
      <c s="37">
        <f t="shared" si="2"/>
        <v>70169</v>
      </c>
      <c r="N17">
        <v>36530</v>
      </c>
      <c>
        <v>36530</v>
      </c>
      <c>
        <v>36530</v>
      </c>
    </row>
    <row ht="14.95">
      <c t="s">
        <v>159</v>
      </c>
      <c>
        <v>36530</v>
      </c>
      <c>
        <v>70283</v>
      </c>
      <c r="I18" s="37">
        <f t="shared" si="0"/>
        <v>0</v>
      </c>
      <c s="37">
        <f t="shared" si="1"/>
        <v>0</v>
      </c>
      <c s="37">
        <f t="shared" si="2"/>
        <v>0</v>
      </c>
      <c r="N18">
        <v>36530</v>
      </c>
      <c>
        <v>36530</v>
      </c>
      <c>
        <v>36530</v>
      </c>
    </row>
    <row ht="14.95">
      <c t="s">
        <v>250</v>
      </c>
      <c>
        <v>36530</v>
      </c>
      <c>
        <v>73762</v>
      </c>
      <c r="I19" s="37">
        <f t="shared" si="0"/>
        <v>0</v>
      </c>
      <c s="37">
        <f t="shared" si="1"/>
        <v>0</v>
      </c>
      <c s="37">
        <f t="shared" si="2"/>
        <v>0</v>
      </c>
      <c r="N19">
        <v>36530</v>
      </c>
      <c>
        <v>36530</v>
      </c>
      <c>
        <v>36530</v>
      </c>
    </row>
    <row ht="14.95">
      <c t="s">
        <v>345</v>
      </c>
      <c>
        <v>36530</v>
      </c>
      <c>
        <v>77167</v>
      </c>
      <c r="I20" s="37">
        <f t="shared" si="0"/>
        <v>0</v>
      </c>
      <c s="37">
        <f t="shared" si="1"/>
        <v>0</v>
      </c>
      <c s="37">
        <f t="shared" si="2"/>
        <v>0</v>
      </c>
      <c r="N20">
        <v>36530</v>
      </c>
      <c>
        <v>36530</v>
      </c>
      <c>
        <v>36530</v>
      </c>
    </row>
    <row ht="14.95">
      <c t="s">
        <v>348</v>
      </c>
      <c>
        <v>412</v>
      </c>
      <c>
        <v>4405</v>
      </c>
      <c r="I21" s="37">
        <f t="shared" si="0"/>
        <v>0</v>
      </c>
      <c s="37">
        <f t="shared" si="1"/>
        <v>0</v>
      </c>
      <c s="37">
        <f t="shared" si="2"/>
        <v>0</v>
      </c>
      <c r="N21">
        <v>36530</v>
      </c>
      <c>
        <v>36530</v>
      </c>
      <c>
        <v>36530</v>
      </c>
    </row>
    <row ht="14.95">
      <c t="s">
        <v>450</v>
      </c>
      <c>
        <v>412</v>
      </c>
      <c>
        <v>11977</v>
      </c>
      <c r="H22" t="s">
        <v>39</v>
      </c>
      <c s="37">
        <f t="shared" si="0"/>
        <v>78478</v>
      </c>
      <c s="37">
        <f t="shared" si="1"/>
        <v>74035</v>
      </c>
      <c s="37">
        <f t="shared" si="2"/>
        <v>70334</v>
      </c>
      <c r="N22">
        <v>36530</v>
      </c>
      <c>
        <v>36530</v>
      </c>
      <c>
        <v>36530</v>
      </c>
    </row>
    <row ht="14.95">
      <c t="s">
        <v>42</v>
      </c>
      <c>
        <v>412</v>
      </c>
      <c>
        <v>16050</v>
      </c>
      <c r="I23" s="37">
        <f t="shared" si="0"/>
        <v>0</v>
      </c>
      <c s="37">
        <f t="shared" si="1"/>
        <v>0</v>
      </c>
      <c s="37">
        <f t="shared" si="2"/>
        <v>0</v>
      </c>
      <c r="N23">
        <v>36530</v>
      </c>
      <c>
        <v>36530</v>
      </c>
      <c>
        <v>36530</v>
      </c>
    </row>
    <row ht="14.95">
      <c t="s">
        <v>134</v>
      </c>
      <c>
        <v>3653</v>
      </c>
      <c>
        <v>21977</v>
      </c>
      <c r="I24" s="37">
        <f t="shared" si="0"/>
        <v>0</v>
      </c>
      <c s="37">
        <f t="shared" si="1"/>
        <v>0</v>
      </c>
      <c s="37">
        <f t="shared" si="2"/>
        <v>0</v>
      </c>
      <c r="N24">
        <v>36530</v>
      </c>
      <c>
        <v>36530</v>
      </c>
      <c>
        <v>36530</v>
      </c>
    </row>
    <row ht="14.95">
      <c t="s">
        <v>226</v>
      </c>
      <c>
        <v>3653</v>
      </c>
      <c>
        <v>25180</v>
      </c>
      <c r="I25" s="37">
        <f t="shared" si="0"/>
        <v>0</v>
      </c>
      <c s="37">
        <f t="shared" si="1"/>
        <v>0</v>
      </c>
      <c s="37">
        <f t="shared" si="2"/>
        <v>0</v>
      </c>
      <c r="N25">
        <v>36530</v>
      </c>
      <c>
        <v>36530</v>
      </c>
      <c>
        <v>36530</v>
      </c>
    </row>
    <row ht="14.95">
      <c t="s">
        <v>320</v>
      </c>
      <c>
        <v>3653</v>
      </c>
      <c>
        <v>28479</v>
      </c>
      <c r="I26" s="37">
        <f t="shared" si="0"/>
        <v>0</v>
      </c>
      <c s="37">
        <f t="shared" si="1"/>
        <v>0</v>
      </c>
      <c s="37">
        <f t="shared" si="2"/>
        <v>0</v>
      </c>
      <c r="N26">
        <v>36530</v>
      </c>
      <c>
        <v>36530</v>
      </c>
      <c>
        <v>36530</v>
      </c>
    </row>
    <row ht="14.95">
      <c t="s">
        <v>416</v>
      </c>
      <c>
        <v>3653</v>
      </c>
      <c>
        <v>41073</v>
      </c>
      <c r="H27" t="s">
        <v>286</v>
      </c>
      <c s="37">
        <f t="shared" si="0"/>
        <v>78433</v>
      </c>
      <c s="37">
        <f t="shared" si="1"/>
        <v>73985</v>
      </c>
      <c s="37">
        <f t="shared" si="2"/>
        <v>70637</v>
      </c>
      <c r="N27">
        <v>36530</v>
      </c>
      <c>
        <v>36530</v>
      </c>
      <c>
        <v>36530</v>
      </c>
    </row>
    <row ht="14.95">
      <c t="s">
        <v>7</v>
      </c>
      <c>
        <v>3653</v>
      </c>
      <c>
        <v>43256</v>
      </c>
      <c r="I28" s="37">
        <f t="shared" si="0"/>
        <v>0</v>
      </c>
      <c s="37">
        <f t="shared" si="1"/>
        <v>0</v>
      </c>
      <c s="37">
        <f t="shared" si="2"/>
        <v>0</v>
      </c>
      <c r="N28">
        <v>36530</v>
      </c>
      <c>
        <v>36530</v>
      </c>
      <c>
        <v>36530</v>
      </c>
    </row>
    <row ht="14.95">
      <c t="s">
        <v>106</v>
      </c>
      <c>
        <v>3653</v>
      </c>
      <c>
        <v>44220</v>
      </c>
      <c r="I29" s="37">
        <f t="shared" si="0"/>
        <v>0</v>
      </c>
      <c s="37">
        <f t="shared" si="1"/>
        <v>0</v>
      </c>
      <c s="37">
        <f t="shared" si="2"/>
        <v>0</v>
      </c>
      <c r="N29">
        <v>36530</v>
      </c>
      <c>
        <v>36530</v>
      </c>
      <c>
        <v>36530</v>
      </c>
    </row>
    <row ht="14.95">
      <c t="s">
        <v>199</v>
      </c>
      <c>
        <v>36530</v>
      </c>
      <c>
        <v>46011</v>
      </c>
      <c r="I30" s="37">
        <f t="shared" si="0"/>
        <v>0</v>
      </c>
      <c s="37">
        <f t="shared" si="1"/>
        <v>0</v>
      </c>
      <c s="37">
        <f t="shared" si="2"/>
        <v>0</v>
      </c>
      <c r="N30">
        <v>36530</v>
      </c>
      <c>
        <v>36530</v>
      </c>
      <c>
        <v>36530</v>
      </c>
    </row>
    <row ht="14.95">
      <c t="s">
        <v>287</v>
      </c>
      <c>
        <v>36530</v>
      </c>
      <c>
        <v>49518</v>
      </c>
      <c r="I31" s="37">
        <f t="shared" si="0"/>
        <v>0</v>
      </c>
      <c s="37">
        <f t="shared" si="1"/>
        <v>0</v>
      </c>
      <c s="37">
        <f t="shared" si="2"/>
        <v>0</v>
      </c>
      <c r="N31">
        <v>36530</v>
      </c>
      <c>
        <v>36530</v>
      </c>
      <c>
        <v>36530</v>
      </c>
    </row>
    <row ht="14.95">
      <c t="s">
        <v>381</v>
      </c>
      <c>
        <v>36530</v>
      </c>
      <c>
        <v>52848</v>
      </c>
      <c r="H32" t="str">
        <f>CONCATENATE("U","D")</f>
        <v>UD</v>
      </c>
      <c s="37">
        <f t="shared" si="0"/>
        <v>78013</v>
      </c>
      <c s="37">
        <f t="shared" si="1"/>
        <v>73576</v>
      </c>
      <c s="37">
        <f t="shared" si="2"/>
        <v>70257</v>
      </c>
      <c r="N32">
        <v>36530</v>
      </c>
      <c>
        <v>36530</v>
      </c>
      <c>
        <v>36530</v>
      </c>
    </row>
    <row ht="14.95">
      <c t="s">
        <v>74</v>
      </c>
      <c>
        <v>36530</v>
      </c>
      <c>
        <v>59552</v>
      </c>
      <c r="I33" s="37">
        <f t="shared" si="0"/>
        <v>0</v>
      </c>
      <c s="37">
        <f t="shared" si="1"/>
        <v>0</v>
      </c>
      <c s="37">
        <f t="shared" si="2"/>
        <v>0</v>
      </c>
      <c r="N33">
        <v>36530</v>
      </c>
      <c>
        <v>36530</v>
      </c>
      <c>
        <v>36530</v>
      </c>
    </row>
    <row ht="14.95">
      <c t="s">
        <v>478</v>
      </c>
      <c>
        <v>36530</v>
      </c>
      <c>
        <v>65425</v>
      </c>
      <c r="I34" s="37">
        <f t="shared" si="0"/>
        <v>0</v>
      </c>
      <c s="37">
        <f t="shared" si="1"/>
        <v>0</v>
      </c>
      <c s="37">
        <f t="shared" si="2"/>
        <v>0</v>
      </c>
      <c r="N34">
        <v>36530</v>
      </c>
      <c>
        <v>36530</v>
      </c>
      <c>
        <v>36530</v>
      </c>
    </row>
    <row ht="14.95">
      <c t="s">
        <v>75</v>
      </c>
      <c>
        <v>36530</v>
      </c>
      <c>
        <v>68044</v>
      </c>
      <c r="I35" s="37">
        <f t="shared" si="0"/>
        <v>0</v>
      </c>
      <c s="37">
        <f t="shared" si="1"/>
        <v>0</v>
      </c>
      <c s="37">
        <f t="shared" si="2"/>
        <v>0</v>
      </c>
      <c r="N35">
        <v>36530</v>
      </c>
      <c>
        <v>36530</v>
      </c>
      <c>
        <v>36530</v>
      </c>
    </row>
    <row ht="14.95">
      <c t="s">
        <v>188</v>
      </c>
      <c>
        <v>36530</v>
      </c>
      <c>
        <v>70763</v>
      </c>
      <c r="I36" s="37">
        <f t="shared" si="0"/>
        <v>0</v>
      </c>
      <c s="37">
        <f t="shared" si="1"/>
        <v>0</v>
      </c>
      <c s="37">
        <f t="shared" si="2"/>
        <v>0</v>
      </c>
      <c r="N36">
        <v>36530</v>
      </c>
      <c>
        <v>36530</v>
      </c>
      <c>
        <v>36530</v>
      </c>
    </row>
    <row ht="14.95">
      <c t="s">
        <v>276</v>
      </c>
      <c>
        <v>36530</v>
      </c>
      <c>
        <v>73800</v>
      </c>
      <c r="H37" t="s">
        <v>257</v>
      </c>
      <c s="37">
        <f t="shared" si="0"/>
        <v>77205</v>
      </c>
      <c s="37">
        <f t="shared" si="1"/>
        <v>73779</v>
      </c>
      <c s="37">
        <f t="shared" si="2"/>
        <v>70695</v>
      </c>
      <c r="N37">
        <v>36530</v>
      </c>
      <c>
        <v>36530</v>
      </c>
      <c>
        <v>36530</v>
      </c>
    </row>
    <row ht="14.95">
      <c t="s">
        <v>370</v>
      </c>
      <c>
        <v>36530</v>
      </c>
      <c>
        <v>77258</v>
      </c>
      <c r="I38" s="37">
        <f t="shared" si="0"/>
        <v>0</v>
      </c>
      <c s="37">
        <f t="shared" si="1"/>
        <v>0</v>
      </c>
      <c s="37">
        <f t="shared" si="2"/>
        <v>0</v>
      </c>
      <c r="N38">
        <v>36530</v>
      </c>
      <c>
        <v>36530</v>
      </c>
      <c>
        <v>36530</v>
      </c>
    </row>
    <row ht="14.95">
      <c t="s">
        <v>417</v>
      </c>
      <c>
        <v>412</v>
      </c>
      <c>
        <v>4397</v>
      </c>
      <c r="I39" s="37">
        <f t="shared" si="0"/>
        <v>0</v>
      </c>
      <c s="37">
        <f t="shared" si="1"/>
        <v>0</v>
      </c>
      <c s="37">
        <f t="shared" si="2"/>
        <v>0</v>
      </c>
      <c r="N39">
        <v>36530</v>
      </c>
      <c>
        <v>36530</v>
      </c>
      <c>
        <v>36530</v>
      </c>
    </row>
    <row ht="14.95">
      <c t="s">
        <v>8</v>
      </c>
      <c>
        <v>412</v>
      </c>
      <c>
        <v>11547</v>
      </c>
      <c r="I40" s="37">
        <f t="shared" si="0"/>
        <v>0</v>
      </c>
      <c s="37">
        <f t="shared" si="1"/>
        <v>0</v>
      </c>
      <c s="37">
        <f t="shared" si="2"/>
        <v>0</v>
      </c>
      <c r="N40">
        <v>36530</v>
      </c>
      <c>
        <v>36530</v>
      </c>
      <c>
        <v>36530</v>
      </c>
    </row>
    <row ht="14.95">
      <c t="s">
        <v>107</v>
      </c>
      <c>
        <v>412</v>
      </c>
      <c>
        <v>16100</v>
      </c>
      <c r="I41" s="37">
        <f t="shared" si="0"/>
        <v>0</v>
      </c>
      <c s="37">
        <f t="shared" si="1"/>
        <v>0</v>
      </c>
      <c s="37">
        <f t="shared" si="2"/>
        <v>0</v>
      </c>
      <c r="N41">
        <v>36530</v>
      </c>
      <c>
        <v>36530</v>
      </c>
      <c>
        <v>36530</v>
      </c>
    </row>
    <row ht="14.95">
      <c t="s">
        <v>288</v>
      </c>
      <c>
        <v>412</v>
      </c>
      <c>
        <v>18642</v>
      </c>
      <c r="H42" t="s">
        <v>380</v>
      </c>
      <c s="37">
        <f t="shared" si="0"/>
        <v>77996</v>
      </c>
      <c s="37">
        <f t="shared" si="1"/>
        <v>73603</v>
      </c>
      <c s="37">
        <f t="shared" si="2"/>
        <v>70360</v>
      </c>
      <c r="N42">
        <v>36530</v>
      </c>
      <c>
        <v>36530</v>
      </c>
      <c>
        <v>36530</v>
      </c>
    </row>
    <row ht="14.95">
      <c t="s">
        <v>200</v>
      </c>
      <c>
        <v>3653</v>
      </c>
      <c>
        <v>22936</v>
      </c>
      <c r="I43" s="37">
        <f t="shared" si="0"/>
        <v>0</v>
      </c>
      <c s="37">
        <f t="shared" si="1"/>
        <v>0</v>
      </c>
      <c s="37">
        <f t="shared" si="2"/>
        <v>0</v>
      </c>
      <c r="N43">
        <v>36530</v>
      </c>
      <c>
        <v>36530</v>
      </c>
      <c>
        <v>36530</v>
      </c>
    </row>
    <row ht="14.95">
      <c t="s">
        <v>289</v>
      </c>
      <c>
        <v>3653</v>
      </c>
      <c>
        <v>24745</v>
      </c>
      <c r="I44" s="37">
        <f t="shared" si="0"/>
        <v>0</v>
      </c>
      <c s="37">
        <f t="shared" si="1"/>
        <v>0</v>
      </c>
      <c s="37">
        <f t="shared" si="2"/>
        <v>0</v>
      </c>
      <c r="N44">
        <v>36530</v>
      </c>
      <c>
        <v>36530</v>
      </c>
      <c>
        <v>36530</v>
      </c>
    </row>
    <row ht="14.95">
      <c t="s">
        <v>383</v>
      </c>
      <c>
        <v>3653</v>
      </c>
      <c>
        <v>28430</v>
      </c>
      <c r="I45" s="37">
        <f t="shared" si="0"/>
        <v>0</v>
      </c>
      <c s="37">
        <f t="shared" si="1"/>
        <v>0</v>
      </c>
      <c s="37">
        <f t="shared" si="2"/>
        <v>0</v>
      </c>
      <c r="N45">
        <v>36530</v>
      </c>
      <c>
        <v>36530</v>
      </c>
      <c>
        <v>36530</v>
      </c>
    </row>
    <row ht="14.95">
      <c t="s">
        <v>479</v>
      </c>
      <c>
        <v>3653</v>
      </c>
      <c>
        <v>40980</v>
      </c>
      <c r="I46" s="37">
        <f t="shared" si="0"/>
        <v>0</v>
      </c>
      <c s="37">
        <f t="shared" si="1"/>
        <v>0</v>
      </c>
      <c s="37">
        <f t="shared" si="2"/>
        <v>0</v>
      </c>
      <c r="N46">
        <v>36530</v>
      </c>
      <c>
        <v>36530</v>
      </c>
      <c>
        <v>36530</v>
      </c>
    </row>
    <row ht="14.95">
      <c t="s">
        <v>76</v>
      </c>
      <c>
        <v>3653</v>
      </c>
      <c>
        <v>42645</v>
      </c>
      <c r="H47" t="s">
        <v>6</v>
      </c>
      <c s="37">
        <f t="shared" si="0"/>
        <v>77386</v>
      </c>
      <c s="37">
        <f t="shared" si="1"/>
        <v>73974</v>
      </c>
      <c s="37">
        <f t="shared" si="2"/>
        <v>70787</v>
      </c>
      <c r="N47">
        <v>36530</v>
      </c>
      <c>
        <v>36530</v>
      </c>
      <c>
        <v>36530</v>
      </c>
    </row>
    <row ht="14.95">
      <c t="s">
        <v>171</v>
      </c>
      <c>
        <v>3653</v>
      </c>
      <c>
        <v>44794</v>
      </c>
      <c r="I48" s="37">
        <f t="shared" si="0"/>
        <v>0</v>
      </c>
      <c s="37">
        <f t="shared" si="1"/>
        <v>0</v>
      </c>
      <c s="37">
        <f t="shared" si="2"/>
        <v>0</v>
      </c>
      <c r="N48">
        <v>36530</v>
      </c>
      <c>
        <v>36530</v>
      </c>
      <c>
        <v>36530</v>
      </c>
    </row>
    <row ht="14.95">
      <c t="s">
        <v>259</v>
      </c>
      <c>
        <v>36530</v>
      </c>
      <c>
        <v>46142</v>
      </c>
      <c r="I49" s="37">
        <f t="shared" si="0"/>
        <v>0</v>
      </c>
      <c s="37">
        <f t="shared" si="1"/>
        <v>0</v>
      </c>
      <c s="37">
        <f t="shared" si="2"/>
        <v>0</v>
      </c>
      <c r="N49">
        <v>36530</v>
      </c>
      <c>
        <v>36530</v>
      </c>
      <c>
        <v>36530</v>
      </c>
    </row>
    <row ht="14.95">
      <c t="s">
        <v>349</v>
      </c>
      <c>
        <v>36530</v>
      </c>
      <c>
        <v>49672</v>
      </c>
      <c r="I50" s="37">
        <f t="shared" si="0"/>
        <v>0</v>
      </c>
      <c s="37">
        <f t="shared" si="1"/>
        <v>0</v>
      </c>
      <c s="37">
        <f t="shared" si="2"/>
        <v>0</v>
      </c>
      <c r="N50">
        <v>36530</v>
      </c>
      <c>
        <v>36530</v>
      </c>
      <c>
        <v>36530</v>
      </c>
    </row>
    <row ht="14.95">
      <c t="s">
        <v>452</v>
      </c>
      <c>
        <v>36530</v>
      </c>
      <c>
        <v>53138</v>
      </c>
      <c r="I51" s="37">
        <f t="shared" si="0"/>
        <v>0</v>
      </c>
      <c s="37">
        <f t="shared" si="1"/>
        <v>0</v>
      </c>
      <c s="37">
        <f t="shared" si="2"/>
        <v>0</v>
      </c>
      <c r="N51">
        <v>36530</v>
      </c>
      <c>
        <v>36530</v>
      </c>
      <c>
        <v>36530</v>
      </c>
    </row>
    <row ht="14.95">
      <c t="s">
        <v>136</v>
      </c>
      <c>
        <v>36530</v>
      </c>
      <c>
        <v>57703</v>
      </c>
      <c r="H52" t="s">
        <v>135</v>
      </c>
      <c s="37">
        <f t="shared" si="0"/>
        <v>76735</v>
      </c>
      <c s="37">
        <f t="shared" si="1"/>
        <v>74297</v>
      </c>
      <c s="37">
        <f t="shared" si="2"/>
        <v>70678</v>
      </c>
      <c r="N52">
        <v>36530</v>
      </c>
      <c>
        <v>36530</v>
      </c>
      <c>
        <v>36530</v>
      </c>
    </row>
    <row ht="14.95">
      <c t="s">
        <v>45</v>
      </c>
      <c>
        <v>36530</v>
      </c>
      <c>
        <v>65011</v>
      </c>
      <c r="I53" s="37">
        <f t="shared" si="0"/>
        <v>0</v>
      </c>
      <c s="37">
        <f t="shared" si="1"/>
        <v>0</v>
      </c>
      <c s="37">
        <f t="shared" si="2"/>
        <v>0</v>
      </c>
      <c r="N53">
        <v>36530</v>
      </c>
      <c>
        <v>36530</v>
      </c>
      <c>
        <v>36530</v>
      </c>
    </row>
    <row ht="14.95">
      <c t="s">
        <v>137</v>
      </c>
      <c>
        <v>36530</v>
      </c>
      <c>
        <v>67568</v>
      </c>
      <c r="I54" s="37">
        <f t="shared" si="0"/>
        <v>0</v>
      </c>
      <c s="37">
        <f t="shared" si="1"/>
        <v>0</v>
      </c>
      <c s="37">
        <f t="shared" si="2"/>
        <v>0</v>
      </c>
      <c r="N54">
        <v>36530</v>
      </c>
      <c>
        <v>36530</v>
      </c>
      <c>
        <v>36530</v>
      </c>
    </row>
    <row ht="14.95">
      <c t="s">
        <v>248</v>
      </c>
      <c>
        <v>36530</v>
      </c>
      <c>
        <v>70205</v>
      </c>
      <c r="I55" s="37">
        <f t="shared" si="0"/>
        <v>0</v>
      </c>
      <c s="37">
        <f t="shared" si="1"/>
        <v>0</v>
      </c>
      <c s="37">
        <f t="shared" si="2"/>
        <v>0</v>
      </c>
      <c r="N55">
        <v>36530</v>
      </c>
      <c>
        <v>36530</v>
      </c>
      <c>
        <v>36530</v>
      </c>
    </row>
    <row ht="14.95">
      <c t="s">
        <v>343</v>
      </c>
      <c>
        <v>36530</v>
      </c>
      <c>
        <v>74599</v>
      </c>
      <c r="I56" s="37">
        <f t="shared" si="0"/>
        <v>0</v>
      </c>
      <c s="37">
        <f t="shared" si="1"/>
        <v>0</v>
      </c>
      <c s="37">
        <f t="shared" si="2"/>
        <v>0</v>
      </c>
      <c r="N56">
        <v>36530</v>
      </c>
      <c>
        <v>36530</v>
      </c>
      <c>
        <v>36530</v>
      </c>
    </row>
    <row ht="14.95">
      <c t="s">
        <v>441</v>
      </c>
      <c>
        <v>36530</v>
      </c>
      <c>
        <v>76895</v>
      </c>
      <c r="H57" t="s">
        <v>258</v>
      </c>
      <c s="37">
        <f t="shared" si="0"/>
        <v>77085</v>
      </c>
      <c s="37">
        <f t="shared" si="1"/>
        <v>73269</v>
      </c>
      <c s="37">
        <f t="shared" si="2"/>
        <v>70352</v>
      </c>
      <c r="N57">
        <v>36530</v>
      </c>
      <c>
        <v>36530</v>
      </c>
      <c>
        <v>36530</v>
      </c>
    </row>
    <row ht="14.95">
      <c t="s">
        <v>78</v>
      </c>
      <c>
        <v>412</v>
      </c>
      <c>
        <v>13345</v>
      </c>
      <c r="I58" s="37">
        <f t="shared" si="0"/>
        <v>0</v>
      </c>
      <c s="37">
        <f t="shared" si="1"/>
        <v>0</v>
      </c>
      <c s="37">
        <f t="shared" si="2"/>
        <v>0</v>
      </c>
      <c r="N58">
        <v>36530</v>
      </c>
      <c>
        <v>36530</v>
      </c>
      <c>
        <v>36530</v>
      </c>
    </row>
    <row ht="14.95">
      <c t="s">
        <v>172</v>
      </c>
      <c>
        <v>412</v>
      </c>
      <c>
        <v>16257</v>
      </c>
      <c r="I59" s="37">
        <f t="shared" si="0"/>
        <v>0</v>
      </c>
      <c s="37">
        <f t="shared" si="1"/>
        <v>0</v>
      </c>
      <c s="37">
        <f t="shared" si="2"/>
        <v>0</v>
      </c>
      <c r="N59">
        <v>36530</v>
      </c>
      <c>
        <v>36530</v>
      </c>
      <c>
        <v>36530</v>
      </c>
    </row>
    <row ht="14.95">
      <c t="s">
        <v>350</v>
      </c>
      <c>
        <v>412</v>
      </c>
      <c>
        <v>18972</v>
      </c>
      <c r="I60" s="37">
        <f t="shared" si="0"/>
        <v>0</v>
      </c>
      <c s="37">
        <f t="shared" si="1"/>
        <v>0</v>
      </c>
      <c s="37">
        <f t="shared" si="2"/>
        <v>0</v>
      </c>
      <c r="N60">
        <v>36530</v>
      </c>
      <c>
        <v>36530</v>
      </c>
      <c>
        <v>36530</v>
      </c>
    </row>
    <row ht="14.95">
      <c t="s">
        <v>260</v>
      </c>
      <c>
        <v>3653</v>
      </c>
      <c>
        <v>22836</v>
      </c>
      <c r="I61" s="37">
        <f t="shared" si="0"/>
        <v>0</v>
      </c>
      <c s="37">
        <f t="shared" si="1"/>
        <v>0</v>
      </c>
      <c s="37">
        <f t="shared" si="2"/>
        <v>0</v>
      </c>
      <c r="N61">
        <v>36530</v>
      </c>
      <c>
        <v>36530</v>
      </c>
      <c>
        <v>36530</v>
      </c>
    </row>
    <row ht="14.95">
      <c t="s">
        <v>351</v>
      </c>
      <c>
        <v>3653</v>
      </c>
      <c>
        <v>25839</v>
      </c>
      <c r="H62" t="s">
        <v>382</v>
      </c>
      <c s="37">
        <f t="shared" si="0"/>
        <v>77141</v>
      </c>
      <c s="37">
        <f t="shared" si="1"/>
        <v>73795</v>
      </c>
      <c s="37">
        <f t="shared" si="2"/>
        <v>70929</v>
      </c>
      <c r="N62">
        <v>36530</v>
      </c>
      <c>
        <v>36530</v>
      </c>
      <c>
        <v>36530</v>
      </c>
    </row>
    <row ht="14.95">
      <c t="s">
        <v>419</v>
      </c>
      <c>
        <v>3653</v>
      </c>
      <c>
        <v>28517</v>
      </c>
      <c r="I63" s="37">
        <f t="shared" si="0"/>
        <v>0</v>
      </c>
      <c s="37">
        <f t="shared" si="1"/>
        <v>0</v>
      </c>
      <c s="37">
        <f t="shared" si="2"/>
        <v>0</v>
      </c>
      <c r="N63">
        <v>36530</v>
      </c>
      <c>
        <v>36530</v>
      </c>
      <c>
        <v>36530</v>
      </c>
    </row>
    <row ht="14.95">
      <c t="s">
        <v>9</v>
      </c>
      <c>
        <v>3653</v>
      </c>
      <c>
        <v>40938</v>
      </c>
      <c r="I64" s="37">
        <f t="shared" si="0"/>
        <v>0</v>
      </c>
      <c s="37">
        <f t="shared" si="1"/>
        <v>0</v>
      </c>
      <c s="37">
        <f t="shared" si="2"/>
        <v>0</v>
      </c>
      <c r="N64">
        <v>36530</v>
      </c>
      <c>
        <v>36530</v>
      </c>
      <c>
        <v>36530</v>
      </c>
    </row>
    <row ht="14.95">
      <c t="s">
        <v>108</v>
      </c>
      <c>
        <v>3653</v>
      </c>
      <c>
        <v>42586</v>
      </c>
      <c r="I65" s="37">
        <f t="shared" si="0"/>
        <v>0</v>
      </c>
      <c s="37">
        <f t="shared" si="1"/>
        <v>0</v>
      </c>
      <c s="37">
        <f t="shared" si="2"/>
        <v>0</v>
      </c>
      <c r="N65">
        <v>36530</v>
      </c>
      <c>
        <v>36530</v>
      </c>
      <c>
        <v>36530</v>
      </c>
    </row>
    <row ht="14.95">
      <c t="s">
        <v>202</v>
      </c>
      <c>
        <v>3653</v>
      </c>
      <c>
        <v>44006</v>
      </c>
      <c r="I66" s="37">
        <f t="shared" si="0"/>
        <v>0</v>
      </c>
      <c s="37">
        <f t="shared" si="1"/>
        <v>0</v>
      </c>
      <c s="37">
        <f t="shared" si="2"/>
        <v>0</v>
      </c>
      <c r="N66">
        <v>36530</v>
      </c>
      <c>
        <v>36530</v>
      </c>
      <c>
        <v>36530</v>
      </c>
    </row>
    <row ht="14.95">
      <c t="s">
        <v>290</v>
      </c>
      <c>
        <v>36530</v>
      </c>
      <c>
        <v>46590</v>
      </c>
      <c r="H67" t="s">
        <v>43</v>
      </c>
      <c s="37">
        <f t="shared" si="0"/>
        <v>76837</v>
      </c>
      <c s="37">
        <f t="shared" si="1"/>
        <v>73392</v>
      </c>
      <c s="37">
        <f t="shared" si="2"/>
        <v>69976</v>
      </c>
      <c r="N67">
        <v>36530</v>
      </c>
      <c>
        <v>36530</v>
      </c>
      <c>
        <v>36530</v>
      </c>
    </row>
    <row ht="14.95">
      <c t="s">
        <v>384</v>
      </c>
      <c>
        <v>36530</v>
      </c>
      <c>
        <v>50666</v>
      </c>
      <c r="I68" s="37">
        <f t="shared" si="0"/>
        <v>0</v>
      </c>
      <c s="37">
        <f t="shared" si="1"/>
        <v>0</v>
      </c>
      <c s="37">
        <f t="shared" si="2"/>
        <v>0</v>
      </c>
      <c r="N68">
        <v>36530</v>
      </c>
      <c>
        <v>36530</v>
      </c>
      <c>
        <v>36530</v>
      </c>
    </row>
    <row ht="14.95">
      <c t="s">
        <v>480</v>
      </c>
      <c>
        <v>36530</v>
      </c>
      <c>
        <v>52586</v>
      </c>
      <c r="I69" s="37">
        <f t="shared" si="0"/>
        <v>0</v>
      </c>
      <c s="37">
        <f t="shared" si="1"/>
        <v>0</v>
      </c>
      <c s="37">
        <f t="shared" si="2"/>
        <v>0</v>
      </c>
      <c r="N69">
        <v>36530</v>
      </c>
      <c>
        <v>36530</v>
      </c>
      <c>
        <v>36530</v>
      </c>
    </row>
    <row ht="14.95">
      <c t="s">
        <v>173</v>
      </c>
      <c>
        <v>36530</v>
      </c>
      <c>
        <v>59447</v>
      </c>
      <c r="I70" s="37">
        <f t="shared" si="0"/>
        <v>0</v>
      </c>
      <c s="37">
        <f t="shared" si="1"/>
        <v>0</v>
      </c>
      <c s="37">
        <f t="shared" si="2"/>
        <v>0</v>
      </c>
      <c r="N70">
        <v>36530</v>
      </c>
      <c>
        <v>36530</v>
      </c>
      <c>
        <v>36530</v>
      </c>
    </row>
    <row ht="14.95">
      <c t="s">
        <v>79</v>
      </c>
      <c>
        <v>36530</v>
      </c>
      <c>
        <v>65278</v>
      </c>
      <c r="I71" s="37">
        <f t="shared" si="0"/>
        <v>0</v>
      </c>
      <c s="37">
        <f t="shared" si="1"/>
        <v>0</v>
      </c>
      <c s="37">
        <f t="shared" si="2"/>
        <v>0</v>
      </c>
      <c r="N71">
        <v>36530</v>
      </c>
      <c>
        <v>36530</v>
      </c>
      <c>
        <v>36530</v>
      </c>
    </row>
    <row ht="14.95">
      <c t="s">
        <v>174</v>
      </c>
      <c>
        <v>36530</v>
      </c>
      <c>
        <v>67961</v>
      </c>
      <c r="H72" t="s">
        <v>170</v>
      </c>
      <c s="37">
        <f t="shared" si="0"/>
        <v>77115</v>
      </c>
      <c s="37">
        <f t="shared" si="1"/>
        <v>73710</v>
      </c>
      <c s="37">
        <f t="shared" si="2"/>
        <v>70806</v>
      </c>
      <c r="N72">
        <v>36530</v>
      </c>
      <c>
        <v>36530</v>
      </c>
      <c>
        <v>36530</v>
      </c>
    </row>
    <row ht="14.95">
      <c t="s">
        <v>274</v>
      </c>
      <c>
        <v>36530</v>
      </c>
      <c>
        <v>70257</v>
      </c>
      <c r="I73" s="37">
        <f t="shared" si="0"/>
        <v>0</v>
      </c>
      <c s="37">
        <f t="shared" si="1"/>
        <v>0</v>
      </c>
      <c s="37">
        <f t="shared" si="2"/>
        <v>0</v>
      </c>
      <c r="N73">
        <v>36530</v>
      </c>
      <c>
        <v>36530</v>
      </c>
      <c>
        <v>36530</v>
      </c>
    </row>
    <row ht="14.95">
      <c t="s">
        <v>367</v>
      </c>
      <c>
        <v>36530</v>
      </c>
      <c>
        <v>73576</v>
      </c>
      <c r="I74" s="37">
        <f t="shared" si="0"/>
        <v>0</v>
      </c>
      <c s="37">
        <f t="shared" si="1"/>
        <v>0</v>
      </c>
      <c s="37">
        <f t="shared" si="2"/>
        <v>0</v>
      </c>
      <c r="N74">
        <v>36530</v>
      </c>
      <c>
        <v>36530</v>
      </c>
      <c>
        <v>36530</v>
      </c>
    </row>
    <row ht="14.95">
      <c t="s">
        <v>472</v>
      </c>
      <c>
        <v>36530</v>
      </c>
      <c>
        <v>78013</v>
      </c>
      <c r="I75" s="37">
        <f t="shared" si="0"/>
        <v>0</v>
      </c>
      <c s="37">
        <f t="shared" si="1"/>
        <v>0</v>
      </c>
      <c s="37">
        <f t="shared" si="2"/>
        <v>0</v>
      </c>
      <c r="N75">
        <v>36530</v>
      </c>
      <c>
        <v>36530</v>
      </c>
      <c>
        <v>36530</v>
      </c>
    </row>
    <row ht="14.95">
      <c t="s">
        <v>10</v>
      </c>
      <c>
        <v>412</v>
      </c>
      <c>
        <v>4477</v>
      </c>
      <c r="I76" s="37">
        <f t="shared" si="0"/>
        <v>0</v>
      </c>
      <c s="37">
        <f t="shared" si="1"/>
        <v>0</v>
      </c>
      <c s="37">
        <f t="shared" si="2"/>
        <v>0</v>
      </c>
      <c r="N76">
        <v>36530</v>
      </c>
      <c>
        <v>36530</v>
      </c>
      <c>
        <v>36530</v>
      </c>
    </row>
    <row ht="14.95">
      <c t="s">
        <v>109</v>
      </c>
      <c>
        <v>412</v>
      </c>
      <c>
        <v>14237</v>
      </c>
      <c r="H77" t="s">
        <v>44</v>
      </c>
      <c s="37">
        <f t="shared" si="0"/>
        <v>77495</v>
      </c>
      <c s="37">
        <f t="shared" si="1"/>
        <v>74110</v>
      </c>
      <c s="37">
        <f t="shared" si="2"/>
        <v>70533</v>
      </c>
      <c r="N77">
        <v>36530</v>
      </c>
      <c>
        <v>36530</v>
      </c>
      <c>
        <v>36530</v>
      </c>
    </row>
    <row ht="14.95">
      <c t="s">
        <v>203</v>
      </c>
      <c>
        <v>412</v>
      </c>
      <c>
        <v>16029</v>
      </c>
      <c r="I78" s="37">
        <f t="shared" si="0"/>
        <v>0</v>
      </c>
      <c s="37">
        <f t="shared" si="1"/>
        <v>0</v>
      </c>
      <c s="37">
        <f t="shared" si="2"/>
        <v>0</v>
      </c>
      <c r="N78">
        <v>36530</v>
      </c>
      <c>
        <v>36530</v>
      </c>
      <c>
        <v>36530</v>
      </c>
    </row>
    <row ht="14.95">
      <c t="s">
        <v>385</v>
      </c>
      <c>
        <v>412</v>
      </c>
      <c>
        <v>19095</v>
      </c>
      <c r="I79" s="37">
        <f t="shared" si="0"/>
        <v>0</v>
      </c>
      <c s="37">
        <f t="shared" si="1"/>
        <v>0</v>
      </c>
      <c s="37">
        <f t="shared" si="2"/>
        <v>0</v>
      </c>
      <c r="N79">
        <v>36530</v>
      </c>
      <c>
        <v>36530</v>
      </c>
      <c>
        <v>36530</v>
      </c>
    </row>
    <row ht="14.95">
      <c t="s">
        <v>291</v>
      </c>
      <c>
        <v>3653</v>
      </c>
      <c>
        <v>22238</v>
      </c>
      <c r="I80" s="37">
        <f t="shared" si="0"/>
        <v>0</v>
      </c>
      <c s="37">
        <f t="shared" si="1"/>
        <v>0</v>
      </c>
      <c s="37">
        <f t="shared" si="2"/>
        <v>0</v>
      </c>
      <c r="N80">
        <v>36530</v>
      </c>
      <c>
        <v>36530</v>
      </c>
      <c>
        <v>36530</v>
      </c>
    </row>
    <row ht="14.95">
      <c t="s">
        <v>386</v>
      </c>
      <c>
        <v>3653</v>
      </c>
      <c>
        <v>24955</v>
      </c>
      <c r="I81" s="37">
        <f t="shared" si="0"/>
        <v>0</v>
      </c>
      <c s="37">
        <f t="shared" si="1"/>
        <v>0</v>
      </c>
      <c s="37">
        <f t="shared" si="2"/>
        <v>0</v>
      </c>
      <c r="N81">
        <v>36530</v>
      </c>
      <c>
        <v>36530</v>
      </c>
      <c>
        <v>36530</v>
      </c>
    </row>
    <row ht="14.95">
      <c t="s">
        <v>481</v>
      </c>
      <c>
        <v>3653</v>
      </c>
      <c>
        <v>28412</v>
      </c>
      <c r="H82" t="s">
        <v>201</v>
      </c>
      <c s="37">
        <f t="shared" si="0"/>
        <v>77559</v>
      </c>
      <c s="37">
        <f t="shared" si="1"/>
        <v>74083</v>
      </c>
      <c s="37">
        <f t="shared" si="2"/>
        <v>70908</v>
      </c>
      <c r="N82">
        <v>36530</v>
      </c>
      <c>
        <v>36530</v>
      </c>
      <c>
        <v>36530</v>
      </c>
    </row>
    <row ht="14.95">
      <c t="s">
        <v>80</v>
      </c>
      <c>
        <v>3653</v>
      </c>
      <c>
        <v>41400</v>
      </c>
      <c r="I83" s="37">
        <f t="shared" si="0"/>
        <v>0</v>
      </c>
      <c s="37">
        <f t="shared" si="1"/>
        <v>0</v>
      </c>
      <c s="37">
        <f t="shared" si="2"/>
        <v>0</v>
      </c>
      <c r="N83">
        <v>36530</v>
      </c>
      <c>
        <v>36530</v>
      </c>
      <c>
        <v>36530</v>
      </c>
    </row>
    <row ht="14.95">
      <c t="s">
        <v>175</v>
      </c>
      <c>
        <v>3653</v>
      </c>
      <c>
        <v>43103</v>
      </c>
      <c r="I84" s="37">
        <f t="shared" si="0"/>
        <v>0</v>
      </c>
      <c s="37">
        <f t="shared" si="1"/>
        <v>0</v>
      </c>
      <c s="37">
        <f t="shared" si="2"/>
        <v>0</v>
      </c>
      <c r="N84">
        <v>36530</v>
      </c>
      <c>
        <v>36530</v>
      </c>
      <c>
        <v>36530</v>
      </c>
    </row>
    <row ht="14.95">
      <c t="s">
        <v>261</v>
      </c>
      <c>
        <v>3653</v>
      </c>
      <c>
        <v>45036</v>
      </c>
      <c r="I85" s="37">
        <f t="shared" si="0"/>
        <v>0</v>
      </c>
      <c s="37">
        <f t="shared" si="1"/>
        <v>0</v>
      </c>
      <c s="37">
        <f t="shared" si="2"/>
        <v>0</v>
      </c>
      <c r="N85">
        <v>36530</v>
      </c>
      <c>
        <v>36530</v>
      </c>
      <c>
        <v>36530</v>
      </c>
    </row>
    <row ht="14.95">
      <c t="s">
        <v>352</v>
      </c>
      <c>
        <v>36530</v>
      </c>
      <c>
        <v>45972</v>
      </c>
      <c r="I86" s="37">
        <f t="shared" si="0"/>
        <v>0</v>
      </c>
      <c s="37">
        <f t="shared" si="1"/>
        <v>0</v>
      </c>
      <c s="37">
        <f t="shared" si="2"/>
        <v>0</v>
      </c>
      <c r="N86">
        <v>36530</v>
      </c>
      <c>
        <v>36530</v>
      </c>
      <c>
        <v>36530</v>
      </c>
    </row>
    <row ht="14.95">
      <c t="s">
        <v>453</v>
      </c>
      <c>
        <v>36530</v>
      </c>
      <c>
        <v>49047</v>
      </c>
      <c r="H87" t="s">
        <v>321</v>
      </c>
      <c s="37">
        <f t="shared" si="0"/>
        <v>77033</v>
      </c>
      <c s="37">
        <f t="shared" si="1"/>
        <v>73622</v>
      </c>
      <c s="37">
        <f t="shared" si="2"/>
        <v>70595</v>
      </c>
      <c r="N87">
        <v>36530</v>
      </c>
      <c>
        <v>36530</v>
      </c>
      <c>
        <v>36530</v>
      </c>
    </row>
    <row ht="14.95">
      <c t="s">
        <v>46</v>
      </c>
      <c>
        <v>36530</v>
      </c>
      <c>
        <v>52519</v>
      </c>
      <c r="I88" s="37">
        <f t="shared" si="0"/>
        <v>0</v>
      </c>
      <c s="37">
        <f t="shared" si="1"/>
        <v>0</v>
      </c>
      <c s="37">
        <f t="shared" si="2"/>
        <v>0</v>
      </c>
      <c r="N88">
        <v>36530</v>
      </c>
      <c>
        <v>36530</v>
      </c>
      <c>
        <v>36530</v>
      </c>
    </row>
    <row ht="14.95">
      <c t="s">
        <v>227</v>
      </c>
      <c>
        <v>36530</v>
      </c>
      <c>
        <v>59578</v>
      </c>
      <c r="I89" s="37">
        <f t="shared" si="0"/>
        <v>0</v>
      </c>
      <c s="37">
        <f t="shared" si="1"/>
        <v>0</v>
      </c>
      <c s="37">
        <f t="shared" si="2"/>
        <v>0</v>
      </c>
      <c r="N89">
        <v>36530</v>
      </c>
      <c>
        <v>36530</v>
      </c>
      <c>
        <v>36530</v>
      </c>
    </row>
    <row ht="14.95">
      <c t="s">
        <v>138</v>
      </c>
      <c>
        <v>36530</v>
      </c>
      <c>
        <v>65401</v>
      </c>
      <c r="I90" s="37">
        <f t="shared" si="0"/>
        <v>0</v>
      </c>
      <c s="37">
        <f t="shared" si="1"/>
        <v>0</v>
      </c>
      <c s="37">
        <f t="shared" si="2"/>
        <v>0</v>
      </c>
      <c r="N90">
        <v>36530</v>
      </c>
      <c>
        <v>36530</v>
      </c>
      <c>
        <v>36530</v>
      </c>
    </row>
    <row ht="14.95">
      <c t="s">
        <v>228</v>
      </c>
      <c>
        <v>36530</v>
      </c>
      <c>
        <v>68000</v>
      </c>
      <c r="I91" s="37">
        <f t="shared" si="0"/>
        <v>0</v>
      </c>
      <c s="37">
        <f t="shared" si="1"/>
        <v>0</v>
      </c>
      <c s="37">
        <f t="shared" si="2"/>
        <v>0</v>
      </c>
      <c r="N91">
        <v>36530</v>
      </c>
      <c>
        <v>36530</v>
      </c>
      <c>
        <v>36530</v>
      </c>
    </row>
    <row ht="14.95">
      <c t="s">
        <v>341</v>
      </c>
      <c>
        <v>36530</v>
      </c>
      <c>
        <v>70695</v>
      </c>
      <c r="H92" t="s">
        <v>451</v>
      </c>
      <c s="37">
        <f t="shared" si="0"/>
        <v>78100</v>
      </c>
      <c s="37">
        <f t="shared" si="1"/>
        <v>73934</v>
      </c>
      <c s="37">
        <f t="shared" si="2"/>
        <v>70868</v>
      </c>
      <c r="N92">
        <v>36530</v>
      </c>
      <c>
        <v>36530</v>
      </c>
      <c>
        <v>36530</v>
      </c>
    </row>
    <row ht="14.95">
      <c t="s">
        <v>439</v>
      </c>
      <c>
        <v>36530</v>
      </c>
      <c>
        <v>73779</v>
      </c>
      <c r="I93" s="37">
        <f t="shared" si="0"/>
        <v>0</v>
      </c>
      <c s="37">
        <f t="shared" si="1"/>
        <v>0</v>
      </c>
      <c s="37">
        <f t="shared" si="2"/>
        <v>0</v>
      </c>
      <c r="N93">
        <v>36530</v>
      </c>
      <c>
        <v>36530</v>
      </c>
      <c>
        <v>36530</v>
      </c>
    </row>
    <row ht="14.95">
      <c t="s">
        <v>32</v>
      </c>
      <c>
        <v>36530</v>
      </c>
      <c>
        <v>77205</v>
      </c>
      <c r="I94" s="37">
        <f t="shared" si="0"/>
        <v>0</v>
      </c>
      <c s="37">
        <f t="shared" si="1"/>
        <v>0</v>
      </c>
      <c s="37">
        <f t="shared" si="2"/>
        <v>0</v>
      </c>
      <c r="N94">
        <v>36530</v>
      </c>
      <c>
        <v>36530</v>
      </c>
      <c>
        <v>36530</v>
      </c>
    </row>
    <row ht="14.95">
      <c t="s">
        <v>81</v>
      </c>
      <c>
        <v>412</v>
      </c>
      <c>
        <v>4009</v>
      </c>
      <c r="I95" s="37">
        <f t="shared" si="0"/>
        <v>0</v>
      </c>
      <c s="37">
        <f t="shared" si="1"/>
        <v>0</v>
      </c>
      <c s="37">
        <f t="shared" si="2"/>
        <v>0</v>
      </c>
      <c r="N95">
        <v>36530</v>
      </c>
      <c>
        <v>36530</v>
      </c>
      <c>
        <v>36530</v>
      </c>
    </row>
    <row ht="14.95">
      <c t="s">
        <v>176</v>
      </c>
      <c>
        <v>412</v>
      </c>
      <c>
        <v>11075</v>
      </c>
      <c r="I96" s="37">
        <f t="shared" si="0"/>
        <v>0</v>
      </c>
      <c s="37">
        <f t="shared" si="1"/>
        <v>0</v>
      </c>
      <c s="37">
        <f t="shared" si="2"/>
        <v>0</v>
      </c>
      <c r="N96">
        <v>36530</v>
      </c>
      <c>
        <v>36530</v>
      </c>
      <c>
        <v>36530</v>
      </c>
    </row>
    <row ht="14.95">
      <c t="s">
        <v>262</v>
      </c>
      <c>
        <v>412</v>
      </c>
      <c>
        <v>15895</v>
      </c>
      <c r="H97" t="s">
        <v>77</v>
      </c>
      <c s="37">
        <f t="shared" si="0"/>
        <v>77881</v>
      </c>
      <c s="37">
        <f t="shared" si="1"/>
        <v>73473</v>
      </c>
      <c s="37">
        <f t="shared" si="2"/>
        <v>70405</v>
      </c>
      <c r="N97">
        <v>36530</v>
      </c>
      <c>
        <v>36530</v>
      </c>
      <c>
        <v>36530</v>
      </c>
    </row>
    <row ht="14.95">
      <c t="s">
        <v>454</v>
      </c>
      <c>
        <v>412</v>
      </c>
      <c>
        <v>18521</v>
      </c>
      <c r="I98" s="37">
        <f t="shared" si="0"/>
        <v>0</v>
      </c>
      <c s="37">
        <f t="shared" si="1"/>
        <v>0</v>
      </c>
      <c s="37">
        <f t="shared" si="2"/>
        <v>0</v>
      </c>
      <c r="N98">
        <v>36530</v>
      </c>
      <c>
        <v>36530</v>
      </c>
      <c>
        <v>36530</v>
      </c>
    </row>
    <row ht="14.95">
      <c t="s">
        <v>353</v>
      </c>
      <c>
        <v>3653</v>
      </c>
      <c>
        <v>22665</v>
      </c>
      <c r="I99" s="37">
        <f t="shared" si="0"/>
        <v>0</v>
      </c>
      <c s="37">
        <f t="shared" si="1"/>
        <v>0</v>
      </c>
      <c s="37">
        <f t="shared" si="2"/>
        <v>0</v>
      </c>
      <c r="N99">
        <v>36530</v>
      </c>
      <c>
        <v>36530</v>
      </c>
      <c>
        <v>36530</v>
      </c>
    </row>
    <row ht="14.95">
      <c t="s">
        <v>455</v>
      </c>
      <c>
        <v>3653</v>
      </c>
      <c>
        <v>24810</v>
      </c>
      <c r="I100" s="37">
        <f t="shared" si="0"/>
        <v>0</v>
      </c>
      <c s="37">
        <f t="shared" si="1"/>
        <v>0</v>
      </c>
      <c s="37">
        <f t="shared" si="2"/>
        <v>0</v>
      </c>
      <c r="N100">
        <v>36530</v>
      </c>
      <c>
        <v>36530</v>
      </c>
      <c>
        <v>36530</v>
      </c>
    </row>
    <row ht="14.95">
      <c t="s">
        <v>47</v>
      </c>
      <c>
        <v>3653</v>
      </c>
      <c>
        <v>28203</v>
      </c>
      <c r="I101" s="37">
        <f t="shared" si="0"/>
        <v>0</v>
      </c>
      <c s="37">
        <f t="shared" si="1"/>
        <v>0</v>
      </c>
      <c s="37">
        <f t="shared" si="2"/>
        <v>0</v>
      </c>
      <c r="N101">
        <v>36530</v>
      </c>
      <c>
        <v>36530</v>
      </c>
      <c>
        <v>36530</v>
      </c>
    </row>
    <row ht="14.95">
      <c t="s">
        <v>139</v>
      </c>
      <c>
        <v>3653</v>
      </c>
      <c>
        <v>40822</v>
      </c>
      <c r="H102" t="s">
        <v>418</v>
      </c>
      <c s="37">
        <f t="shared" si="0"/>
        <v>78258</v>
      </c>
      <c s="37">
        <f t="shared" si="1"/>
        <v>73457</v>
      </c>
      <c s="37">
        <f t="shared" si="2"/>
        <v>70509</v>
      </c>
      <c r="N102">
        <v>36530</v>
      </c>
      <c>
        <v>36530</v>
      </c>
      <c>
        <v>36530</v>
      </c>
    </row>
    <row ht="14.95">
      <c t="s">
        <v>229</v>
      </c>
      <c>
        <v>3653</v>
      </c>
      <c>
        <v>42726</v>
      </c>
      <c r="I103" s="37">
        <f t="shared" si="0"/>
        <v>0</v>
      </c>
      <c s="37">
        <f t="shared" si="1"/>
        <v>0</v>
      </c>
      <c s="37">
        <f t="shared" si="2"/>
        <v>0</v>
      </c>
      <c r="N103">
        <v>36530</v>
      </c>
      <c>
        <v>36530</v>
      </c>
      <c>
        <v>36530</v>
      </c>
    </row>
    <row ht="14.95">
      <c t="s">
        <v>322</v>
      </c>
      <c>
        <v>3653</v>
      </c>
      <c>
        <v>44033</v>
      </c>
      <c r="I104" s="37">
        <f t="shared" si="0"/>
        <v>0</v>
      </c>
      <c s="37">
        <f t="shared" si="1"/>
        <v>0</v>
      </c>
      <c s="37">
        <f t="shared" si="2"/>
        <v>0</v>
      </c>
      <c r="N104">
        <v>36530</v>
      </c>
      <c>
        <v>36530</v>
      </c>
      <c>
        <v>36530</v>
      </c>
    </row>
    <row ht="14.95">
      <c t="s">
        <v>420</v>
      </c>
      <c>
        <v>36530</v>
      </c>
      <c>
        <v>45844</v>
      </c>
      <c r="I105" s="37">
        <f t="shared" si="0"/>
        <v>0</v>
      </c>
      <c s="37">
        <f t="shared" si="1"/>
        <v>0</v>
      </c>
      <c s="37">
        <f t="shared" si="2"/>
        <v>0</v>
      </c>
      <c r="N105">
        <v>36530</v>
      </c>
      <c>
        <v>36530</v>
      </c>
      <c>
        <v>36530</v>
      </c>
    </row>
    <row ht="14.95">
      <c t="s">
        <v>11</v>
      </c>
      <c>
        <v>36530</v>
      </c>
      <c>
        <v>49167</v>
      </c>
      <c r="I106" s="37">
        <f t="shared" si="0"/>
        <v>0</v>
      </c>
      <c s="37">
        <f t="shared" si="1"/>
        <v>0</v>
      </c>
      <c s="37">
        <f t="shared" si="2"/>
        <v>0</v>
      </c>
      <c r="N106">
        <v>36530</v>
      </c>
      <c>
        <v>36530</v>
      </c>
      <c>
        <v>36530</v>
      </c>
    </row>
    <row ht="14.95">
      <c t="s">
        <v>110</v>
      </c>
      <c>
        <v>36530</v>
      </c>
      <c>
        <v>53327</v>
      </c>
    </row>
    <row ht="14.95">
      <c t="s">
        <v>292</v>
      </c>
      <c>
        <v>36530</v>
      </c>
      <c>
        <v>59671</v>
      </c>
    </row>
    <row ht="14.95">
      <c t="s">
        <v>204</v>
      </c>
      <c>
        <v>36530</v>
      </c>
      <c>
        <v>65235</v>
      </c>
    </row>
    <row ht="14.95">
      <c t="s">
        <v>293</v>
      </c>
      <c>
        <v>36530</v>
      </c>
      <c>
        <v>67692</v>
      </c>
    </row>
    <row ht="14.95">
      <c t="s">
        <v>406</v>
      </c>
      <c>
        <v>36530</v>
      </c>
      <c>
        <v>70360</v>
      </c>
    </row>
    <row ht="14.95">
      <c t="s">
        <v>500</v>
      </c>
      <c>
        <v>36530</v>
      </c>
      <c>
        <v>73603</v>
      </c>
    </row>
    <row ht="14.95">
      <c t="s">
        <v>100</v>
      </c>
      <c>
        <v>36530</v>
      </c>
      <c>
        <v>77996</v>
      </c>
    </row>
    <row ht="14.95">
      <c t="s">
        <v>111</v>
      </c>
      <c>
        <v>412</v>
      </c>
      <c>
        <v>13374</v>
      </c>
    </row>
    <row ht="14.95">
      <c t="s">
        <v>205</v>
      </c>
      <c>
        <v>412</v>
      </c>
      <c>
        <v>11540</v>
      </c>
    </row>
    <row ht="14.95">
      <c t="s">
        <v>294</v>
      </c>
      <c>
        <v>412</v>
      </c>
      <c>
        <v>16143</v>
      </c>
    </row>
    <row ht="14.95">
      <c t="s">
        <v>482</v>
      </c>
      <c>
        <v>412</v>
      </c>
      <c>
        <v>18627</v>
      </c>
    </row>
    <row ht="14.95">
      <c t="s">
        <v>387</v>
      </c>
      <c>
        <v>3653</v>
      </c>
      <c>
        <v>21620</v>
      </c>
    </row>
    <row ht="14.95">
      <c t="s">
        <v>483</v>
      </c>
      <c>
        <v>3653</v>
      </c>
      <c>
        <v>25293</v>
      </c>
    </row>
    <row ht="14.95">
      <c t="s">
        <v>82</v>
      </c>
      <c>
        <v>3653</v>
      </c>
      <c>
        <v>28487</v>
      </c>
    </row>
    <row ht="14.95">
      <c t="s">
        <v>177</v>
      </c>
      <c>
        <v>3653</v>
      </c>
      <c>
        <v>41211</v>
      </c>
    </row>
    <row ht="14.95">
      <c t="s">
        <v>263</v>
      </c>
      <c>
        <v>3653</v>
      </c>
      <c>
        <v>43499</v>
      </c>
    </row>
    <row ht="14.95">
      <c t="s">
        <v>354</v>
      </c>
      <c>
        <v>3653</v>
      </c>
      <c>
        <v>44981</v>
      </c>
    </row>
    <row ht="14.95">
      <c t="s">
        <v>456</v>
      </c>
      <c>
        <v>36530</v>
      </c>
      <c>
        <v>46615</v>
      </c>
    </row>
    <row ht="14.95">
      <c t="s">
        <v>48</v>
      </c>
      <c>
        <v>36530</v>
      </c>
      <c>
        <v>48654</v>
      </c>
    </row>
    <row ht="14.95">
      <c t="s">
        <v>140</v>
      </c>
      <c>
        <v>36530</v>
      </c>
      <c>
        <v>53811</v>
      </c>
    </row>
    <row ht="14.95">
      <c t="s">
        <v>323</v>
      </c>
      <c>
        <v>36530</v>
      </c>
      <c>
        <v>61885</v>
      </c>
    </row>
    <row ht="14.95">
      <c t="s">
        <v>230</v>
      </c>
      <c>
        <v>36530</v>
      </c>
      <c>
        <v>66113</v>
      </c>
    </row>
    <row ht="14.95">
      <c t="s">
        <v>324</v>
      </c>
      <c>
        <v>36530</v>
      </c>
      <c>
        <v>67722</v>
      </c>
    </row>
    <row ht="14.95">
      <c t="s">
        <v>437</v>
      </c>
      <c>
        <v>36530</v>
      </c>
      <c>
        <v>70787</v>
      </c>
    </row>
    <row ht="14.95">
      <c t="s">
        <v>28</v>
      </c>
      <c>
        <v>36530</v>
      </c>
      <c>
        <v>73974</v>
      </c>
    </row>
    <row ht="14.95">
      <c t="s">
        <v>130</v>
      </c>
      <c>
        <v>36530</v>
      </c>
      <c>
        <v>77386</v>
      </c>
    </row>
    <row ht="14.95">
      <c t="s">
        <v>178</v>
      </c>
      <c>
        <v>412</v>
      </c>
      <c>
        <v>4380</v>
      </c>
    </row>
    <row ht="14.95">
      <c t="s">
        <v>264</v>
      </c>
      <c>
        <v>412</v>
      </c>
      <c>
        <v>12646</v>
      </c>
    </row>
    <row ht="14.95">
      <c t="s">
        <v>355</v>
      </c>
      <c>
        <v>412</v>
      </c>
      <c>
        <v>15955</v>
      </c>
    </row>
    <row ht="14.95">
      <c t="s">
        <v>49</v>
      </c>
      <c>
        <v>412</v>
      </c>
      <c>
        <v>18600</v>
      </c>
    </row>
    <row ht="14.95">
      <c t="s">
        <v>457</v>
      </c>
      <c>
        <v>3653</v>
      </c>
      <c>
        <v>21734</v>
      </c>
    </row>
    <row ht="14.95">
      <c t="s">
        <v>50</v>
      </c>
      <c>
        <v>3653</v>
      </c>
      <c>
        <v>24882</v>
      </c>
    </row>
    <row ht="14.95">
      <c t="s">
        <v>141</v>
      </c>
      <c>
        <v>3653</v>
      </c>
      <c>
        <v>28283</v>
      </c>
    </row>
    <row ht="14.95">
      <c t="s">
        <v>231</v>
      </c>
      <c>
        <v>3653</v>
      </c>
      <c>
        <v>41230</v>
      </c>
    </row>
    <row ht="14.95">
      <c t="s">
        <v>325</v>
      </c>
      <c>
        <v>3653</v>
      </c>
      <c>
        <v>42566</v>
      </c>
    </row>
    <row ht="14.95">
      <c t="s">
        <v>421</v>
      </c>
      <c>
        <v>3653</v>
      </c>
      <c>
        <v>44852</v>
      </c>
    </row>
    <row ht="14.95">
      <c t="s">
        <v>12</v>
      </c>
      <c>
        <v>36530</v>
      </c>
      <c>
        <v>46190</v>
      </c>
    </row>
    <row ht="14.95">
      <c t="s">
        <v>112</v>
      </c>
      <c>
        <v>36530</v>
      </c>
      <c>
        <v>47708</v>
      </c>
    </row>
    <row ht="14.95">
      <c t="s">
        <v>206</v>
      </c>
      <c>
        <v>36530</v>
      </c>
      <c>
        <v>52930</v>
      </c>
    </row>
    <row ht="14.95">
      <c t="s">
        <v>388</v>
      </c>
      <c>
        <v>36530</v>
      </c>
      <c>
        <v>60405</v>
      </c>
    </row>
    <row ht="14.95">
      <c t="s">
        <v>295</v>
      </c>
      <c>
        <v>36530</v>
      </c>
      <c>
        <v>65200</v>
      </c>
    </row>
    <row ht="14.95">
      <c t="s">
        <v>389</v>
      </c>
      <c>
        <v>36530</v>
      </c>
      <c>
        <v>68231</v>
      </c>
    </row>
    <row ht="14.95">
      <c t="s">
        <v>499</v>
      </c>
      <c>
        <v>36530</v>
      </c>
      <c>
        <v>70678</v>
      </c>
    </row>
    <row ht="14.95">
      <c t="s">
        <v>99</v>
      </c>
      <c>
        <v>36530</v>
      </c>
      <c>
        <v>74297</v>
      </c>
    </row>
    <row ht="14.95">
      <c t="s">
        <v>193</v>
      </c>
      <c>
        <v>36530</v>
      </c>
      <c>
        <v>76735</v>
      </c>
    </row>
    <row ht="14.95">
      <c t="s">
        <v>207</v>
      </c>
      <c>
        <v>412</v>
      </c>
      <c>
        <v>13498</v>
      </c>
    </row>
    <row ht="14.95">
      <c t="s">
        <v>296</v>
      </c>
      <c>
        <v>412</v>
      </c>
      <c>
        <v>12774</v>
      </c>
    </row>
    <row ht="14.95">
      <c t="s">
        <v>390</v>
      </c>
      <c>
        <v>412</v>
      </c>
      <c>
        <v>16177</v>
      </c>
    </row>
    <row ht="14.95">
      <c t="s">
        <v>83</v>
      </c>
      <c>
        <v>412</v>
      </c>
      <c>
        <v>19857</v>
      </c>
    </row>
    <row ht="14.95">
      <c t="s">
        <v>484</v>
      </c>
      <c>
        <v>3653</v>
      </c>
      <c>
        <v>21569</v>
      </c>
    </row>
    <row ht="14.95">
      <c t="s">
        <v>84</v>
      </c>
      <c>
        <v>3653</v>
      </c>
      <c>
        <v>24824</v>
      </c>
    </row>
    <row ht="14.95">
      <c t="s">
        <v>179</v>
      </c>
      <c>
        <v>3653</v>
      </c>
      <c>
        <v>28308</v>
      </c>
    </row>
    <row ht="14.95">
      <c t="s">
        <v>265</v>
      </c>
      <c>
        <v>3653</v>
      </c>
      <c>
        <v>40756</v>
      </c>
    </row>
    <row ht="14.95">
      <c t="s">
        <v>356</v>
      </c>
      <c>
        <v>3653</v>
      </c>
      <c>
        <v>43568</v>
      </c>
    </row>
    <row ht="14.95">
      <c t="s">
        <v>458</v>
      </c>
      <c>
        <v>3653</v>
      </c>
      <c>
        <v>45242</v>
      </c>
    </row>
    <row ht="14.95">
      <c t="s">
        <v>51</v>
      </c>
      <c>
        <v>36530</v>
      </c>
      <c>
        <v>45568</v>
      </c>
    </row>
    <row ht="14.95">
      <c t="s">
        <v>142</v>
      </c>
      <c>
        <v>36530</v>
      </c>
      <c>
        <v>48205</v>
      </c>
    </row>
    <row ht="14.95">
      <c t="s">
        <v>232</v>
      </c>
      <c>
        <v>36530</v>
      </c>
      <c>
        <v>52188</v>
      </c>
    </row>
    <row ht="14.95">
      <c t="s">
        <v>422</v>
      </c>
      <c>
        <v>36530</v>
      </c>
      <c>
        <v>56961</v>
      </c>
    </row>
    <row ht="14.95">
      <c t="s">
        <v>326</v>
      </c>
      <c>
        <v>36530</v>
      </c>
      <c>
        <v>64971</v>
      </c>
    </row>
    <row ht="14.95">
      <c t="s">
        <v>423</v>
      </c>
      <c>
        <v>36530</v>
      </c>
      <c>
        <v>67667</v>
      </c>
    </row>
    <row ht="14.95">
      <c t="s">
        <v>26</v>
      </c>
      <c>
        <v>36530</v>
      </c>
      <c>
        <v>70352</v>
      </c>
    </row>
    <row ht="14.95">
      <c t="s">
        <v>128</v>
      </c>
      <c>
        <v>36530</v>
      </c>
      <c>
        <v>73269</v>
      </c>
    </row>
    <row ht="14.95">
      <c t="s">
        <v>222</v>
      </c>
      <c>
        <v>36530</v>
      </c>
      <c>
        <v>77085</v>
      </c>
    </row>
    <row ht="14.95">
      <c t="s">
        <v>266</v>
      </c>
      <c>
        <v>412</v>
      </c>
      <c>
        <v>3563</v>
      </c>
    </row>
    <row ht="14.95">
      <c t="s">
        <v>357</v>
      </c>
      <c>
        <v>412</v>
      </c>
      <c>
        <v>17512</v>
      </c>
    </row>
    <row ht="14.95">
      <c t="s">
        <v>459</v>
      </c>
      <c>
        <v>412</v>
      </c>
      <c>
        <v>16061</v>
      </c>
    </row>
    <row ht="14.95">
      <c t="s">
        <v>143</v>
      </c>
      <c>
        <v>412</v>
      </c>
      <c>
        <v>18571</v>
      </c>
    </row>
    <row ht="14.95">
      <c t="s">
        <v>52</v>
      </c>
      <c>
        <v>3653</v>
      </c>
      <c>
        <v>22028</v>
      </c>
    </row>
    <row ht="14.95">
      <c t="s">
        <v>144</v>
      </c>
      <c>
        <v>3653</v>
      </c>
      <c>
        <v>24949</v>
      </c>
    </row>
    <row ht="14.95">
      <c t="s">
        <v>233</v>
      </c>
      <c>
        <v>3653</v>
      </c>
      <c>
        <v>28301</v>
      </c>
    </row>
    <row ht="14.95">
      <c t="s">
        <v>327</v>
      </c>
      <c>
        <v>3653</v>
      </c>
      <c>
        <v>40927</v>
      </c>
    </row>
    <row ht="14.95">
      <c t="s">
        <v>424</v>
      </c>
      <c>
        <v>3653</v>
      </c>
      <c>
        <v>42426</v>
      </c>
    </row>
    <row ht="14.95">
      <c t="s">
        <v>13</v>
      </c>
      <c>
        <v>3653</v>
      </c>
      <c>
        <v>44874</v>
      </c>
    </row>
    <row ht="14.95">
      <c t="s">
        <v>113</v>
      </c>
      <c>
        <v>36530</v>
      </c>
      <c>
        <v>46881</v>
      </c>
    </row>
    <row ht="14.95">
      <c t="s">
        <v>208</v>
      </c>
      <c>
        <v>36530</v>
      </c>
      <c>
        <v>49273</v>
      </c>
    </row>
    <row ht="14.95">
      <c t="s">
        <v>297</v>
      </c>
      <c>
        <v>36530</v>
      </c>
      <c>
        <v>52365</v>
      </c>
    </row>
    <row ht="14.95">
      <c t="s">
        <v>485</v>
      </c>
      <c>
        <v>36530</v>
      </c>
      <c>
        <v>59529</v>
      </c>
    </row>
    <row ht="14.95">
      <c t="s">
        <v>391</v>
      </c>
      <c>
        <v>36530</v>
      </c>
      <c>
        <v>65227</v>
      </c>
    </row>
    <row ht="14.95">
      <c t="s">
        <v>486</v>
      </c>
      <c>
        <v>36530</v>
      </c>
      <c>
        <v>67689</v>
      </c>
    </row>
    <row ht="14.95">
      <c t="s">
        <v>97</v>
      </c>
      <c>
        <v>36530</v>
      </c>
      <c>
        <v>70929</v>
      </c>
    </row>
    <row ht="14.95">
      <c t="s">
        <v>191</v>
      </c>
      <c>
        <v>36530</v>
      </c>
      <c>
        <v>73795</v>
      </c>
    </row>
    <row ht="14.95">
      <c t="s">
        <v>279</v>
      </c>
      <c>
        <v>36530</v>
      </c>
      <c>
        <v>77141</v>
      </c>
    </row>
    <row ht="14.95">
      <c t="s">
        <v>114</v>
      </c>
      <c>
        <v>3653</v>
      </c>
      <c>
        <v>22968</v>
      </c>
    </row>
    <row ht="14.95">
      <c t="s">
        <v>209</v>
      </c>
      <c>
        <v>3653</v>
      </c>
      <c>
        <v>25619</v>
      </c>
    </row>
    <row ht="14.95">
      <c t="s">
        <v>298</v>
      </c>
      <c>
        <v>3653</v>
      </c>
      <c>
        <v>28171</v>
      </c>
    </row>
    <row ht="14.95">
      <c t="s">
        <v>392</v>
      </c>
      <c>
        <v>3653</v>
      </c>
      <c>
        <v>40750</v>
      </c>
    </row>
    <row ht="14.95">
      <c t="s">
        <v>487</v>
      </c>
      <c>
        <v>3653</v>
      </c>
      <c>
        <v>43375</v>
      </c>
    </row>
    <row ht="14.95">
      <c t="s">
        <v>85</v>
      </c>
      <c>
        <v>3653</v>
      </c>
      <c>
        <v>45018</v>
      </c>
    </row>
    <row ht="14.95">
      <c t="s">
        <v>145</v>
      </c>
      <c>
        <v>36530</v>
      </c>
      <c>
        <v>45676</v>
      </c>
    </row>
    <row ht="14.95">
      <c t="s">
        <v>234</v>
      </c>
      <c>
        <v>36530</v>
      </c>
      <c>
        <v>48705</v>
      </c>
    </row>
    <row ht="14.95">
      <c t="s">
        <v>328</v>
      </c>
      <c>
        <v>36530</v>
      </c>
      <c>
        <v>52231</v>
      </c>
    </row>
    <row ht="14.95">
      <c t="s">
        <v>53</v>
      </c>
      <c>
        <v>36530</v>
      </c>
      <c>
        <v>57225</v>
      </c>
    </row>
    <row ht="14.95">
      <c t="s">
        <v>425</v>
      </c>
      <c>
        <v>36530</v>
      </c>
      <c>
        <v>64988</v>
      </c>
    </row>
    <row ht="14.95">
      <c t="s">
        <v>14</v>
      </c>
      <c>
        <v>36530</v>
      </c>
      <c>
        <v>67555</v>
      </c>
    </row>
    <row ht="14.95">
      <c t="s">
        <v>126</v>
      </c>
      <c>
        <v>36530</v>
      </c>
      <c>
        <v>69976</v>
      </c>
    </row>
    <row ht="14.95">
      <c t="s">
        <v>220</v>
      </c>
      <c>
        <v>36530</v>
      </c>
      <c>
        <v>73392</v>
      </c>
    </row>
    <row ht="14.95">
      <c t="s">
        <v>313</v>
      </c>
      <c>
        <v>36530</v>
      </c>
      <c>
        <v>76837</v>
      </c>
    </row>
    <row ht="14.95">
      <c t="s">
        <v>358</v>
      </c>
      <c>
        <v>412</v>
      </c>
      <c>
        <v>5453</v>
      </c>
    </row>
    <row ht="14.95">
      <c t="s">
        <v>460</v>
      </c>
      <c>
        <v>412</v>
      </c>
      <c>
        <v>11663</v>
      </c>
    </row>
    <row ht="14.95">
      <c t="s">
        <v>54</v>
      </c>
      <c>
        <v>412</v>
      </c>
      <c>
        <v>16008</v>
      </c>
    </row>
    <row ht="14.95">
      <c t="s">
        <v>235</v>
      </c>
      <c>
        <v>412</v>
      </c>
      <c>
        <v>18710</v>
      </c>
    </row>
    <row ht="14.95">
      <c t="s">
        <v>146</v>
      </c>
      <c>
        <v>3653</v>
      </c>
      <c>
        <v>21905</v>
      </c>
    </row>
    <row ht="14.95">
      <c t="s">
        <v>236</v>
      </c>
      <c>
        <v>3653</v>
      </c>
      <c>
        <v>25122</v>
      </c>
    </row>
    <row ht="14.95">
      <c t="s">
        <v>329</v>
      </c>
      <c>
        <v>3653</v>
      </c>
      <c>
        <v>28576</v>
      </c>
    </row>
    <row ht="14.95">
      <c t="s">
        <v>426</v>
      </c>
      <c>
        <v>3653</v>
      </c>
      <c>
        <v>41241</v>
      </c>
    </row>
    <row ht="14.95">
      <c t="s">
        <v>15</v>
      </c>
      <c>
        <v>3653</v>
      </c>
      <c>
        <v>43418</v>
      </c>
    </row>
    <row ht="14.95">
      <c t="s">
        <v>115</v>
      </c>
      <c>
        <v>3653</v>
      </c>
      <c>
        <v>45056</v>
      </c>
    </row>
    <row ht="14.95">
      <c t="s">
        <v>210</v>
      </c>
      <c>
        <v>36530</v>
      </c>
      <c>
        <v>46699</v>
      </c>
    </row>
    <row ht="14.95">
      <c t="s">
        <v>299</v>
      </c>
      <c>
        <v>36530</v>
      </c>
      <c>
        <v>49492</v>
      </c>
    </row>
    <row ht="14.95">
      <c t="s">
        <v>393</v>
      </c>
      <c>
        <v>36530</v>
      </c>
      <c>
        <v>53545</v>
      </c>
    </row>
    <row ht="14.95">
      <c t="s">
        <v>86</v>
      </c>
      <c>
        <v>36530</v>
      </c>
      <c>
        <v>60026</v>
      </c>
    </row>
    <row ht="14.95">
      <c t="s">
        <v>488</v>
      </c>
      <c>
        <v>36530</v>
      </c>
      <c>
        <v>65405</v>
      </c>
    </row>
    <row ht="14.95">
      <c t="s">
        <v>87</v>
      </c>
      <c>
        <v>36530</v>
      </c>
      <c>
        <v>68098</v>
      </c>
    </row>
    <row ht="14.95">
      <c t="s">
        <v>189</v>
      </c>
      <c>
        <v>36530</v>
      </c>
      <c>
        <v>70806</v>
      </c>
    </row>
    <row ht="14.95">
      <c t="s">
        <v>277</v>
      </c>
      <c>
        <v>36530</v>
      </c>
      <c>
        <v>73710</v>
      </c>
    </row>
    <row ht="14.95">
      <c t="s">
        <v>371</v>
      </c>
      <c>
        <v>36530</v>
      </c>
      <c>
        <v>77115</v>
      </c>
    </row>
    <row ht="14.95">
      <c t="s">
        <v>427</v>
      </c>
      <c>
        <v>412</v>
      </c>
      <c>
        <v>6332</v>
      </c>
    </row>
    <row ht="14.95">
      <c t="s">
        <v>16</v>
      </c>
      <c>
        <v>412</v>
      </c>
      <c>
        <v>12660</v>
      </c>
    </row>
    <row ht="14.95">
      <c t="s">
        <v>116</v>
      </c>
      <c>
        <v>412</v>
      </c>
      <c>
        <v>16686</v>
      </c>
    </row>
    <row ht="14.95">
      <c t="s">
        <v>300</v>
      </c>
      <c>
        <v>412</v>
      </c>
      <c>
        <v>19144</v>
      </c>
    </row>
    <row ht="14.95">
      <c t="s">
        <v>301</v>
      </c>
      <c>
        <v>3653</v>
      </c>
      <c>
        <v>25127</v>
      </c>
    </row>
    <row ht="14.95">
      <c t="s">
        <v>394</v>
      </c>
      <c>
        <v>3653</v>
      </c>
      <c>
        <v>28268</v>
      </c>
    </row>
    <row ht="14.95">
      <c t="s">
        <v>489</v>
      </c>
      <c>
        <v>3653</v>
      </c>
      <c>
        <v>40839</v>
      </c>
    </row>
    <row ht="14.95">
      <c t="s">
        <v>88</v>
      </c>
      <c>
        <v>3653</v>
      </c>
      <c>
        <v>42571</v>
      </c>
    </row>
    <row ht="14.95">
      <c t="s">
        <v>180</v>
      </c>
      <c>
        <v>3653</v>
      </c>
      <c>
        <v>44259</v>
      </c>
    </row>
    <row ht="14.95">
      <c t="s">
        <v>267</v>
      </c>
      <c>
        <v>36530</v>
      </c>
      <c>
        <v>45831</v>
      </c>
    </row>
    <row ht="14.95">
      <c t="s">
        <v>359</v>
      </c>
      <c>
        <v>36530</v>
      </c>
      <c>
        <v>49313</v>
      </c>
    </row>
    <row ht="14.95">
      <c t="s">
        <v>461</v>
      </c>
      <c>
        <v>36530</v>
      </c>
      <c>
        <v>52903</v>
      </c>
    </row>
    <row ht="14.95">
      <c t="s">
        <v>147</v>
      </c>
      <c>
        <v>36530</v>
      </c>
      <c>
        <v>59165</v>
      </c>
    </row>
    <row ht="14.95">
      <c t="s">
        <v>55</v>
      </c>
      <c>
        <v>36530</v>
      </c>
      <c>
        <v>65125</v>
      </c>
    </row>
    <row ht="14.95">
      <c t="s">
        <v>148</v>
      </c>
      <c>
        <v>36530</v>
      </c>
      <c>
        <v>67613</v>
      </c>
    </row>
    <row ht="14.95">
      <c t="s">
        <v>249</v>
      </c>
      <c>
        <v>36530</v>
      </c>
      <c>
        <v>70730</v>
      </c>
    </row>
    <row ht="14.95">
      <c t="s">
        <v>344</v>
      </c>
      <c>
        <v>36530</v>
      </c>
      <c>
        <v>73695</v>
      </c>
    </row>
    <row ht="14.95">
      <c t="s">
        <v>442</v>
      </c>
      <c>
        <v>36530</v>
      </c>
      <c>
        <v>77003</v>
      </c>
    </row>
    <row ht="14.95">
      <c t="s">
        <v>462</v>
      </c>
      <c>
        <v>412</v>
      </c>
      <c>
        <v>4497</v>
      </c>
    </row>
    <row ht="14.95">
      <c t="s">
        <v>56</v>
      </c>
      <c>
        <v>412</v>
      </c>
      <c>
        <v>11689</v>
      </c>
    </row>
    <row ht="14.95">
      <c t="s">
        <v>149</v>
      </c>
      <c>
        <v>412</v>
      </c>
      <c>
        <v>17163</v>
      </c>
    </row>
    <row ht="14.95">
      <c t="s">
        <v>330</v>
      </c>
      <c>
        <v>412</v>
      </c>
      <c>
        <v>18420</v>
      </c>
    </row>
    <row ht="14.95">
      <c t="s">
        <v>237</v>
      </c>
      <c>
        <v>3653</v>
      </c>
      <c>
        <v>21936</v>
      </c>
    </row>
    <row ht="14.95">
      <c t="s">
        <v>331</v>
      </c>
      <c>
        <v>3653</v>
      </c>
      <c>
        <v>25451</v>
      </c>
    </row>
    <row ht="14.95">
      <c t="s">
        <v>428</v>
      </c>
      <c>
        <v>3653</v>
      </c>
      <c>
        <v>28863</v>
      </c>
    </row>
    <row ht="14.95">
      <c t="s">
        <v>17</v>
      </c>
      <c>
        <v>3653</v>
      </c>
      <c>
        <v>41377</v>
      </c>
    </row>
    <row ht="14.95">
      <c t="s">
        <v>117</v>
      </c>
      <c>
        <v>3653</v>
      </c>
      <c>
        <v>43408</v>
      </c>
    </row>
    <row ht="14.95">
      <c t="s">
        <v>211</v>
      </c>
      <c>
        <v>3653</v>
      </c>
      <c>
        <v>44455</v>
      </c>
    </row>
    <row ht="14.95">
      <c t="s">
        <v>302</v>
      </c>
      <c>
        <v>36530</v>
      </c>
      <c>
        <v>45706</v>
      </c>
    </row>
    <row ht="14.95">
      <c t="s">
        <v>395</v>
      </c>
      <c>
        <v>36530</v>
      </c>
      <c>
        <v>48267</v>
      </c>
    </row>
    <row ht="14.95">
      <c t="s">
        <v>490</v>
      </c>
      <c>
        <v>36530</v>
      </c>
      <c>
        <v>52747</v>
      </c>
    </row>
    <row ht="14.95">
      <c t="s">
        <v>181</v>
      </c>
      <c>
        <v>36530</v>
      </c>
      <c>
        <v>58306</v>
      </c>
    </row>
    <row ht="14.95">
      <c t="s">
        <v>89</v>
      </c>
      <c>
        <v>36530</v>
      </c>
      <c>
        <v>65178</v>
      </c>
    </row>
    <row ht="14.95">
      <c t="s">
        <v>182</v>
      </c>
      <c>
        <v>36530</v>
      </c>
      <c>
        <v>67758</v>
      </c>
    </row>
    <row ht="14.95">
      <c t="s">
        <v>275</v>
      </c>
      <c>
        <v>36530</v>
      </c>
      <c>
        <v>70169</v>
      </c>
    </row>
    <row ht="14.95">
      <c t="s">
        <v>368</v>
      </c>
      <c>
        <v>36530</v>
      </c>
      <c>
        <v>73195</v>
      </c>
    </row>
    <row ht="14.95">
      <c t="s">
        <v>473</v>
      </c>
      <c>
        <v>36530</v>
      </c>
      <c>
        <v>76773</v>
      </c>
    </row>
    <row ht="14.95">
      <c t="s">
        <v>18</v>
      </c>
      <c>
        <v>412</v>
      </c>
      <c>
        <v>4372</v>
      </c>
    </row>
    <row ht="14.95">
      <c t="s">
        <v>118</v>
      </c>
      <c>
        <v>412</v>
      </c>
      <c>
        <v>13195</v>
      </c>
    </row>
    <row ht="14.95">
      <c t="s">
        <v>212</v>
      </c>
      <c>
        <v>412</v>
      </c>
      <c>
        <v>17484</v>
      </c>
    </row>
    <row ht="14.95">
      <c t="s">
        <v>396</v>
      </c>
      <c>
        <v>412</v>
      </c>
      <c>
        <v>18966</v>
      </c>
    </row>
    <row ht="14.95">
      <c t="s">
        <v>303</v>
      </c>
      <c>
        <v>3653</v>
      </c>
      <c>
        <v>21677</v>
      </c>
    </row>
    <row ht="14.95">
      <c t="s">
        <v>397</v>
      </c>
      <c>
        <v>3653</v>
      </c>
      <c>
        <v>25061</v>
      </c>
    </row>
    <row ht="14.95">
      <c t="s">
        <v>491</v>
      </c>
      <c>
        <v>3653</v>
      </c>
      <c>
        <v>29164</v>
      </c>
    </row>
    <row ht="14.95">
      <c t="s">
        <v>90</v>
      </c>
      <c>
        <v>3653</v>
      </c>
      <c>
        <v>40953</v>
      </c>
    </row>
    <row ht="14.95">
      <c t="s">
        <v>183</v>
      </c>
      <c>
        <v>3653</v>
      </c>
      <c>
        <v>42862</v>
      </c>
    </row>
    <row ht="14.95">
      <c t="s">
        <v>268</v>
      </c>
      <c>
        <v>3653</v>
      </c>
      <c>
        <v>45025</v>
      </c>
    </row>
    <row ht="14.95">
      <c t="s">
        <v>360</v>
      </c>
      <c>
        <v>36530</v>
      </c>
      <c>
        <v>46074</v>
      </c>
    </row>
    <row ht="14.95">
      <c t="s">
        <v>463</v>
      </c>
      <c>
        <v>36530</v>
      </c>
      <c>
        <v>49123</v>
      </c>
    </row>
    <row ht="14.95">
      <c t="s">
        <v>57</v>
      </c>
      <c>
        <v>36530</v>
      </c>
      <c>
        <v>53453</v>
      </c>
    </row>
    <row ht="14.95">
      <c t="s">
        <v>238</v>
      </c>
      <c>
        <v>36530</v>
      </c>
      <c>
        <v>59968</v>
      </c>
    </row>
    <row ht="14.95">
      <c t="s">
        <v>150</v>
      </c>
      <c>
        <v>36530</v>
      </c>
      <c>
        <v>65605</v>
      </c>
    </row>
    <row ht="14.95">
      <c t="s">
        <v>239</v>
      </c>
      <c>
        <v>36530</v>
      </c>
      <c>
        <v>67798</v>
      </c>
    </row>
    <row ht="14.95">
      <c t="s">
        <v>342</v>
      </c>
      <c>
        <v>36530</v>
      </c>
      <c>
        <v>70334</v>
      </c>
    </row>
    <row ht="14.95">
      <c t="s">
        <v>440</v>
      </c>
      <c>
        <v>36530</v>
      </c>
      <c>
        <v>74035</v>
      </c>
    </row>
    <row ht="14.95">
      <c t="s">
        <v>33</v>
      </c>
      <c>
        <v>36530</v>
      </c>
      <c>
        <v>78478</v>
      </c>
    </row>
    <row ht="14.95">
      <c t="s">
        <v>119</v>
      </c>
      <c>
        <v>412</v>
      </c>
      <c>
        <v>3023</v>
      </c>
    </row>
    <row ht="14.95">
      <c t="s">
        <v>213</v>
      </c>
      <c>
        <v>412</v>
      </c>
      <c>
        <v>12383</v>
      </c>
    </row>
    <row ht="14.95">
      <c t="s">
        <v>304</v>
      </c>
      <c>
        <v>412</v>
      </c>
      <c>
        <v>16387</v>
      </c>
    </row>
    <row ht="14.95">
      <c t="s">
        <v>492</v>
      </c>
      <c>
        <v>412</v>
      </c>
      <c>
        <v>19346</v>
      </c>
    </row>
    <row ht="14.95">
      <c t="s">
        <v>398</v>
      </c>
      <c>
        <v>3653</v>
      </c>
      <c>
        <v>23427</v>
      </c>
    </row>
    <row ht="14.95">
      <c t="s">
        <v>493</v>
      </c>
      <c>
        <v>3653</v>
      </c>
      <c>
        <v>25647</v>
      </c>
    </row>
    <row ht="14.95">
      <c t="s">
        <v>91</v>
      </c>
      <c>
        <v>3653</v>
      </c>
      <c>
        <v>28382</v>
      </c>
    </row>
    <row ht="14.95">
      <c t="s">
        <v>184</v>
      </c>
      <c>
        <v>3653</v>
      </c>
      <c>
        <v>41585</v>
      </c>
    </row>
    <row ht="14.95">
      <c t="s">
        <v>269</v>
      </c>
      <c>
        <v>3653</v>
      </c>
      <c>
        <v>43527</v>
      </c>
    </row>
    <row ht="14.95">
      <c t="s">
        <v>361</v>
      </c>
      <c>
        <v>3653</v>
      </c>
      <c>
        <v>45086</v>
      </c>
    </row>
    <row ht="14.95">
      <c t="s">
        <v>464</v>
      </c>
      <c>
        <v>36530</v>
      </c>
      <c>
        <v>46975</v>
      </c>
    </row>
    <row ht="14.95">
      <c t="s">
        <v>58</v>
      </c>
      <c>
        <v>36530</v>
      </c>
      <c>
        <v>49990</v>
      </c>
    </row>
    <row ht="14.95">
      <c t="s">
        <v>151</v>
      </c>
      <c>
        <v>36530</v>
      </c>
      <c>
        <v>53684</v>
      </c>
    </row>
    <row ht="14.95">
      <c t="s">
        <v>332</v>
      </c>
      <c>
        <v>36530</v>
      </c>
      <c>
        <v>63889</v>
      </c>
    </row>
    <row ht="14.95">
      <c t="s">
        <v>240</v>
      </c>
      <c>
        <v>36530</v>
      </c>
      <c>
        <v>65722</v>
      </c>
    </row>
    <row ht="14.95">
      <c t="s">
        <v>333</v>
      </c>
      <c>
        <v>36530</v>
      </c>
      <c>
        <v>67857</v>
      </c>
    </row>
    <row ht="14.95">
      <c t="s">
        <v>438</v>
      </c>
      <c>
        <v>36530</v>
      </c>
      <c>
        <v>70637</v>
      </c>
    </row>
    <row ht="14.95">
      <c t="s">
        <v>29</v>
      </c>
      <c>
        <v>36530</v>
      </c>
      <c>
        <v>73985</v>
      </c>
    </row>
    <row ht="14.95">
      <c t="s">
        <v>131</v>
      </c>
      <c>
        <v>36530</v>
      </c>
      <c>
        <v>78433</v>
      </c>
    </row>
    <row ht="14.95">
      <c t="s">
        <v>270</v>
      </c>
      <c>
        <v>412</v>
      </c>
      <c>
        <v>11245</v>
      </c>
    </row>
    <row ht="14.95">
      <c t="s">
        <v>362</v>
      </c>
      <c>
        <v>412</v>
      </c>
      <c>
        <v>15886</v>
      </c>
    </row>
    <row ht="14.95">
      <c t="s">
        <v>59</v>
      </c>
      <c>
        <v>412</v>
      </c>
      <c>
        <v>18412</v>
      </c>
    </row>
    <row ht="14.95">
      <c t="s">
        <v>465</v>
      </c>
      <c>
        <v>3653</v>
      </c>
      <c>
        <v>21843</v>
      </c>
    </row>
    <row ht="14.95">
      <c t="s">
        <v>60</v>
      </c>
      <c>
        <v>3653</v>
      </c>
      <c>
        <v>25308</v>
      </c>
    </row>
    <row ht="14.95">
      <c t="s">
        <v>152</v>
      </c>
      <c>
        <v>3653</v>
      </c>
      <c>
        <v>28645</v>
      </c>
    </row>
    <row ht="14.95">
      <c t="s">
        <v>241</v>
      </c>
      <c>
        <v>3653</v>
      </c>
      <c>
        <v>40709</v>
      </c>
    </row>
    <row ht="14.95">
      <c t="s">
        <v>334</v>
      </c>
      <c>
        <v>3653</v>
      </c>
      <c>
        <v>42392</v>
      </c>
    </row>
    <row ht="14.95">
      <c t="s">
        <v>429</v>
      </c>
      <c>
        <v>3653</v>
      </c>
      <c>
        <v>44094</v>
      </c>
    </row>
    <row ht="14.95">
      <c t="s">
        <v>19</v>
      </c>
      <c>
        <v>36530</v>
      </c>
      <c>
        <v>45816</v>
      </c>
    </row>
    <row ht="14.95">
      <c t="s">
        <v>120</v>
      </c>
      <c>
        <v>36530</v>
      </c>
      <c>
        <v>48605</v>
      </c>
    </row>
    <row ht="14.95">
      <c t="s">
        <v>214</v>
      </c>
      <c>
        <v>36530</v>
      </c>
      <c>
        <v>52669</v>
      </c>
    </row>
    <row ht="14.95">
      <c t="s">
        <v>399</v>
      </c>
      <c>
        <v>36530</v>
      </c>
      <c>
        <v>59188</v>
      </c>
    </row>
    <row ht="14.95">
      <c t="s">
        <v>305</v>
      </c>
      <c>
        <v>36530</v>
      </c>
      <c>
        <v>65547</v>
      </c>
    </row>
    <row ht="14.95">
      <c t="s">
        <v>400</v>
      </c>
      <c>
        <v>36530</v>
      </c>
      <c>
        <v>67631</v>
      </c>
    </row>
    <row ht="14.95">
      <c t="s">
        <v>471</v>
      </c>
      <c>
        <v>36530</v>
      </c>
      <c>
        <v>70509</v>
      </c>
    </row>
    <row ht="14.95">
      <c t="s">
        <v>66</v>
      </c>
      <c>
        <v>36530</v>
      </c>
      <c>
        <v>73457</v>
      </c>
    </row>
    <row ht="14.95">
      <c t="s">
        <v>161</v>
      </c>
      <c>
        <v>36530</v>
      </c>
      <c>
        <v>78258</v>
      </c>
    </row>
    <row ht="14.95">
      <c t="s">
        <v>215</v>
      </c>
      <c>
        <v>412</v>
      </c>
      <c>
        <v>4638</v>
      </c>
    </row>
    <row ht="14.95">
      <c t="s">
        <v>306</v>
      </c>
      <c>
        <v>412</v>
      </c>
      <c>
        <v>11732</v>
      </c>
    </row>
    <row ht="14.95">
      <c t="s">
        <v>401</v>
      </c>
      <c>
        <v>412</v>
      </c>
      <c>
        <v>16340</v>
      </c>
    </row>
    <row ht="14.95">
      <c t="s">
        <v>92</v>
      </c>
      <c>
        <v>412</v>
      </c>
      <c>
        <v>18777</v>
      </c>
    </row>
    <row ht="14.95">
      <c t="s">
        <v>494</v>
      </c>
      <c>
        <v>3653</v>
      </c>
      <c>
        <v>22917</v>
      </c>
    </row>
    <row ht="14.95">
      <c t="s">
        <v>93</v>
      </c>
      <c>
        <v>3653</v>
      </c>
      <c>
        <v>25129</v>
      </c>
    </row>
    <row ht="14.95">
      <c t="s">
        <v>185</v>
      </c>
      <c>
        <v>3653</v>
      </c>
      <c>
        <v>28503</v>
      </c>
    </row>
    <row ht="14.95">
      <c t="s">
        <v>271</v>
      </c>
      <c>
        <v>3653</v>
      </c>
      <c>
        <v>41090</v>
      </c>
    </row>
    <row ht="14.95">
      <c t="s">
        <v>363</v>
      </c>
      <c>
        <v>3653</v>
      </c>
      <c>
        <v>42890</v>
      </c>
    </row>
    <row ht="14.95">
      <c t="s">
        <v>466</v>
      </c>
      <c>
        <v>3653</v>
      </c>
      <c>
        <v>44198</v>
      </c>
    </row>
    <row ht="14.95">
      <c t="s">
        <v>61</v>
      </c>
      <c>
        <v>36530</v>
      </c>
      <c>
        <v>46083</v>
      </c>
    </row>
    <row ht="14.95">
      <c t="s">
        <v>153</v>
      </c>
      <c>
        <v>36530</v>
      </c>
      <c>
        <v>49934</v>
      </c>
    </row>
    <row ht="14.95">
      <c t="s">
        <v>242</v>
      </c>
      <c>
        <v>36530</v>
      </c>
      <c>
        <v>53087</v>
      </c>
    </row>
    <row ht="14.95">
      <c t="s">
        <v>430</v>
      </c>
      <c>
        <v>36530</v>
      </c>
      <c>
        <v>59436</v>
      </c>
    </row>
    <row ht="14.95">
      <c t="s">
        <v>335</v>
      </c>
      <c>
        <v>36530</v>
      </c>
      <c>
        <v>65329</v>
      </c>
    </row>
    <row ht="14.95">
      <c t="s">
        <v>431</v>
      </c>
      <c>
        <v>36530</v>
      </c>
      <c>
        <v>68114</v>
      </c>
    </row>
    <row ht="14.95">
      <c t="s">
        <v>27</v>
      </c>
      <c>
        <v>36530</v>
      </c>
      <c>
        <v>70533</v>
      </c>
    </row>
    <row ht="14.95">
      <c t="s">
        <v>129</v>
      </c>
      <c>
        <v>36530</v>
      </c>
      <c>
        <v>74110</v>
      </c>
    </row>
    <row ht="14.95">
      <c t="s">
        <v>223</v>
      </c>
      <c>
        <v>36530</v>
      </c>
      <c>
        <v>77495</v>
      </c>
    </row>
    <row ht="14.95">
      <c t="s">
        <v>272</v>
      </c>
      <c>
        <v>412</v>
      </c>
      <c>
        <v>4472</v>
      </c>
    </row>
    <row ht="14.95">
      <c t="s">
        <v>364</v>
      </c>
      <c>
        <v>412</v>
      </c>
      <c>
        <v>11742</v>
      </c>
    </row>
    <row ht="14.95">
      <c t="s">
        <v>467</v>
      </c>
      <c>
        <v>412</v>
      </c>
      <c>
        <v>16235</v>
      </c>
    </row>
    <row ht="14.95">
      <c t="s">
        <v>154</v>
      </c>
      <c>
        <v>412</v>
      </c>
      <c>
        <v>18987</v>
      </c>
    </row>
    <row ht="14.95">
      <c t="s">
        <v>62</v>
      </c>
      <c>
        <v>3653</v>
      </c>
      <c>
        <v>21960</v>
      </c>
    </row>
    <row ht="14.95">
      <c t="s">
        <v>155</v>
      </c>
      <c>
        <v>3653</v>
      </c>
      <c>
        <v>25006</v>
      </c>
    </row>
    <row ht="14.95">
      <c t="s">
        <v>243</v>
      </c>
      <c>
        <v>3653</v>
      </c>
      <c>
        <v>28613</v>
      </c>
    </row>
    <row ht="14.95">
      <c t="s">
        <v>336</v>
      </c>
      <c>
        <v>3653</v>
      </c>
      <c>
        <v>41198</v>
      </c>
    </row>
    <row ht="14.95">
      <c t="s">
        <v>432</v>
      </c>
      <c>
        <v>3653</v>
      </c>
      <c>
        <v>43464</v>
      </c>
    </row>
    <row ht="14.95">
      <c t="s">
        <v>20</v>
      </c>
      <c>
        <v>3653</v>
      </c>
      <c>
        <v>45114</v>
      </c>
    </row>
    <row ht="14.95">
      <c t="s">
        <v>121</v>
      </c>
      <c>
        <v>36530</v>
      </c>
      <c>
        <v>46829</v>
      </c>
    </row>
    <row ht="14.95">
      <c t="s">
        <v>216</v>
      </c>
      <c>
        <v>36530</v>
      </c>
      <c>
        <v>50263</v>
      </c>
    </row>
    <row ht="14.95">
      <c t="s">
        <v>307</v>
      </c>
      <c>
        <v>36530</v>
      </c>
      <c>
        <v>53037</v>
      </c>
    </row>
    <row ht="14.95">
      <c t="s">
        <v>495</v>
      </c>
      <c>
        <v>36530</v>
      </c>
      <c>
        <v>62609</v>
      </c>
    </row>
    <row ht="14.95">
      <c t="s">
        <v>402</v>
      </c>
      <c>
        <v>36530</v>
      </c>
      <c>
        <v>65519</v>
      </c>
    </row>
    <row ht="14.95">
      <c t="s">
        <v>496</v>
      </c>
      <c>
        <v>36530</v>
      </c>
      <c>
        <v>68151</v>
      </c>
    </row>
    <row ht="14.95">
      <c t="s">
        <v>98</v>
      </c>
      <c>
        <v>36530</v>
      </c>
      <c>
        <v>70908</v>
      </c>
    </row>
    <row ht="14.95">
      <c t="s">
        <v>192</v>
      </c>
      <c>
        <v>36530</v>
      </c>
      <c>
        <v>74083</v>
      </c>
    </row>
    <row ht="14.95">
      <c t="s">
        <v>280</v>
      </c>
      <c>
        <v>36530</v>
      </c>
      <c>
        <v>77559</v>
      </c>
    </row>
    <row ht="14.95">
      <c t="s">
        <v>308</v>
      </c>
      <c>
        <v>412</v>
      </c>
      <c>
        <v>4440</v>
      </c>
    </row>
    <row ht="14.95">
      <c t="s">
        <v>403</v>
      </c>
      <c>
        <v>412</v>
      </c>
      <c>
        <v>12663</v>
      </c>
    </row>
    <row ht="14.95">
      <c t="s">
        <v>497</v>
      </c>
      <c>
        <v>412</v>
      </c>
      <c>
        <v>16221</v>
      </c>
    </row>
    <row ht="14.95">
      <c t="s">
        <v>186</v>
      </c>
      <c>
        <v>412</v>
      </c>
      <c>
        <v>18621</v>
      </c>
    </row>
    <row ht="14.95">
      <c t="s">
        <v>94</v>
      </c>
      <c>
        <v>3653</v>
      </c>
      <c>
        <v>21398</v>
      </c>
    </row>
    <row ht="14.95">
      <c t="s">
        <v>187</v>
      </c>
      <c>
        <v>3653</v>
      </c>
      <c>
        <v>24779</v>
      </c>
    </row>
    <row ht="14.95">
      <c t="s">
        <v>273</v>
      </c>
      <c>
        <v>3653</v>
      </c>
      <c>
        <v>28064</v>
      </c>
    </row>
    <row ht="14.95">
      <c t="s">
        <v>365</v>
      </c>
      <c>
        <v>3653</v>
      </c>
      <c>
        <v>41302</v>
      </c>
    </row>
    <row ht="14.95">
      <c t="s">
        <v>468</v>
      </c>
      <c>
        <v>3653</v>
      </c>
      <c>
        <v>43233</v>
      </c>
    </row>
    <row ht="14.95">
      <c t="s">
        <v>63</v>
      </c>
      <c>
        <v>3653</v>
      </c>
      <c>
        <v>44818</v>
      </c>
    </row>
    <row ht="14.95">
      <c t="s">
        <v>156</v>
      </c>
      <c>
        <v>36530</v>
      </c>
      <c>
        <v>45774</v>
      </c>
    </row>
    <row ht="14.95">
      <c t="s">
        <v>244</v>
      </c>
      <c>
        <v>36530</v>
      </c>
      <c>
        <v>48447</v>
      </c>
    </row>
    <row ht="14.95">
      <c t="s">
        <v>337</v>
      </c>
      <c>
        <v>36530</v>
      </c>
      <c>
        <v>52341</v>
      </c>
    </row>
    <row ht="14.95">
      <c t="s">
        <v>21</v>
      </c>
      <c>
        <v>36530</v>
      </c>
      <c>
        <v>59694</v>
      </c>
    </row>
    <row ht="14.95">
      <c t="s">
        <v>433</v>
      </c>
      <c>
        <v>36530</v>
      </c>
      <c>
        <v>65047</v>
      </c>
    </row>
    <row ht="14.95">
      <c t="s">
        <v>22</v>
      </c>
      <c>
        <v>36530</v>
      </c>
      <c>
        <v>67885</v>
      </c>
    </row>
    <row ht="14.95">
      <c t="s">
        <v>127</v>
      </c>
      <c>
        <v>36530</v>
      </c>
      <c>
        <v>70595</v>
      </c>
    </row>
    <row ht="14.95">
      <c t="s">
        <v>221</v>
      </c>
      <c>
        <v>36530</v>
      </c>
      <c>
        <v>73622</v>
      </c>
    </row>
    <row ht="14.95">
      <c t="s">
        <v>314</v>
      </c>
      <c>
        <v>36530</v>
      </c>
      <c>
        <v>77033</v>
      </c>
    </row>
    <row ht="14.95">
      <c t="s">
        <v>366</v>
      </c>
      <c>
        <v>412</v>
      </c>
      <c>
        <v>3578</v>
      </c>
    </row>
    <row ht="14.95">
      <c t="s">
        <v>469</v>
      </c>
      <c>
        <v>412</v>
      </c>
      <c>
        <v>12532</v>
      </c>
    </row>
    <row ht="14.95">
      <c t="s">
        <v>64</v>
      </c>
      <c>
        <v>412</v>
      </c>
      <c>
        <v>15979</v>
      </c>
    </row>
    <row ht="14.95">
      <c t="s">
        <v>245</v>
      </c>
      <c>
        <v>412</v>
      </c>
      <c>
        <v>18540</v>
      </c>
    </row>
    <row ht="14.95">
      <c t="s">
        <v>157</v>
      </c>
      <c>
        <v>3653</v>
      </c>
      <c>
        <v>21287</v>
      </c>
    </row>
    <row ht="14.95">
      <c t="s">
        <v>246</v>
      </c>
      <c>
        <v>3653</v>
      </c>
      <c>
        <v>24511</v>
      </c>
    </row>
    <row ht="14.95">
      <c t="s">
        <v>338</v>
      </c>
      <c>
        <v>3653</v>
      </c>
      <c>
        <v>28312</v>
      </c>
    </row>
    <row ht="14.95">
      <c t="s">
        <v>434</v>
      </c>
      <c>
        <v>3653</v>
      </c>
      <c>
        <v>41240</v>
      </c>
    </row>
    <row ht="14.95">
      <c t="s">
        <v>23</v>
      </c>
      <c>
        <v>3653</v>
      </c>
      <c>
        <v>42299</v>
      </c>
    </row>
    <row ht="14.95">
      <c t="s">
        <v>122</v>
      </c>
      <c>
        <v>3653</v>
      </c>
      <c>
        <v>43943</v>
      </c>
    </row>
    <row ht="14.95">
      <c t="s">
        <v>217</v>
      </c>
      <c>
        <v>36530</v>
      </c>
      <c>
        <v>45750</v>
      </c>
    </row>
    <row ht="14.95">
      <c t="s">
        <v>309</v>
      </c>
      <c>
        <v>36530</v>
      </c>
      <c>
        <v>47780</v>
      </c>
    </row>
    <row ht="14.95">
      <c t="s">
        <v>404</v>
      </c>
      <c>
        <v>36530</v>
      </c>
      <c>
        <v>52531</v>
      </c>
    </row>
    <row ht="14.95">
      <c t="s">
        <v>95</v>
      </c>
      <c>
        <v>36530</v>
      </c>
      <c>
        <v>59893</v>
      </c>
    </row>
    <row ht="14.95">
      <c t="s">
        <v>498</v>
      </c>
      <c>
        <v>36530</v>
      </c>
      <c>
        <v>65494</v>
      </c>
    </row>
    <row ht="14.95">
      <c t="s">
        <v>96</v>
      </c>
      <c>
        <v>36530</v>
      </c>
      <c>
        <v>68066</v>
      </c>
    </row>
    <row ht="14.95">
      <c t="s">
        <v>190</v>
      </c>
      <c>
        <v>36530</v>
      </c>
      <c>
        <v>70868</v>
      </c>
    </row>
    <row ht="14.95">
      <c t="s">
        <v>278</v>
      </c>
      <c>
        <v>36530</v>
      </c>
      <c>
        <v>73934</v>
      </c>
    </row>
    <row ht="14.95">
      <c t="s">
        <v>372</v>
      </c>
      <c>
        <v>36530</v>
      </c>
      <c>
        <v>78100</v>
      </c>
    </row>
    <row ht="14.95">
      <c t="s">
        <v>435</v>
      </c>
      <c>
        <v>412</v>
      </c>
      <c>
        <v>4941</v>
      </c>
    </row>
    <row ht="14.95">
      <c t="s">
        <v>24</v>
      </c>
      <c>
        <v>412</v>
      </c>
      <c>
        <v>11225</v>
      </c>
    </row>
    <row ht="14.95">
      <c t="s">
        <v>123</v>
      </c>
      <c>
        <v>412</v>
      </c>
      <c>
        <v>17451</v>
      </c>
    </row>
    <row ht="14.95">
      <c t="s">
        <v>310</v>
      </c>
      <c>
        <v>412</v>
      </c>
      <c>
        <v>23313</v>
      </c>
    </row>
    <row ht="14.95">
      <c t="s">
        <v>218</v>
      </c>
      <c>
        <v>3653</v>
      </c>
      <c>
        <v>21880</v>
      </c>
    </row>
    <row ht="14.95">
      <c t="s">
        <v>311</v>
      </c>
      <c>
        <v>3653</v>
      </c>
      <c>
        <v>25317</v>
      </c>
    </row>
    <row ht="14.95">
      <c t="s">
        <v>405</v>
      </c>
      <c>
        <v>3653</v>
      </c>
      <c>
        <v>28320</v>
      </c>
    </row>
    <row ht="14.95">
      <c t="s">
        <v>470</v>
      </c>
      <c>
        <v>3653</v>
      </c>
      <c>
        <v>40934</v>
      </c>
    </row>
    <row ht="14.95">
      <c t="s">
        <v>65</v>
      </c>
      <c>
        <v>3653</v>
      </c>
      <c>
        <v>43484</v>
      </c>
    </row>
    <row ht="14.95">
      <c t="s">
        <v>158</v>
      </c>
      <c>
        <v>3653</v>
      </c>
      <c>
        <v>44868</v>
      </c>
    </row>
    <row ht="14.95">
      <c t="s">
        <v>247</v>
      </c>
      <c>
        <v>36530</v>
      </c>
      <c>
        <v>46170</v>
      </c>
    </row>
    <row ht="14.95">
      <c t="s">
        <v>339</v>
      </c>
      <c>
        <v>36530</v>
      </c>
      <c>
        <v>49326</v>
      </c>
    </row>
    <row ht="14.95">
      <c t="s">
        <v>436</v>
      </c>
      <c>
        <v>36530</v>
      </c>
      <c>
        <v>53469</v>
      </c>
    </row>
    <row ht="14.95">
      <c t="s">
        <v>124</v>
      </c>
      <c>
        <v>36530</v>
      </c>
      <c>
        <v>60127</v>
      </c>
    </row>
    <row ht="14.95">
      <c t="s">
        <v>25</v>
      </c>
      <c>
        <v>36530</v>
      </c>
      <c>
        <v>65175</v>
      </c>
    </row>
    <row ht="14.95">
      <c t="s">
        <v>125</v>
      </c>
      <c>
        <v>36530</v>
      </c>
      <c>
        <v>67495</v>
      </c>
    </row>
    <row ht="14.95">
      <c t="s">
        <v>219</v>
      </c>
      <c>
        <v>36530</v>
      </c>
      <c>
        <v>70405</v>
      </c>
    </row>
    <row ht="14.95">
      <c t="s">
        <v>312</v>
      </c>
      <c>
        <v>36530</v>
      </c>
      <c>
        <v>73473</v>
      </c>
    </row>
    <row ht="14.95">
      <c t="s">
        <v>407</v>
      </c>
      <c>
        <v>36530</v>
      </c>
      <c>
        <v>77881</v>
      </c>
    </row>
    <row r="416"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  <row ht="14.95">
      <c s="42"/>
      <c s="39"/>
      <c s="39"/>
    </row>
  </sheetData>
  <pageMargins left="0.7" right="0.7" top="0.787401575" bottom="0.787401575" header="0.3" footer="0.3"/>
  <pageSetup paperSize="9" fitToWidth="0" fitToHeight="0" orientation="portrait"/>
</worksheet>
</file>

<file path=[Content_Types].xml><?xml version="1.0" encoding="utf-8"?>
<Types xmlns="http://schemas.openxmlformats.org/package/2006/content-types">
  <Default Extension="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3.25.102"/>
  <workbookPr defaultThemeVersion="124226"/>
  <bookViews>
    <workbookView xWindow="0" yWindow="0" windowWidth="28800" windowHeight="12165"/>
  </bookViews>
  <sheets>
    <sheet name="Tab" sheetId="1" r:id="rId1"/>
    <sheet name="XLCubedFormats" sheetId="2" state="hidden" r:id="rId2"/>
  </sheets>
  <definedNames>
    <definedName name="_xlnm.Print_Area" localSheetId="0">Tab!$A$1:$I$71</definedName>
    <definedName name="_xlnm.Print_Titles" localSheetId="0">Tab!$18:$19</definedName>
    <definedName name="XL3DisableCameraObjects" hidden="1">XLCubedFormats!A1</definedName>
    <definedName name="XL3ObjLocation9562a449_68a7_448d_8114_3b54ee7e5291">Tab!$A$7</definedName>
  </definedNames>
  <calcPr calcId="40001"/>
</workbook>
</file>

<file path=xl/sharedStrings.xml><?xml version="1.0" encoding="utf-8"?>
<sst xmlns="http://schemas.openxmlformats.org/spreadsheetml/2006/main" uniqueCount="131">
  <si>
    <t>Universität</t>
  </si>
  <si>
    <t>Semester und Datenstichtag</t>
  </si>
  <si>
    <t>Reife/Koop.-Vertrag (Inland)</t>
  </si>
  <si>
    <t>Slicer Button Background</t>
  </si>
  <si>
    <t>Grid Title</t>
  </si>
  <si>
    <t>Oth Written Member</t>
  </si>
  <si>
    <t>Fill in Grid Name, Dimension or Both</t>
  </si>
  <si>
    <t>[ALLG Wertart].[Wertart]</t>
  </si>
  <si>
    <t>Frauen</t>
  </si>
  <si>
    <t>Staatengruppe (Ö, EU, andere)</t>
  </si>
  <si>
    <t>Absolutwert</t>
  </si>
  <si>
    <t>inl. akkred. Privatuniversität</t>
  </si>
  <si>
    <t>IB Diploma (Ausland)</t>
  </si>
  <si>
    <t>All Marital Status</t>
  </si>
  <si>
    <t>Male</t>
  </si>
  <si>
    <t>Member1 Name</t>
  </si>
  <si>
    <t>LEVEL: 1</t>
  </si>
  <si>
    <t>Wintersemester 2024 (Stichtag: 28.02.2025)</t>
  </si>
  <si>
    <t>Anmerkung: Ab dem WS 2016 erfolgt die zähltechnische Abbildung der Studierenden auf Basis des Verteilungsschlüssels gemäß § 22 Abs. 2 UHSBV.</t>
  </si>
  <si>
    <t>Studienberechtigung HStudBerG</t>
  </si>
  <si>
    <t>Frauenoberschule</t>
  </si>
  <si>
    <t>Aufbaurealgymnasium</t>
  </si>
  <si>
    <t>ord. Studierende (PU)</t>
  </si>
  <si>
    <t>&lt;-- default Column Member Format</t>
  </si>
  <si>
    <t>[SU Studierende].[Schulform]</t>
  </si>
  <si>
    <t>Gesamt</t>
  </si>
  <si>
    <t>Oberstufenrealgymnasium</t>
  </si>
  <si>
    <t>keine Reifeprüfung</t>
  </si>
  <si>
    <t>ausl. postsekund.Bildungseinr.</t>
  </si>
  <si>
    <t>Alternate Rows</t>
  </si>
  <si>
    <t>&lt;--  writeable cell format</t>
  </si>
  <si>
    <t xml:space="preserve"> </t>
  </si>
  <si>
    <t>Wirtschaftskundl.Realgymnasium</t>
  </si>
  <si>
    <t>Handelsakademie</t>
  </si>
  <si>
    <t>Slicer Title</t>
  </si>
  <si>
    <t>Calendar Period</t>
  </si>
  <si>
    <t>&lt;-- default cell format</t>
  </si>
  <si>
    <t>Written Member</t>
  </si>
  <si>
    <t>Dimension/Column</t>
  </si>
  <si>
    <t>4) Prozentangaben werden standardmäßig mit einer Kommastelle angezeigt</t>
  </si>
  <si>
    <t>Naturwissensch. Realgymnasium</t>
  </si>
  <si>
    <t>inl. FH-Diplom-/MA-Studiengang</t>
  </si>
  <si>
    <t>Gymnasium</t>
  </si>
  <si>
    <t>Externistenreifeprüfung</t>
  </si>
  <si>
    <t>Berufsreifeprüfung</t>
  </si>
  <si>
    <t>Männer</t>
  </si>
  <si>
    <t>Slice Name (Optional)</t>
  </si>
  <si>
    <t>Master-/Diplomst.and.inl.Univ.</t>
  </si>
  <si>
    <t>Bachelorstud. and. inl. Univ.</t>
  </si>
  <si>
    <t>ausl. beschränkte HS-Reife</t>
  </si>
  <si>
    <t>Aufbaumittelschule</t>
  </si>
  <si>
    <t>(Wirtsch.kundl.) RG f.Berufst.</t>
  </si>
  <si>
    <t>Studienberechtigungsprüfung</t>
  </si>
  <si>
    <t>H.techn.u.gewerbl. Lehranstalt</t>
  </si>
  <si>
    <t>gilt als inländisch</t>
  </si>
  <si>
    <t>Europäisches Abitur (Ausland)</t>
  </si>
  <si>
    <t>Bachelorstudium eigene Univ.</t>
  </si>
  <si>
    <t>Customer</t>
  </si>
  <si>
    <t>-All Customer</t>
  </si>
  <si>
    <t>Default Alternate Row Member Format --&gt;</t>
  </si>
  <si>
    <t>Schulform-Gruppe</t>
  </si>
  <si>
    <t>Realistisches Gymnasium</t>
  </si>
  <si>
    <t>Realgymnasium</t>
  </si>
  <si>
    <t>Master-/Diplomst.eigene Univ.</t>
  </si>
  <si>
    <t>Lehrerbildungsanstalt</t>
  </si>
  <si>
    <t>inl. Pädagogische Hochschule</t>
  </si>
  <si>
    <t>Akademie</t>
  </si>
  <si>
    <t>Slicer Item</t>
  </si>
  <si>
    <t>&lt;-- default Slicer Member Format</t>
  </si>
  <si>
    <t>Default Row Member Format --&gt;</t>
  </si>
  <si>
    <t>Grid/Table Name</t>
  </si>
  <si>
    <t>[Measures]</t>
  </si>
  <si>
    <t>Erstzugelassene Studierende</t>
  </si>
  <si>
    <t>Studierende Universitäten</t>
  </si>
  <si>
    <t>IB Diploma (Inland)</t>
  </si>
  <si>
    <t>BA f.Kindergartenpädagogik</t>
  </si>
  <si>
    <t>&lt;-- writeable Slicer Member Format</t>
  </si>
  <si>
    <t>Slice Format 1</t>
  </si>
  <si>
    <t>&lt;-- Gesamtzeile</t>
  </si>
  <si>
    <t>3) Formatierung der Gesamtspalte und -zeile (siehe E25:E26)</t>
  </si>
  <si>
    <t>Ordentliche Studierende an Universitäten nach Form der allgemeinen Universitätsreife</t>
  </si>
  <si>
    <t>BA-Stud.bes.Stud.erf.and.BE</t>
  </si>
  <si>
    <t>(Gesamt) - (Unbekannt, Fehlerhafte Angabe)</t>
  </si>
  <si>
    <t>Frauen-/Männeranteil in %</t>
  </si>
  <si>
    <t>Reifeprüfung nicht relevant</t>
  </si>
  <si>
    <t>Mathematisches Realgymnasium</t>
  </si>
  <si>
    <t>Slicer Button</t>
  </si>
  <si>
    <t>+2009</t>
  </si>
  <si>
    <t>&lt;-- default alternate row cell format</t>
  </si>
  <si>
    <t>&lt;--  written cell format</t>
  </si>
  <si>
    <t>Insgesamt (bereinigt)</t>
  </si>
  <si>
    <t>Schulform-Obergruppe</t>
  </si>
  <si>
    <t>künstler. Zulassungsprüfung</t>
  </si>
  <si>
    <t>inl. postsekund. Bildungseinr.</t>
  </si>
  <si>
    <t>Humanistisches Gymnasium</t>
  </si>
  <si>
    <t>Display Formats For:</t>
  </si>
  <si>
    <t>Enabled?</t>
  </si>
  <si>
    <t>&lt;-- Gesamtspalte</t>
  </si>
  <si>
    <t>Datenprüfung und -aufbereitung: bmfwf, Abt. I/10</t>
  </si>
  <si>
    <t>Schulform</t>
  </si>
  <si>
    <t>Bundesland</t>
  </si>
  <si>
    <t>Neusprachliches Gymnasium</t>
  </si>
  <si>
    <t>Gymnasium für Berufstätige</t>
  </si>
  <si>
    <t>Arbeitermittelschule</t>
  </si>
  <si>
    <t>Slicer Button Hover</t>
  </si>
  <si>
    <t>Label Format--&gt;</t>
  </si>
  <si>
    <t>&lt;--  written cell by another user cell format</t>
  </si>
  <si>
    <t>Summary Written Member</t>
  </si>
  <si>
    <t>Data Format</t>
  </si>
  <si>
    <t>1) Spaltenüberschrift mittels Menüpunkt Daten/Gruppieren/Gruppieren ausblenden</t>
  </si>
  <si>
    <t>[SU Studierende].[Geschlecht]</t>
  </si>
  <si>
    <t>Marital Status</t>
  </si>
  <si>
    <t>Default Writeable Member Format --&gt;</t>
  </si>
  <si>
    <t xml:space="preserve">Studierende </t>
  </si>
  <si>
    <t>Slice Format 2</t>
  </si>
  <si>
    <t>Reife/Koop.-Vertrag (Ausland)</t>
  </si>
  <si>
    <t>Quelle: Datenmeldungen der Universitäten auf Basis UHSBV zum jeweiligen Stichtag</t>
  </si>
  <si>
    <t>H.Lehranst. f.wirtsch. Berufe</t>
  </si>
  <si>
    <t>Europäisches Abitur (Inland)</t>
  </si>
  <si>
    <t>ausländische Reifeprüfung</t>
  </si>
  <si>
    <t>Aufbaugymnasium</t>
  </si>
  <si>
    <t>Writeable Member</t>
  </si>
  <si>
    <t>Realschule</t>
  </si>
  <si>
    <t>inl. FH-Bachelorstudiengang</t>
  </si>
  <si>
    <t>H.land- u.forstwirt. Lehranst.</t>
  </si>
  <si>
    <t>BA für Sozialpädagogik</t>
  </si>
  <si>
    <t>Slicer Button Selected</t>
  </si>
  <si>
    <t>&lt;--  summary written cell</t>
  </si>
  <si>
    <t>Formatierungsrichtlinien</t>
  </si>
  <si>
    <t>2) Wenn möglich die nicht hierarchische Darstellung eines Slicers wählen (Slicer Type)</t>
  </si>
  <si>
    <t>5) Formatierung von Zahlen prüfen (Ganzzahl oder Zahl mit einer Kommastelle)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</si>
</sst>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;;;"/>
  </numFmts>
  <fonts count="35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Tahoma"/>
      <family val="2"/>
    </font>
    <font>
      <b/>
      <sz val="8"/>
      <color indexed="23"/>
      <name val="Tahoma"/>
      <family val="2"/>
    </font>
    <font>
      <b/>
      <sz val="11"/>
      <color rgb="FF000000"/>
      <name val="Tahoma"/>
      <family val="2"/>
    </font>
    <font>
      <sz val="10"/>
      <color rgb="FF000000"/>
      <name val="Tahoma"/>
      <family val="2"/>
    </font>
    <font>
      <sz val="10"/>
      <color rgb="FF262626"/>
      <name val="Tahoma"/>
      <family val="2"/>
    </font>
    <font>
      <sz val="9"/>
      <name val="Tahoma"/>
      <family val="2"/>
    </font>
    <font>
      <sz val="11"/>
      <color rgb="FF000000"/>
      <name val="Tahoma"/>
      <family val="2"/>
    </font>
    <font>
      <sz val="10"/>
      <color theme="1" tint="0.34998626667073579"/>
      <name val="Tahoma"/>
      <family val="2"/>
    </font>
    <font>
      <sz val="10"/>
      <color theme="1" tint="0.0499893185216834"/>
      <name val="Tahoma"/>
      <family val="2"/>
    </font>
    <font>
      <sz val="10"/>
      <name val="Tahoma"/>
      <family val="2"/>
    </font>
    <font>
      <sz val="8"/>
      <name val="Tahoma"/>
      <family val="2"/>
    </font>
    <font>
      <sz val="10"/>
      <color rgb="FF595959"/>
      <name val="Tahoma"/>
    </font>
    <font>
      <sz val="10"/>
      <color theme="1" tint="0.14996795556505021"/>
      <name val="Tahoma"/>
      <family val="2"/>
    </font>
    <font>
      <b/>
      <sz val="11"/>
      <color theme="1"/>
      <name val="Calibri"/>
      <family val="2"/>
      <scheme val="minor"/>
    </font>
    <font>
      <b/>
      <sz val="8"/>
      <color rgb="FFFF0000"/>
      <name val="Tahoma"/>
      <family val="2"/>
    </font>
    <font>
      <sz val="10"/>
      <color rgb="FFFF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rgb="FF3F3F3F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D9D9D9"/>
        <bgColor rgb="FFFFFFFF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C0C0C0"/>
        <bgColor rgb="FFFFFFFF"/>
      </patternFill>
    </fill>
    <fill>
      <patternFill patternType="solid">
        <fgColor rgb="FFC6D9F1"/>
        <bgColor rgb="FFFFFFFF"/>
      </patternFill>
    </fill>
    <fill>
      <patternFill patternType="solid">
        <fgColor rgb="FFC0C0C0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DDDDDD"/>
        <bgColor rgb="FFFFFFFF"/>
      </patternFill>
    </fill>
    <fill>
      <patternFill patternType="solid">
        <fgColor rgb="FFD9D9D9"/>
        <bgColor indexed="64"/>
      </patternFill>
    </fill>
  </fills>
  <borders count="8">
    <border>
      <left/>
      <right/>
      <top/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 style="hair">
        <color rgb="FFC0C0C0"/>
      </left>
      <right/>
      <top style="hair">
        <color rgb="FFC0C0C0"/>
      </top>
      <bottom/>
      <diagonal/>
    </border>
    <border>
      <left/>
      <right style="hair">
        <color rgb="FFC0C0C0"/>
      </right>
      <top/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/>
      <diagonal/>
    </border>
    <border>
      <left style="thin">
        <color indexed="23"/>
      </left>
      <right/>
      <top/>
      <bottom/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rgb="FFC0C0C0"/>
      </left>
      <right/>
      <top style="hair">
        <color rgb="FFC0C0C0"/>
      </top>
      <bottom style="hair">
        <color rgb="FFC0C0C0"/>
      </bottom>
      <diagonal/>
    </border>
  </borders>
  <cellStyleXfs count="2">
    <xf numFmtId="0" fontId="0" fillId="0" borderId="0"/>
    <xf numFmtId="0" fontId="1" fillId="0" borderId="0"/>
  </cellStyleXfs>
  <cellXfs count="72">
    <xf numFmtId="0" fontId="0" fillId="0" borderId="0" xfId="0"/>
    <xf numFmtId="0" fontId="2" fillId="0" borderId="0" xfId="0" applyFont="1" applyFill="1" applyBorder="1"/>
    <xf numFmtId="3" fontId="3" fillId="0" borderId="0" xfId="0" applyNumberFormat="1" applyFont="1" applyFill="1" applyBorder="1"/>
    <xf numFmtId="0" fontId="4" fillId="0" borderId="0" xfId="0" applyFont="1"/>
    <xf numFmtId="0" fontId="5" fillId="0" borderId="0" xfId="0" applyFont="1"/>
    <xf numFmtId="0" fontId="0" fillId="0" borderId="0" xfId="0" applyFill="1" applyAlignment="1"/>
    <xf numFmtId="0" fontId="6" fillId="0" borderId="0" xfId="0" applyFont="1" applyFill="1" applyAlignment="1">
      <alignment vertical="top"/>
    </xf>
    <xf numFmtId="0" fontId="7" fillId="0" borderId="0" xfId="0" applyFont="1" applyFill="1" applyAlignment="1"/>
    <xf numFmtId="0" fontId="8" fillId="0" borderId="1" xfId="0" quotePrefix="1" applyFont="1" applyFill="1" applyBorder="1" applyAlignment="1" applyProtection="1">
      <alignment horizontal="center"/>
    </xf>
    <xf numFmtId="0" fontId="9" fillId="2" borderId="0" xfId="1" applyFont="1" applyFill="1" applyBorder="1" applyAlignment="1">
      <alignment horizontal="center"/>
    </xf>
    <xf numFmtId="0" fontId="10" fillId="0" borderId="0" xfId="0" applyFont="1" applyFill="1" applyAlignment="1">
      <alignment vertical="center"/>
    </xf>
    <xf numFmtId="0" fontId="8" fillId="0" borderId="1" xfId="0" applyFont="1" applyFill="1" applyBorder="1" applyAlignment="1" applyProtection="1">
      <alignment horizontal="right"/>
    </xf>
    <xf numFmtId="0" fontId="7" fillId="0" borderId="0" xfId="0" applyFont="1" applyFill="1" applyAlignment="1">
      <alignment vertical="top"/>
    </xf>
    <xf numFmtId="3" fontId="8" fillId="3" borderId="1" xfId="0" applyNumberFormat="1" applyFont="1" applyFill="1" applyBorder="1" applyAlignment="1" applyProtection="1">
      <alignment horizontal="right"/>
    </xf>
    <xf numFmtId="0" fontId="11" fillId="4" borderId="0" xfId="0" applyFont="1" applyFill="1" applyAlignment="1"/>
    <xf numFmtId="0" fontId="12" fillId="0" borderId="0" xfId="0" applyFont="1"/>
    <xf numFmtId="0" fontId="13" fillId="0" borderId="0" xfId="0" applyNumberFormat="1" applyFont="1" applyAlignment="1"/>
    <xf numFmtId="0" fontId="14" fillId="0" borderId="0" xfId="1" applyFont="1"/>
    <xf numFmtId="0" fontId="8" fillId="0" borderId="2" xfId="0" applyFont="1" applyBorder="1" applyAlignment="1" applyProtection="1">
      <alignment horizontal="right"/>
    </xf>
    <xf numFmtId="0" fontId="13" fillId="0" borderId="0" xfId="0" applyFont="1" applyAlignment="1">
      <alignment horizontal="center"/>
    </xf>
    <xf numFmtId="0" fontId="8" fillId="0" borderId="2" xfId="0" applyFont="1" applyBorder="1" applyAlignment="1" applyProtection="1">
      <alignment horizontal="center"/>
    </xf>
    <xf numFmtId="0" fontId="13" fillId="0" borderId="0" xfId="0" applyFont="1"/>
    <xf numFmtId="164" fontId="8" fillId="5" borderId="1" xfId="0" applyNumberFormat="1" applyFont="1" applyFill="1" applyBorder="1" applyAlignment="1" applyProtection="1">
      <alignment horizontal="right"/>
    </xf>
    <xf numFmtId="3" fontId="8" fillId="0" borderId="1" xfId="0" applyNumberFormat="1" applyFont="1" applyFill="1" applyBorder="1" applyAlignment="1" applyProtection="1">
      <alignment horizontal="right"/>
    </xf>
    <xf numFmtId="0" fontId="5" fillId="0" borderId="0" xfId="0" applyFont="1" applyAlignment="1">
      <alignment horizontal="right"/>
    </xf>
    <xf numFmtId="0" fontId="15" fillId="6" borderId="3" xfId="0" quotePrefix="1" applyFont="1" applyFill="1" applyBorder="1" applyAlignment="1" applyProtection="1"/>
    <xf numFmtId="0" fontId="16" fillId="0" borderId="0" xfId="0" applyFont="1"/>
    <xf numFmtId="164" fontId="8" fillId="3" borderId="1" xfId="0" applyNumberFormat="1" applyFont="1" applyFill="1" applyBorder="1" applyAlignment="1" applyProtection="1">
      <alignment horizontal="right"/>
    </xf>
    <xf numFmtId="0" fontId="14" fillId="4" borderId="0" xfId="1" applyFont="1" applyFill="1"/>
    <xf numFmtId="164" fontId="8" fillId="5" borderId="1" xfId="0" quotePrefix="1" applyNumberFormat="1" applyFont="1" applyFill="1" applyBorder="1" applyAlignment="1" applyProtection="1">
      <alignment horizontal="center"/>
    </xf>
    <xf numFmtId="0" fontId="8" fillId="0" borderId="1" xfId="0" applyFont="1" applyFill="1" applyBorder="1" applyAlignment="1" applyProtection="1">
      <alignment vertical="center"/>
    </xf>
    <xf numFmtId="0" fontId="0" fillId="0" borderId="0" xfId="0" applyFont="1" applyFill="1" applyAlignment="1"/>
    <xf numFmtId="164" fontId="8" fillId="7" borderId="2" xfId="0" applyNumberFormat="1" applyFont="1" applyFill="1" applyBorder="1" applyAlignment="1" applyProtection="1">
      <alignment horizontal="right"/>
    </xf>
    <xf numFmtId="0" fontId="8" fillId="8" borderId="4" xfId="0" applyFont="1" applyFill="1" applyBorder="1" applyAlignment="1" applyProtection="1">
      <alignment horizontal="right"/>
    </xf>
    <xf numFmtId="0" fontId="8" fillId="0" borderId="1" xfId="0" quotePrefix="1" applyFont="1" applyBorder="1" applyAlignment="1" applyProtection="1"/>
    <xf numFmtId="0" fontId="13" fillId="9" borderId="0" xfId="0" applyNumberFormat="1" applyFont="1" applyFill="1" applyAlignment="1"/>
    <xf numFmtId="3" fontId="13" fillId="10" borderId="0" xfId="0" applyNumberFormat="1" applyFont="1" applyFill="1" applyAlignment="1"/>
    <xf numFmtId="0" fontId="5" fillId="0" borderId="0" xfId="0" applyFont="1" applyAlignment="1">
      <alignment horizontal="center"/>
    </xf>
    <xf numFmtId="3" fontId="13" fillId="11" borderId="0" xfId="0" applyNumberFormat="1" applyFont="1" applyFill="1" applyAlignment="1"/>
    <xf numFmtId="164" fontId="8" fillId="7" borderId="2" xfId="0" applyNumberFormat="1" applyFont="1" applyFill="1" applyBorder="1" applyAlignment="1" applyProtection="1">
      <alignment horizontal="center"/>
    </xf>
    <xf numFmtId="0" fontId="7" fillId="0" borderId="0" xfId="0" quotePrefix="1" applyFont="1" applyFill="1" applyAlignment="1">
      <alignment vertical="center"/>
    </xf>
    <xf numFmtId="0" fontId="13" fillId="0" borderId="0" xfId="0" applyNumberFormat="1" applyFont="1" applyFill="1" applyBorder="1" applyAlignment="1"/>
    <xf numFmtId="0" fontId="17" fillId="0" borderId="0" xfId="0" applyFont="1"/>
    <xf numFmtId="0" fontId="18" fillId="0" borderId="0" xfId="0" applyFont="1"/>
    <xf numFmtId="0" fontId="13" fillId="0" borderId="0" xfId="0" quotePrefix="1" applyFont="1" applyFill="1"/>
    <xf numFmtId="0" fontId="9" fillId="2" borderId="5" xfId="1" applyFont="1" applyFill="1" applyBorder="1" applyAlignment="1">
      <alignment horizontal="center"/>
    </xf>
    <xf numFmtId="2" fontId="13" fillId="0" borderId="0" xfId="0" applyNumberFormat="1" applyFont="1"/>
    <xf numFmtId="0" fontId="16" fillId="0" borderId="6" xfId="0" quotePrefix="1" applyFont="1" applyFill="1" applyBorder="1" applyAlignment="1"/>
    <xf numFmtId="0" fontId="13" fillId="0" borderId="0" xfId="0" applyNumberFormat="1" applyFont="1"/>
    <xf numFmtId="0" fontId="19" fillId="0" borderId="0" xfId="0" applyFont="1"/>
    <xf numFmtId="0" fontId="17" fillId="0" borderId="0" xfId="0" applyFont="1" applyFill="1" applyAlignment="1"/>
    <xf numFmtId="0" fontId="8" fillId="8" borderId="2" xfId="0" applyFont="1" applyFill="1" applyBorder="1" applyAlignment="1" applyProtection="1">
      <alignment horizontal="right"/>
    </xf>
    <xf numFmtId="0" fontId="8" fillId="12" borderId="1" xfId="0" applyFont="1" applyFill="1" applyBorder="1" applyAlignment="1" applyProtection="1">
      <alignment horizontal="right"/>
    </xf>
    <xf numFmtId="3" fontId="4" fillId="0" borderId="0" xfId="0" applyNumberFormat="1" applyFont="1" applyFill="1" applyAlignment="1"/>
    <xf numFmtId="0" fontId="13" fillId="9" borderId="0" xfId="0" applyFont="1" applyFill="1"/>
    <xf numFmtId="0" fontId="13" fillId="0" borderId="0" xfId="0" applyFont="1" applyFill="1" applyBorder="1" applyAlignment="1">
      <alignment vertical="center"/>
    </xf>
    <xf numFmtId="0" fontId="16" fillId="0" borderId="6" xfId="0" quotePrefix="1" applyFont="1" applyFill="1" applyBorder="1" applyAlignment="1">
      <alignment horizontal="right"/>
    </xf>
    <xf numFmtId="0" fontId="8" fillId="13" borderId="4" xfId="0" applyFont="1" applyFill="1" applyBorder="1" applyAlignment="1" applyProtection="1">
      <alignment vertical="center"/>
    </xf>
    <xf numFmtId="0" fontId="8" fillId="13" borderId="2" xfId="0" applyFont="1" applyFill="1" applyBorder="1" applyAlignment="1" applyProtection="1">
      <alignment vertical="center"/>
    </xf>
    <xf numFmtId="0" fontId="8" fillId="0" borderId="7" xfId="0" applyFont="1" applyBorder="1" applyAlignment="1" applyProtection="1">
      <alignment horizontal="right"/>
    </xf>
    <xf numFmtId="0" fontId="13" fillId="0" borderId="0" xfId="0" quotePrefix="1" applyFont="1"/>
    <xf numFmtId="0" fontId="16" fillId="0" borderId="6" xfId="0" applyFont="1" applyFill="1" applyBorder="1" applyAlignment="1">
      <alignment vertical="center"/>
    </xf>
    <xf numFmtId="3" fontId="16" fillId="0" borderId="6" xfId="0" applyNumberFormat="1" applyFont="1" applyFill="1" applyBorder="1" applyAlignment="1"/>
    <xf numFmtId="0" fontId="8" fillId="3" borderId="1" xfId="0" applyFont="1" applyFill="1" applyBorder="1" applyAlignment="1" applyProtection="1">
      <alignment vertical="center"/>
    </xf>
    <xf numFmtId="3" fontId="13" fillId="9" borderId="0" xfId="0" applyNumberFormat="1" applyFont="1" applyFill="1" applyAlignment="1"/>
    <xf numFmtId="0" fontId="0" fillId="0" borderId="0" xfId="0" applyFont="1"/>
    <xf numFmtId="3" fontId="8" fillId="12" borderId="1" xfId="0" applyNumberFormat="1" applyFont="1" applyFill="1" applyBorder="1" applyAlignment="1" applyProtection="1">
      <alignment horizontal="right"/>
    </xf>
    <xf numFmtId="0" fontId="8" fillId="0" borderId="7" xfId="0" applyFont="1" applyBorder="1" applyAlignment="1" applyProtection="1">
      <alignment horizontal="center"/>
    </xf>
    <xf numFmtId="0" fontId="14" fillId="9" borderId="0" xfId="1" applyFont="1" applyFill="1"/>
    <xf numFmtId="3" fontId="13" fillId="0" borderId="0" xfId="0" applyNumberFormat="1" applyFont="1" applyAlignment="1"/>
    <xf numFmtId="165" fontId="13" fillId="0" borderId="0" xfId="0" applyNumberFormat="1" applyFont="1"/>
    <xf numFmtId="0" fontId="4" fillId="0" borderId="0" xfId="0" applyFont="1" applyFill="1" applyBorder="1" applyAlignment="1">
      <alignment vertical="center"/>
    </xf>
  </cellXfs>
  <cellStyles count="2">
    <cellStyle name="Normal" xfId="0" builtinId="0"/>
    <cellStyle name="Normal_Sheet1" xfId="1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3.png" /><Relationship Id="rId2" Type="http://schemas.openxmlformats.org/officeDocument/2006/relationships/image" Target="../media/image2.png" /><Relationship Id="rId3" Type="http://schemas.openxmlformats.org/officeDocument/2006/relationships/image" Target="../media/image1.pn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3697820</xdr:colOff>
      <xdr:row>6</xdr:row>
      <xdr:rowOff>0</xdr:rowOff>
    </xdr:from>
    <xdr:to>
      <xdr:col>5</xdr:col>
      <xdr:colOff>187454</xdr:colOff>
      <xdr:row>7</xdr:row>
      <xdr:rowOff>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97820" y="1139825"/>
          <a:ext cx="3603280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3697820</xdr:colOff>
      <xdr:row>6</xdr:row>
      <xdr:rowOff>189865</xdr:rowOff>
    </xdr:from>
    <xdr:to>
      <xdr:col>5</xdr:col>
      <xdr:colOff>187454</xdr:colOff>
      <xdr:row>8</xdr:row>
      <xdr:rowOff>0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97820" y="1329690"/>
          <a:ext cx="3603280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3697820</xdr:colOff>
      <xdr:row>8</xdr:row>
      <xdr:rowOff>0</xdr:rowOff>
    </xdr:from>
    <xdr:to>
      <xdr:col>5</xdr:col>
      <xdr:colOff>187454</xdr:colOff>
      <xdr:row>9</xdr:row>
      <xdr:rowOff>0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97820" y="1519555"/>
          <a:ext cx="3603280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3697820</xdr:colOff>
      <xdr:row>9</xdr:row>
      <xdr:rowOff>0</xdr:rowOff>
    </xdr:from>
    <xdr:to>
      <xdr:col>5</xdr:col>
      <xdr:colOff>187454</xdr:colOff>
      <xdr:row>9</xdr:row>
      <xdr:rowOff>189865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97820" y="1709420"/>
          <a:ext cx="3603280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3697820</xdr:colOff>
      <xdr:row>10</xdr:row>
      <xdr:rowOff>0</xdr:rowOff>
    </xdr:from>
    <xdr:to>
      <xdr:col>5</xdr:col>
      <xdr:colOff>187454</xdr:colOff>
      <xdr:row>11</xdr:row>
      <xdr:rowOff>0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97820" y="1899285"/>
          <a:ext cx="3603280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3697820</xdr:colOff>
      <xdr:row>11</xdr:row>
      <xdr:rowOff>0</xdr:rowOff>
    </xdr:from>
    <xdr:to>
      <xdr:col>5</xdr:col>
      <xdr:colOff>187454</xdr:colOff>
      <xdr:row>12</xdr:row>
      <xdr:rowOff>0</xdr:rowOff>
    </xdr:to>
    <xdr:pic>
      <xdr:nvPicPr>
        <xdr:cNvPr id="8" name="Picture 7"/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97820" y="2089150"/>
          <a:ext cx="3603280" cy="18986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absolute">
    <xdr:from>
      <xdr:col>9</xdr:col>
      <xdr:colOff>114300</xdr:colOff>
      <xdr:row>3</xdr:row>
      <xdr:rowOff>109220</xdr:rowOff>
    </xdr:from>
    <xdr:to>
      <xdr:col>10</xdr:col>
      <xdr:colOff>305497</xdr:colOff>
      <xdr:row>7</xdr:row>
      <xdr:rowOff>104140</xdr:rowOff>
    </xdr:to>
    <xdr:sp macro="" textlink="">
      <xdr:nvSpPr>
        <xdr:cNvPr id="2" name="Comment 1" hidden="1"/>
        <xdr:cNvSpPr txBox="1"/>
      </xdr:nvSpPr>
      <xdr:spPr>
        <a:xfrm>
          <a:off x="12905418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XLCubed:</a:t>
          </a:r>
        </a:p>
        <a:p>
          <a:pPr algn="l"/>
          <a:r>
            <a:rPr/>
            <a:t>Blank name gives the default format.</a:t>
          </a:r>
        </a:p>
        <a:p>
          <a:pPr algn="l"/>
          <a:r>
            <a:rPr/>
            <a:t>Specify slicer name for slicer specific formats</a:t>
          </a:r>
        </a:p>
      </xdr:txBody>
    </xdr:sp>
    <xdr:clientData/>
  </xdr:twoCellAnchor>
  <xdr:twoCellAnchor editAs="absolute">
    <xdr:from>
      <xdr:col>10</xdr:col>
      <xdr:colOff>114300</xdr:colOff>
      <xdr:row>3</xdr:row>
      <xdr:rowOff>109220</xdr:rowOff>
    </xdr:from>
    <xdr:to>
      <xdr:col>11</xdr:col>
      <xdr:colOff>305497</xdr:colOff>
      <xdr:row>7</xdr:row>
      <xdr:rowOff>104140</xdr:rowOff>
    </xdr:to>
    <xdr:sp macro="" textlink="">
      <xdr:nvSpPr>
        <xdr:cNvPr id="3" name="Comment 2" hidden="1"/>
        <xdr:cNvSpPr txBox="1"/>
      </xdr:nvSpPr>
      <xdr:spPr>
        <a:xfrm>
          <a:off x="13811500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slicer title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  <xdr:twoCellAnchor editAs="absolute">
    <xdr:from>
      <xdr:col>11</xdr:col>
      <xdr:colOff>114300</xdr:colOff>
      <xdr:row>3</xdr:row>
      <xdr:rowOff>109220</xdr:rowOff>
    </xdr:from>
    <xdr:to>
      <xdr:col>12</xdr:col>
      <xdr:colOff>305497</xdr:colOff>
      <xdr:row>7</xdr:row>
      <xdr:rowOff>104140</xdr:rowOff>
    </xdr:to>
    <xdr:sp macro="" textlink="">
      <xdr:nvSpPr>
        <xdr:cNvPr id="4" name="Comment 3" hidden="1"/>
        <xdr:cNvSpPr txBox="1"/>
      </xdr:nvSpPr>
      <xdr:spPr>
        <a:xfrm>
          <a:off x="14717583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Format for non-button slicer text</a:t>
          </a:r>
        </a:p>
        <a:p>
          <a:pPr algn="l"/>
          <a:endParaRPr/>
        </a:p>
      </xdr:txBody>
    </xdr:sp>
    <xdr:clientData/>
  </xdr:twoCellAnchor>
  <xdr:twoCellAnchor editAs="absolute">
    <xdr:from>
      <xdr:col>12</xdr:col>
      <xdr:colOff>114300</xdr:colOff>
      <xdr:row>3</xdr:row>
      <xdr:rowOff>109220</xdr:rowOff>
    </xdr:from>
    <xdr:to>
      <xdr:col>13</xdr:col>
      <xdr:colOff>44867</xdr:colOff>
      <xdr:row>7</xdr:row>
      <xdr:rowOff>104140</xdr:rowOff>
    </xdr:to>
    <xdr:sp macro="" textlink="">
      <xdr:nvSpPr>
        <xdr:cNvPr id="5" name="Comment 4" hidden="1"/>
        <xdr:cNvSpPr txBox="1"/>
      </xdr:nvSpPr>
      <xdr:spPr>
        <a:xfrm>
          <a:off x="15623665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Default format for slicer buttons</a:t>
          </a:r>
        </a:p>
      </xdr:txBody>
    </xdr:sp>
    <xdr:clientData/>
  </xdr:twoCellAnchor>
  <xdr:twoCellAnchor editAs="absolute">
    <xdr:from>
      <xdr:col>13</xdr:col>
      <xdr:colOff>114300</xdr:colOff>
      <xdr:row>3</xdr:row>
      <xdr:rowOff>109220</xdr:rowOff>
    </xdr:from>
    <xdr:to>
      <xdr:col>14</xdr:col>
      <xdr:colOff>169913</xdr:colOff>
      <xdr:row>7</xdr:row>
      <xdr:rowOff>104140</xdr:rowOff>
    </xdr:to>
    <xdr:sp macro="" textlink="">
      <xdr:nvSpPr>
        <xdr:cNvPr id="6" name="Comment 5" hidden="1"/>
        <xdr:cNvSpPr txBox="1"/>
      </xdr:nvSpPr>
      <xdr:spPr>
        <a:xfrm>
          <a:off x="16790379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selected button</a:t>
          </a:r>
        </a:p>
      </xdr:txBody>
    </xdr:sp>
    <xdr:clientData/>
  </xdr:twoCellAnchor>
  <xdr:twoCellAnchor editAs="absolute">
    <xdr:from>
      <xdr:col>14</xdr:col>
      <xdr:colOff>114300</xdr:colOff>
      <xdr:row>3</xdr:row>
      <xdr:rowOff>109220</xdr:rowOff>
    </xdr:from>
    <xdr:to>
      <xdr:col>14</xdr:col>
      <xdr:colOff>1211580</xdr:colOff>
      <xdr:row>7</xdr:row>
      <xdr:rowOff>104140</xdr:rowOff>
    </xdr:to>
    <xdr:sp macro="" textlink="">
      <xdr:nvSpPr>
        <xdr:cNvPr id="7" name="Comment 6" hidden="1"/>
        <xdr:cNvSpPr txBox="1"/>
      </xdr:nvSpPr>
      <xdr:spPr>
        <a:xfrm>
          <a:off x="17832046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button when hovered over</a:t>
          </a:r>
        </a:p>
        <a:p>
          <a:pPr algn="l"/>
          <a:endParaRPr/>
        </a:p>
      </xdr:txBody>
    </xdr:sp>
    <xdr:clientData/>
  </xdr:twoCellAnchor>
  <xdr:twoCellAnchor editAs="absolute">
    <xdr:from>
      <xdr:col>15</xdr:col>
      <xdr:colOff>114300</xdr:colOff>
      <xdr:row>3</xdr:row>
      <xdr:rowOff>109220</xdr:rowOff>
    </xdr:from>
    <xdr:to>
      <xdr:col>16</xdr:col>
      <xdr:colOff>545050</xdr:colOff>
      <xdr:row>7</xdr:row>
      <xdr:rowOff>104140</xdr:rowOff>
    </xdr:to>
    <xdr:sp macro="" textlink="">
      <xdr:nvSpPr>
        <xdr:cNvPr id="8" name="Comment 7" hidden="1"/>
        <xdr:cNvSpPr txBox="1"/>
      </xdr:nvSpPr>
      <xdr:spPr>
        <a:xfrm>
          <a:off x="19165392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Background between the slicer buttons.</a:t>
          </a:r>
        </a:p>
      </xdr:txBody>
    </xdr:sp>
    <xdr:clientData/>
  </xdr:twoCellAnchor>
  <xdr:twoCellAnchor editAs="absolute">
    <xdr:from>
      <xdr:col>4</xdr:col>
      <xdr:colOff>114300</xdr:colOff>
      <xdr:row>22</xdr:row>
      <xdr:rowOff>109220</xdr:rowOff>
    </xdr:from>
    <xdr:to>
      <xdr:col>4</xdr:col>
      <xdr:colOff>1211580</xdr:colOff>
      <xdr:row>26</xdr:row>
      <xdr:rowOff>104140</xdr:rowOff>
    </xdr:to>
    <xdr:sp macro="" textlink="">
      <xdr:nvSpPr>
        <xdr:cNvPr id="9" name="Comment 8" hidden="1"/>
        <xdr:cNvSpPr txBox="1"/>
      </xdr:nvSpPr>
      <xdr:spPr>
        <a:xfrm>
          <a:off x="7322513" y="356362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Can use wildcard character - '*'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637"/>
  <sheetViews>
    <sheetView tabSelected="1" workbookViewId="0"/>
  </sheetViews>
  <sheetFormatPr defaultColWidth="11.42578125" defaultRowHeight="14.95"/>
  <cols>
    <col min="1" max="1" width="50.7109375" style="65" customWidth="1"/>
    <col min="2" max="7" width="11.7109375" customWidth="1"/>
    <col min="8" max="8" width="8.28515625" customWidth="1"/>
    <col min="9" max="9" width="7.140625" customWidth="1"/>
    <col min="10" max="10" width="7.85546875" customWidth="1"/>
    <col min="11" max="11" width="11.28515625" customWidth="1"/>
    <col min="12" max="12" width="9.85546875" customWidth="1"/>
    <col min="13" max="13" width="7.28515625" customWidth="1"/>
    <col min="14" max="14" width="11.28515625" customWidth="1"/>
    <col min="15" max="15" width="9.85546875" customWidth="1"/>
    <col min="16" max="16" width="7.28515625" customWidth="1"/>
    <col min="17" max="17" width="11.28515625" customWidth="1"/>
    <col min="18" max="18" width="7.28515625" customWidth="1"/>
    <col min="19" max="19" width="11.28515625" customWidth="1"/>
    <col min="20" max="20" width="9.85546875" customWidth="1"/>
    <col min="21" max="21" width="7.28515625" customWidth="1"/>
    <col min="22" max="22" width="11.28515625" customWidth="1"/>
    <col min="23" max="23" width="9.85546875" customWidth="1"/>
    <col min="24" max="24" width="7.28515625" customWidth="1"/>
    <col min="25" max="25" width="11.28515625" customWidth="1"/>
    <col min="26" max="26" width="17.140625" customWidth="1"/>
    <col min="27" max="27" width="6.7109375" customWidth="1"/>
    <col min="28" max="28" width="7.140625" customWidth="1"/>
    <col min="29" max="29" width="17.140625" customWidth="1"/>
    <col min="30" max="30" width="6.7109375" customWidth="1"/>
    <col min="31" max="31" width="7.140625" customWidth="1"/>
    <col min="32" max="32" width="17.140625" customWidth="1"/>
    <col min="33" max="33" width="6.7109375" customWidth="1"/>
    <col min="34" max="34" width="7.140625" customWidth="1"/>
  </cols>
  <sheetData>
    <row>
      <c s="10" t="s">
        <v>73</v>
      </c>
      <c s="10"/>
      <c s="10"/>
      <c s="10"/>
      <c s="10"/>
      <c s="5"/>
    </row>
    <row s="42" customFormat="1">
      <c s="6" t="s">
        <v>80</v>
      </c>
      <c s="6"/>
      <c s="6"/>
      <c s="6"/>
      <c s="6"/>
      <c s="50"/>
    </row>
    <row s="42" customFormat="1">
      <c s="40" t="s">
        <v>18</v>
      </c>
      <c s="6"/>
      <c s="6"/>
      <c s="6"/>
      <c s="6"/>
      <c s="50"/>
    </row>
    <row>
      <c s="40" t="s">
        <v>116</v>
      </c>
      <c s="7"/>
      <c s="7"/>
      <c s="7"/>
      <c s="7"/>
      <c s="7"/>
    </row>
    <row>
      <c s="40" t="s">
        <v>98</v>
      </c>
      <c s="12"/>
      <c s="12"/>
      <c s="12"/>
      <c s="12"/>
      <c s="5"/>
    </row>
    <row ht="15" customHeight="1">
      <c s="31"/>
      <c s="5"/>
      <c s="5"/>
      <c s="5"/>
      <c s="5"/>
      <c s="5"/>
    </row>
    <row>
      <c s="25" t="s">
        <v>1</v>
      </c>
      <c s="34" t="s">
        <v>17</v>
      </c>
      <c s="5"/>
      <c s="5"/>
      <c s="5"/>
      <c s="5" t="s">
        <v>31</v>
      </c>
    </row>
    <row>
      <c s="25" t="s">
        <v>0</v>
      </c>
      <c s="34" t="s">
        <v>90</v>
      </c>
      <c s="5"/>
      <c s="5"/>
      <c s="5"/>
      <c s="5" t="s">
        <v>31</v>
      </c>
    </row>
    <row>
      <c s="25" t="s">
        <v>91</v>
      </c>
      <c s="34" t="s">
        <v>25</v>
      </c>
      <c s="5"/>
      <c s="5"/>
      <c s="5"/>
      <c s="5" t="s">
        <v>31</v>
      </c>
    </row>
    <row>
      <c s="25" t="s">
        <v>60</v>
      </c>
      <c s="34" t="s">
        <v>82</v>
      </c>
      <c s="5"/>
      <c s="5"/>
      <c s="5"/>
      <c s="5" t="s">
        <v>31</v>
      </c>
    </row>
    <row>
      <c s="25" t="s">
        <v>9</v>
      </c>
      <c s="34" t="s">
        <v>25</v>
      </c>
      <c s="5"/>
      <c s="5"/>
      <c s="5"/>
      <c s="5" t="s">
        <v>31</v>
      </c>
    </row>
    <row>
      <c s="25" t="s">
        <v>100</v>
      </c>
      <c s="34" t="s">
        <v>25</v>
      </c>
      <c s="5"/>
      <c s="5"/>
      <c s="5"/>
      <c s="5" t="s">
        <v>31</v>
      </c>
    </row>
    <row>
      <c/>
      <c r="F13" s="5" t="s">
        <v>31</v>
      </c>
    </row>
    <row>
      <c/>
    </row>
    <row>
      <c/>
      <c s="8" t="s">
        <v>22</v>
      </c>
      <c s="8"/>
      <c s="8"/>
      <c s="8"/>
      <c s="8"/>
    </row>
    <row ht="15" customHeight="1">
      <c/>
      <c s="8" t="s">
        <v>10</v>
      </c>
      <c s="8"/>
      <c s="8"/>
      <c s="29" t="s">
        <v>83</v>
      </c>
      <c s="29"/>
    </row>
    <row>
      <c s="25" t="s">
        <v>99</v>
      </c>
      <c s="11" t="s">
        <v>8</v>
      </c>
      <c s="11" t="s">
        <v>45</v>
      </c>
      <c s="52" t="s">
        <v>25</v>
      </c>
      <c s="11" t="s">
        <v>8</v>
      </c>
      <c s="11" t="s">
        <v>45</v>
      </c>
    </row>
    <row ht="15" customHeight="1">
      <c s="30" t="s">
        <v>51</v>
      </c>
      <c s="23">
        <v>427</v>
      </c>
      <c s="23">
        <v>265</v>
      </c>
      <c s="66">
        <v>692</v>
      </c>
      <c s="22">
        <v>0.61705202312138729</v>
      </c>
      <c s="22">
        <v>0.38294797687861271</v>
      </c>
    </row>
    <row>
      <c s="30" t="s">
        <v>66</v>
      </c>
      <c s="23">
        <v>6</v>
      </c>
      <c s="23">
        <v>7</v>
      </c>
      <c s="66">
        <v>13</v>
      </c>
      <c s="22">
        <v>0.46153846153846156</v>
      </c>
      <c s="22">
        <v>0.53846153846153844</v>
      </c>
    </row>
    <row>
      <c s="30" t="s">
        <v>103</v>
      </c>
      <c s="23">
        <v>3</v>
      </c>
      <c s="23">
        <v>3</v>
      </c>
      <c s="66">
        <v>6</v>
      </c>
      <c s="22">
        <v>0.5</v>
      </c>
      <c s="22">
        <v>0.5</v>
      </c>
    </row>
    <row>
      <c s="30" t="s">
        <v>120</v>
      </c>
      <c s="23">
        <v>128</v>
      </c>
      <c s="23">
        <v>58</v>
      </c>
      <c s="66">
        <v>186</v>
      </c>
      <c s="22">
        <v>0.68817204301075274</v>
      </c>
      <c s="22">
        <v>0.31182795698924731</v>
      </c>
    </row>
    <row>
      <c s="30" t="s">
        <v>50</v>
      </c>
      <c s="23">
        <v>13</v>
      </c>
      <c s="23">
        <v>9</v>
      </c>
      <c s="66">
        <v>22</v>
      </c>
      <c s="22">
        <v>0.59090909090909094</v>
      </c>
      <c s="22">
        <v>0.40909090909090912</v>
      </c>
    </row>
    <row>
      <c s="30" t="s">
        <v>21</v>
      </c>
      <c s="23">
        <v>211</v>
      </c>
      <c s="23">
        <v>203</v>
      </c>
      <c s="66">
        <v>414</v>
      </c>
      <c s="22">
        <v>0.50966183574879231</v>
      </c>
      <c s="22">
        <v>0.49033816425120774</v>
      </c>
    </row>
    <row>
      <c s="30" t="s">
        <v>49</v>
      </c>
      <c s="23">
        <v>38</v>
      </c>
      <c s="23">
        <v>49</v>
      </c>
      <c s="66">
        <v>87</v>
      </c>
      <c s="22">
        <v>0.43678160919540232</v>
      </c>
      <c s="22">
        <v>0.56321839080459768</v>
      </c>
    </row>
    <row>
      <c s="30" t="s">
        <v>28</v>
      </c>
      <c s="23">
        <v>12828</v>
      </c>
      <c s="23">
        <v>12657</v>
      </c>
      <c s="66">
        <v>25485</v>
      </c>
      <c s="22">
        <v>0.50335491465567983</v>
      </c>
      <c s="22">
        <v>0.49664508534432017</v>
      </c>
    </row>
    <row>
      <c s="30" t="s">
        <v>119</v>
      </c>
      <c s="23">
        <v>25454</v>
      </c>
      <c s="23">
        <v>20672</v>
      </c>
      <c s="66">
        <v>46126</v>
      </c>
      <c s="22">
        <v>0.55183627455231321</v>
      </c>
      <c s="22">
        <v>0.44816372544768679</v>
      </c>
    </row>
    <row>
      <c s="30" t="s">
        <v>75</v>
      </c>
      <c s="23">
        <v>2070</v>
      </c>
      <c s="23">
        <v>161</v>
      </c>
      <c s="66">
        <v>2231</v>
      </c>
      <c s="22">
        <v>0.92783505154639179</v>
      </c>
      <c s="22">
        <v>0.072164948453608241</v>
      </c>
    </row>
    <row>
      <c s="30" t="s">
        <v>125</v>
      </c>
      <c s="23">
        <v>109</v>
      </c>
      <c s="23">
        <v>13</v>
      </c>
      <c s="66">
        <v>122</v>
      </c>
      <c s="22">
        <v>0.89344262295081966</v>
      </c>
      <c s="22">
        <v>0.10655737704918032</v>
      </c>
    </row>
    <row>
      <c s="30" t="s">
        <v>48</v>
      </c>
      <c s="23">
        <v>216</v>
      </c>
      <c s="23">
        <v>146</v>
      </c>
      <c s="66">
        <v>362</v>
      </c>
      <c s="22">
        <v>0.59668508287292821</v>
      </c>
      <c s="22">
        <v>0.40331491712707185</v>
      </c>
    </row>
    <row>
      <c s="30" t="s">
        <v>56</v>
      </c>
      <c s="23">
        <v>587</v>
      </c>
      <c s="23">
        <v>564</v>
      </c>
      <c s="66">
        <v>1151</v>
      </c>
      <c s="22">
        <v>0.50999131190269331</v>
      </c>
      <c s="22">
        <v>0.49000868809730669</v>
      </c>
    </row>
    <row>
      <c s="30" t="s">
        <v>81</v>
      </c>
      <c s="23"/>
      <c s="23">
        <v>1</v>
      </c>
      <c s="66">
        <v>1</v>
      </c>
      <c s="22"/>
      <c s="22">
        <v>1</v>
      </c>
    </row>
    <row>
      <c s="30" t="s">
        <v>44</v>
      </c>
      <c s="23">
        <v>2740</v>
      </c>
      <c s="23">
        <v>3523</v>
      </c>
      <c s="66">
        <v>6263</v>
      </c>
      <c s="22">
        <v>0.4374900207568258</v>
      </c>
      <c s="22">
        <v>0.56250997924317425</v>
      </c>
    </row>
    <row>
      <c s="30" t="s">
        <v>55</v>
      </c>
      <c s="23">
        <v>100</v>
      </c>
      <c s="23">
        <v>109</v>
      </c>
      <c s="66">
        <v>209</v>
      </c>
      <c s="22">
        <v>0.4784688995215311</v>
      </c>
      <c s="22">
        <v>0.52153110047846885</v>
      </c>
    </row>
    <row>
      <c s="30" t="s">
        <v>118</v>
      </c>
      <c s="23">
        <v>9</v>
      </c>
      <c s="23">
        <v>7</v>
      </c>
      <c s="66">
        <v>16</v>
      </c>
      <c s="22">
        <v>0.5625</v>
      </c>
      <c s="22">
        <v>0.4375</v>
      </c>
    </row>
    <row>
      <c s="30" t="s">
        <v>43</v>
      </c>
      <c s="23">
        <v>476</v>
      </c>
      <c s="23">
        <v>527</v>
      </c>
      <c s="66">
        <v>1003</v>
      </c>
      <c s="22">
        <v>0.47457627118644069</v>
      </c>
      <c s="22">
        <v>0.52542372881355937</v>
      </c>
    </row>
    <row>
      <c s="30" t="s">
        <v>20</v>
      </c>
      <c s="23">
        <v>5</v>
      </c>
      <c s="23"/>
      <c s="66">
        <v>5</v>
      </c>
      <c s="22">
        <v>1</v>
      </c>
      <c s="22"/>
    </row>
    <row>
      <c s="30" t="s">
        <v>54</v>
      </c>
      <c s="23">
        <v>2216</v>
      </c>
      <c s="23">
        <v>1865</v>
      </c>
      <c s="66">
        <v>4081</v>
      </c>
      <c s="22">
        <v>0.54300416564567511</v>
      </c>
      <c s="22">
        <v>0.45699583435432495</v>
      </c>
    </row>
    <row>
      <c s="30" t="s">
        <v>42</v>
      </c>
      <c s="23">
        <v>26679</v>
      </c>
      <c s="23">
        <v>15352</v>
      </c>
      <c s="66">
        <v>42031</v>
      </c>
      <c s="22">
        <v>0.63474578287454497</v>
      </c>
      <c s="22">
        <v>0.36525421712545503</v>
      </c>
    </row>
    <row>
      <c s="30" t="s">
        <v>102</v>
      </c>
      <c s="23">
        <v>736</v>
      </c>
      <c s="23">
        <v>539</v>
      </c>
      <c s="66">
        <v>1275</v>
      </c>
      <c s="22">
        <v>0.57725490196078433</v>
      </c>
      <c s="22">
        <v>0.42274509803921567</v>
      </c>
    </row>
    <row>
      <c s="30" t="s">
        <v>124</v>
      </c>
      <c s="23">
        <v>753</v>
      </c>
      <c s="23">
        <v>761</v>
      </c>
      <c s="66">
        <v>1514</v>
      </c>
      <c s="22">
        <v>0.49735799207397624</v>
      </c>
      <c s="22">
        <v>0.50264200792602376</v>
      </c>
    </row>
    <row>
      <c s="30" t="s">
        <v>117</v>
      </c>
      <c s="23">
        <v>10880</v>
      </c>
      <c s="23">
        <v>2128</v>
      </c>
      <c s="66">
        <v>13008</v>
      </c>
      <c s="22">
        <v>0.83640836408364083</v>
      </c>
      <c s="22">
        <v>0.16359163591635917</v>
      </c>
    </row>
    <row>
      <c s="30" t="s">
        <v>53</v>
      </c>
      <c s="23">
        <v>5172</v>
      </c>
      <c s="23">
        <v>18314</v>
      </c>
      <c s="66">
        <v>23486</v>
      </c>
      <c s="22">
        <v>0.22021629907178744</v>
      </c>
      <c s="22">
        <v>0.77978370092821259</v>
      </c>
    </row>
    <row>
      <c s="30" t="s">
        <v>33</v>
      </c>
      <c s="23">
        <v>9434</v>
      </c>
      <c s="23">
        <v>6547</v>
      </c>
      <c s="66">
        <v>15981</v>
      </c>
      <c s="22">
        <v>0.5903260121394156</v>
      </c>
      <c s="22">
        <v>0.40967398786058445</v>
      </c>
    </row>
    <row>
      <c s="30" t="s">
        <v>94</v>
      </c>
      <c s="23">
        <v>693</v>
      </c>
      <c s="23">
        <v>691</v>
      </c>
      <c s="66">
        <v>1384</v>
      </c>
      <c s="22">
        <v>0.50072254335260113</v>
      </c>
      <c s="22">
        <v>0.49927745664739887</v>
      </c>
    </row>
    <row>
      <c s="30" t="s">
        <v>12</v>
      </c>
      <c s="23">
        <v>408</v>
      </c>
      <c s="23">
        <v>307</v>
      </c>
      <c s="66">
        <v>715</v>
      </c>
      <c s="22">
        <v>0.57062937062937058</v>
      </c>
      <c s="22">
        <v>0.42937062937062936</v>
      </c>
    </row>
    <row>
      <c s="30" t="s">
        <v>74</v>
      </c>
      <c s="23">
        <v>201</v>
      </c>
      <c s="23">
        <v>148</v>
      </c>
      <c s="66">
        <v>349</v>
      </c>
      <c s="22">
        <v>0.5759312320916905</v>
      </c>
      <c s="22">
        <v>0.42406876790830944</v>
      </c>
    </row>
    <row>
      <c s="30" t="s">
        <v>11</v>
      </c>
      <c s="23">
        <v>50</v>
      </c>
      <c s="23">
        <v>26</v>
      </c>
      <c s="66">
        <v>76</v>
      </c>
      <c s="22">
        <v>0.65789473684210531</v>
      </c>
      <c s="22">
        <v>0.34210526315789475</v>
      </c>
    </row>
    <row>
      <c s="30" t="s">
        <v>123</v>
      </c>
      <c s="23">
        <v>855</v>
      </c>
      <c s="23">
        <v>753</v>
      </c>
      <c s="66">
        <v>1608</v>
      </c>
      <c s="22">
        <v>0.53171641791044777</v>
      </c>
      <c s="22">
        <v>0.46828358208955223</v>
      </c>
    </row>
    <row>
      <c s="30" t="s">
        <v>41</v>
      </c>
      <c s="23">
        <v>143</v>
      </c>
      <c s="23">
        <v>271</v>
      </c>
      <c s="66">
        <v>414</v>
      </c>
      <c s="22">
        <v>0.34541062801932365</v>
      </c>
      <c s="22">
        <v>0.65458937198067635</v>
      </c>
    </row>
    <row>
      <c s="30" t="s">
        <v>65</v>
      </c>
      <c s="23">
        <v>124</v>
      </c>
      <c s="23">
        <v>18</v>
      </c>
      <c s="66">
        <v>142</v>
      </c>
      <c s="22">
        <v>0.87323943661971826</v>
      </c>
      <c s="22">
        <v>0.12676056338028169</v>
      </c>
    </row>
    <row>
      <c s="30" t="s">
        <v>93</v>
      </c>
      <c s="23">
        <v>196</v>
      </c>
      <c s="23">
        <v>189</v>
      </c>
      <c s="66">
        <v>385</v>
      </c>
      <c s="22">
        <v>0.50909090909090904</v>
      </c>
      <c s="22">
        <v>0.49090909090909091</v>
      </c>
    </row>
    <row>
      <c s="30" t="s">
        <v>27</v>
      </c>
      <c s="23">
        <v>89</v>
      </c>
      <c s="23">
        <v>101</v>
      </c>
      <c s="66">
        <v>190</v>
      </c>
      <c s="22">
        <v>0.46842105263157896</v>
      </c>
      <c s="22">
        <v>0.53157894736842104</v>
      </c>
    </row>
    <row>
      <c s="30" t="s">
        <v>92</v>
      </c>
      <c s="23">
        <v>1506</v>
      </c>
      <c s="23">
        <v>1272</v>
      </c>
      <c s="66">
        <v>2778</v>
      </c>
      <c s="22">
        <v>0.54211663066954641</v>
      </c>
      <c s="22">
        <v>0.45788336933045354</v>
      </c>
    </row>
    <row>
      <c s="30" t="s">
        <v>64</v>
      </c>
      <c s="23">
        <v>22</v>
      </c>
      <c s="23">
        <v>10</v>
      </c>
      <c s="66">
        <v>32</v>
      </c>
      <c s="22">
        <v>0.6875</v>
      </c>
      <c s="22">
        <v>0.3125</v>
      </c>
    </row>
    <row>
      <c s="30" t="s">
        <v>47</v>
      </c>
      <c s="23">
        <v>110</v>
      </c>
      <c s="23">
        <v>114</v>
      </c>
      <c s="66">
        <v>224</v>
      </c>
      <c s="22">
        <v>0.49107142857142855</v>
      </c>
      <c s="22">
        <v>0.5089285714285714</v>
      </c>
    </row>
    <row>
      <c s="30" t="s">
        <v>63</v>
      </c>
      <c s="23">
        <v>225</v>
      </c>
      <c s="23">
        <v>193</v>
      </c>
      <c s="66">
        <v>418</v>
      </c>
      <c s="22">
        <v>0.53827751196172247</v>
      </c>
      <c s="22">
        <v>0.46172248803827753</v>
      </c>
    </row>
    <row>
      <c s="30" t="s">
        <v>85</v>
      </c>
      <c s="23">
        <v>98</v>
      </c>
      <c s="23">
        <v>160</v>
      </c>
      <c s="66">
        <v>258</v>
      </c>
      <c s="22">
        <v>0.37984496124031009</v>
      </c>
      <c s="22">
        <v>0.62015503875968991</v>
      </c>
    </row>
    <row>
      <c s="30" t="s">
        <v>40</v>
      </c>
      <c s="23">
        <v>2061</v>
      </c>
      <c s="23">
        <v>2628</v>
      </c>
      <c s="66">
        <v>4689</v>
      </c>
      <c s="22">
        <v>0.43953934740882916</v>
      </c>
      <c s="22">
        <v>0.56046065259117084</v>
      </c>
    </row>
    <row>
      <c s="30" t="s">
        <v>101</v>
      </c>
      <c s="23">
        <v>1406</v>
      </c>
      <c s="23">
        <v>840</v>
      </c>
      <c s="66">
        <v>2246</v>
      </c>
      <c s="22">
        <v>0.62600178094390024</v>
      </c>
      <c s="22">
        <v>0.37399821905609976</v>
      </c>
    </row>
    <row>
      <c s="30" t="s">
        <v>26</v>
      </c>
      <c s="23">
        <v>13523</v>
      </c>
      <c s="23">
        <v>8473</v>
      </c>
      <c s="66">
        <v>21996</v>
      </c>
      <c s="22">
        <v>0.61479359883615203</v>
      </c>
      <c s="22">
        <v>0.38520640116384797</v>
      </c>
    </row>
    <row>
      <c s="30" t="s">
        <v>62</v>
      </c>
      <c s="23">
        <v>13296</v>
      </c>
      <c s="23">
        <v>16103</v>
      </c>
      <c s="66">
        <v>29399</v>
      </c>
      <c s="22">
        <v>0.45226028096193749</v>
      </c>
      <c s="22">
        <v>0.54773971903806251</v>
      </c>
    </row>
    <row>
      <c s="30" t="s">
        <v>61</v>
      </c>
      <c s="23">
        <v>99</v>
      </c>
      <c s="23">
        <v>281</v>
      </c>
      <c s="66">
        <v>380</v>
      </c>
      <c s="22">
        <v>0.26052631578947366</v>
      </c>
      <c s="22">
        <v>0.73947368421052628</v>
      </c>
    </row>
    <row>
      <c s="30" t="s">
        <v>122</v>
      </c>
      <c s="23">
        <v>11</v>
      </c>
      <c s="23">
        <v>23</v>
      </c>
      <c s="66">
        <v>34</v>
      </c>
      <c s="22">
        <v>0.3235294117647059</v>
      </c>
      <c s="22">
        <v>0.67647058823529416</v>
      </c>
    </row>
    <row>
      <c s="30" t="s">
        <v>115</v>
      </c>
      <c s="23">
        <v>3077</v>
      </c>
      <c s="23">
        <v>1749</v>
      </c>
      <c s="66">
        <v>4826</v>
      </c>
      <c s="22">
        <v>0.63758806464981355</v>
      </c>
      <c s="22">
        <v>0.36241193535018651</v>
      </c>
    </row>
    <row>
      <c s="30" t="s">
        <v>2</v>
      </c>
      <c s="23">
        <v>8</v>
      </c>
      <c s="23">
        <v>3</v>
      </c>
      <c s="66">
        <v>11</v>
      </c>
      <c s="22">
        <v>0.72727272727272729</v>
      </c>
      <c s="22">
        <v>0.27272727272727271</v>
      </c>
    </row>
    <row>
      <c s="30" t="s">
        <v>84</v>
      </c>
      <c s="23">
        <v>1</v>
      </c>
      <c s="23"/>
      <c s="66">
        <v>1</v>
      </c>
      <c s="22">
        <v>1</v>
      </c>
      <c s="22"/>
    </row>
    <row>
      <c s="30" t="s">
        <v>19</v>
      </c>
      <c s="23">
        <v>15</v>
      </c>
      <c s="23">
        <v>11</v>
      </c>
      <c s="66">
        <v>26</v>
      </c>
      <c s="22">
        <v>0.57692307692307687</v>
      </c>
      <c s="22">
        <v>0.42307692307692307</v>
      </c>
    </row>
    <row>
      <c s="30" t="s">
        <v>52</v>
      </c>
      <c s="23">
        <v>946</v>
      </c>
      <c s="23">
        <v>1210</v>
      </c>
      <c s="66">
        <v>2156</v>
      </c>
      <c s="22">
        <v>0.43877551020408162</v>
      </c>
      <c s="22">
        <v>0.56122448979591832</v>
      </c>
    </row>
    <row>
      <c s="30" t="s">
        <v>32</v>
      </c>
      <c s="23">
        <v>2835</v>
      </c>
      <c s="23">
        <v>1585</v>
      </c>
      <c s="66">
        <v>4420</v>
      </c>
      <c s="22">
        <v>0.64140271493212675</v>
      </c>
      <c s="22">
        <v>0.35859728506787331</v>
      </c>
    </row>
    <row>
      <c s="63" t="s">
        <v>25</v>
      </c>
      <c s="13">
        <v>143288</v>
      </c>
      <c s="13">
        <v>121639</v>
      </c>
      <c s="13">
        <v>264927</v>
      </c>
      <c s="27">
        <v>0.5408584251510794</v>
      </c>
      <c s="27">
        <v>0.45914157484892065</v>
      </c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71"/>
      <c s="2"/>
      <c s="2"/>
      <c s="2"/>
      <c s="2"/>
      <c s="2"/>
      <c s="2"/>
      <c s="2"/>
      <c s="2"/>
      <c s="2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</sheetData>
  <mergeCells count="3">
    <mergeCell ref="B15:F15"/>
    <mergeCell ref="B16:D16"/>
    <mergeCell ref="E16:F16"/>
  </mergeCells>
  <pageMargins left="0.70866141732283472" right="0.70866141732283472" top="0.78740157480314965" bottom="0.78740157480314965" header="0.31496062992125984" footer="0.31496062992125984"/>
  <pageSetup paperSize="9" scale="95" fitToHeight="0" orientation="landscape"/>
  <headerFooter>
    <oddHeader>&amp;L&amp;"Tahoma,Standard"&amp;10unidata.gv.at&amp;R&amp;"Tahoma,Standard"&amp;10&amp;D</oddHeader>
    <oddFooter>&amp;R&amp;"Tahoma,Standard"&amp;10&amp;P/&amp;N</oddFooter>
  </headerFooter>
  <rowBreaks count="2" manualBreakCount="2">
    <brk id="35" max="8" man="1"/>
    <brk id="60" max="8" man="1"/>
  </rowBreaks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Z33"/>
  <sheetViews>
    <sheetView workbookViewId="0">
      <selection activeCell="E33" sqref="E33"/>
    </sheetView>
  </sheetViews>
  <sheetFormatPr defaultColWidth="9.140625" defaultRowHeight="13.6"/>
  <cols>
    <col min="1" max="1" width="13.5703125" style="21" customWidth="1"/>
    <col min="2" max="2" width="40.85546875" style="21" customWidth="1"/>
    <col min="3" max="3" width="28.140625" style="21" customWidth="1"/>
    <col min="4" max="4" width="16.28515625" style="21" customWidth="1"/>
    <col min="5" max="5" width="19.42578125" style="21" customWidth="1"/>
    <col min="6" max="6" width="11.140625" style="21" customWidth="1"/>
    <col min="7" max="7" width="9.140625" style="21" customWidth="1"/>
    <col min="8" max="8" width="17.28515625" style="21" customWidth="1"/>
    <col min="9" max="9" width="19.5703125" style="21" customWidth="1"/>
    <col min="10" max="12" width="12.42578125" style="21" customWidth="1"/>
    <col min="13" max="13" width="16" style="21" customWidth="1"/>
    <col min="14" max="14" width="14.28515625" style="21" customWidth="1"/>
    <col min="15" max="15" width="18.28515625" style="21" customWidth="1"/>
    <col min="16" max="25" width="9.140625" style="21" customWidth="1"/>
    <col min="26" max="26" width="9.140625" style="21" hidden="1" customWidth="1"/>
    <col min="27" max="27" width="9.140625" style="21" customWidth="1"/>
    <col min="28" max="16384" width="9.140625" style="21"/>
  </cols>
  <sheetData>
    <row>
      <c s="48"/>
      <c r="H1" s="70">
        <v>129806172700000000</v>
      </c>
      <c r="Z1" s="46" t="b">
        <f>0=1</f>
        <v>0</v>
      </c>
    </row>
    <row>
      <c r="Z2" s="46" t="b">
        <f>1=1</f>
        <v>1</v>
      </c>
    </row>
    <row>
      <c r="Z3" s="46"/>
    </row>
    <row>
      <c r="I4" s="21" t="s">
        <v>46</v>
      </c>
      <c s="45" t="s">
        <v>95</v>
      </c>
      <c s="9"/>
      <c s="9"/>
      <c s="9"/>
      <c s="9"/>
      <c s="9"/>
    </row>
    <row>
      <c r="J5" s="28" t="s">
        <v>34</v>
      </c>
      <c s="17" t="s">
        <v>67</v>
      </c>
      <c s="17" t="s">
        <v>86</v>
      </c>
      <c s="28" t="s">
        <v>126</v>
      </c>
      <c s="68" t="s">
        <v>104</v>
      </c>
      <c s="17" t="s">
        <v>3</v>
      </c>
    </row>
    <row>
      <c r="B6" s="24" t="s">
        <v>105</v>
      </c>
      <c s="14" t="s">
        <v>111</v>
      </c>
      <c s="47" t="s">
        <v>13</v>
      </c>
      <c s="4" t="s">
        <v>68</v>
      </c>
    </row>
    <row>
      <c r="C7" s="15"/>
      <c s="26" t="s">
        <v>14</v>
      </c>
      <c s="4" t="s">
        <v>76</v>
      </c>
    </row>
    <row>
      <c r="C8" s="26" t="s">
        <v>4</v>
      </c>
      <c s="15"/>
    </row>
    <row>
      <c r="C9" s="15"/>
      <c s="14" t="s">
        <v>35</v>
      </c>
      <c s="43"/>
    </row>
    <row>
      <c r="C10" s="14" t="s">
        <v>57</v>
      </c>
      <c s="56" t="s">
        <v>87</v>
      </c>
      <c s="4" t="s">
        <v>23</v>
      </c>
    </row>
    <row>
      <c r="B11" s="24" t="s">
        <v>69</v>
      </c>
      <c s="61" t="s">
        <v>58</v>
      </c>
      <c s="62">
        <v>60398</v>
      </c>
      <c s="4" t="s">
        <v>36</v>
      </c>
    </row>
    <row>
      <c r="B12" s="24"/>
      <c s="55"/>
      <c s="41"/>
      <c s="37" t="s">
        <v>96</v>
      </c>
    </row>
    <row>
      <c r="B13" s="24" t="s">
        <v>59</v>
      </c>
      <c s="54" t="s">
        <v>29</v>
      </c>
      <c s="64">
        <v>1212</v>
      </c>
      <c s="21" t="b">
        <v>0</v>
      </c>
      <c s="4" t="s">
        <v>88</v>
      </c>
    </row>
    <row ht="12.75" hidden="1">
      <c r="B14" s="24"/>
      <c s="54"/>
      <c s="35"/>
      <c s="21" t="b">
        <v>0</v>
      </c>
    </row>
    <row>
      <c r="B15" s="24" t="s">
        <v>112</v>
      </c>
      <c s="21" t="s">
        <v>121</v>
      </c>
      <c s="69">
        <v>1212</v>
      </c>
      <c s="21" t="b">
        <v>0</v>
      </c>
      <c s="4" t="s">
        <v>30</v>
      </c>
    </row>
    <row ht="12.75" hidden="1">
      <c r="B16" s="24"/>
      <c r="D16" s="16"/>
      <c s="21" t="b">
        <v>0</v>
      </c>
      <c s="4"/>
    </row>
    <row>
      <c r="B17" s="24"/>
      <c s="21" t="s">
        <v>37</v>
      </c>
      <c s="36">
        <v>3434</v>
      </c>
      <c s="21" t="b">
        <v>0</v>
      </c>
      <c s="4" t="s">
        <v>89</v>
      </c>
    </row>
    <row>
      <c r="B18" s="24"/>
      <c r="D18" s="16"/>
      <c s="21" t="b">
        <v>0</v>
      </c>
      <c s="4"/>
    </row>
    <row>
      <c r="B19" s="24"/>
      <c s="21" t="s">
        <v>5</v>
      </c>
      <c s="38">
        <v>3434</v>
      </c>
      <c s="21" t="b">
        <v>0</v>
      </c>
      <c s="4" t="s">
        <v>106</v>
      </c>
    </row>
    <row>
      <c r="B20" s="24"/>
      <c r="D20" s="16"/>
      <c s="21" t="b">
        <v>0</v>
      </c>
      <c s="4"/>
    </row>
    <row>
      <c r="B21" s="24"/>
      <c s="21" t="s">
        <v>107</v>
      </c>
      <c s="53">
        <v>5656</v>
      </c>
      <c s="21" t="b">
        <v>0</v>
      </c>
      <c s="4" t="s">
        <v>127</v>
      </c>
    </row>
    <row>
      <c r="B22" s="24"/>
      <c r="E22" s="4"/>
      <c r="I22" s="49"/>
    </row>
    <row>
      <c r="B23" s="19" t="s">
        <v>6</v>
      </c>
      <c s="19"/>
    </row>
    <row>
      <c r="B24" s="3" t="s">
        <v>70</v>
      </c>
      <c s="3" t="s">
        <v>38</v>
      </c>
      <c s="3" t="s">
        <v>15</v>
      </c>
      <c s="3" t="s">
        <v>108</v>
      </c>
      <c s="3"/>
      <c s="3"/>
      <c s="3" t="s">
        <v>128</v>
      </c>
    </row>
    <row>
      <c s="21" t="s">
        <v>77</v>
      </c>
      <c r="C25" s="44" t="s">
        <v>71</v>
      </c>
      <c s="18" t="s">
        <v>113</v>
      </c>
      <c s="18">
        <v>1234.5599999999999</v>
      </c>
      <c s="4" t="s">
        <v>97</v>
      </c>
      <c r="H25" s="21" t="s">
        <v>109</v>
      </c>
    </row>
    <row>
      <c s="21" t="s">
        <v>114</v>
      </c>
      <c r="C26" s="44" t="s">
        <v>71</v>
      </c>
      <c s="20" t="s">
        <v>113</v>
      </c>
      <c s="18">
        <v>1234.5599999999999</v>
      </c>
      <c s="4" t="s">
        <v>78</v>
      </c>
      <c r="H26" s="21" t="s">
        <v>129</v>
      </c>
    </row>
    <row>
      <c r="C27" s="44" t="s">
        <v>71</v>
      </c>
      <c s="20" t="s">
        <v>113</v>
      </c>
      <c s="18">
        <v>1234.5599999999999</v>
      </c>
      <c r="H27" s="21" t="s">
        <v>79</v>
      </c>
    </row>
    <row>
      <c r="C28" s="60" t="s">
        <v>7</v>
      </c>
      <c s="20" t="s">
        <v>10</v>
      </c>
      <c s="18">
        <v>1234.5599999999999</v>
      </c>
      <c r="H28" s="21" t="s">
        <v>39</v>
      </c>
    </row>
    <row>
      <c r="C29" s="60" t="s">
        <v>7</v>
      </c>
      <c s="39" t="s">
        <v>83</v>
      </c>
      <c s="32">
        <v>1234.5599999999999</v>
      </c>
      <c r="H29" s="21" t="s">
        <v>130</v>
      </c>
    </row>
    <row>
      <c r="C30" s="60" t="s">
        <v>110</v>
      </c>
      <c s="51" t="s">
        <v>25</v>
      </c>
      <c s="33">
        <v>1234.5599999999999</v>
      </c>
    </row>
    <row>
      <c r="C31" s="60" t="s">
        <v>71</v>
      </c>
      <c s="20" t="s">
        <v>72</v>
      </c>
      <c s="18">
        <v>1234.5599999999999</v>
      </c>
    </row>
    <row>
      <c r="C32" s="60" t="s">
        <v>24</v>
      </c>
      <c s="58" t="s">
        <v>25</v>
      </c>
      <c s="57">
        <v>1234.5599999999999</v>
      </c>
    </row>
    <row>
      <c r="C33" s="60" t="s">
        <v>71</v>
      </c>
      <c s="67" t="s">
        <v>16</v>
      </c>
      <c s="59">
        <v>1234.5599999999999</v>
      </c>
    </row>
  </sheetData>
  <mergeCells count="2">
    <mergeCell ref="J4:O4"/>
    <mergeCell ref="B23:C23"/>
  </mergeCells>
  <dataValidations count="1">
    <dataValidation type="list" allowBlank="1" showInputMessage="1" showErrorMessage="1" sqref="E13:E21">
      <formula1>$Z$1:$Z$2</formula1>
    </dataValidation>
  </dataValidations>
  <pageMargins left="0.7" right="0.7" top="0.787401575" bottom="0.787401575" header="0.3" footer="0.3"/>
  <pageSetup paperSize="9" orientation="portrait"/>
  <drawing r:id="rId1"/>
</worksheet>
</file>
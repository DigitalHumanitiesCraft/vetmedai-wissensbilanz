
<file path=[Content_Types].xml><?xml version="1.0" encoding="utf-8"?>
<Types xmlns="http://schemas.openxmlformats.org/package/2006/content-types">
  <Default Extension="rels" ContentType="application/vnd.openxmlformats-package.relationships+xml"/>
  <Override PartName="/xl/media/image1.png" ContentType="image/png"/>
  <Override PartName="/xl/media/image2.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3.25.102"/>
  <workbookPr defaultThemeVersion="124226"/>
  <bookViews>
    <workbookView xWindow="0" yWindow="0" windowWidth="18570" windowHeight="7260"/>
  </bookViews>
  <sheets>
    <sheet name="Tab" sheetId="1" r:id="rId1"/>
    <sheet name="XLCubedFormats" sheetId="2" state="hidden" r:id="rId2"/>
  </sheets>
  <definedNames>
    <definedName name="_xlnm.Print_Area" localSheetId="0">Tab!$A$1:$AA$42</definedName>
    <definedName name="XL3DisableCameraObjects" hidden="1">XLCubedFormats!A1</definedName>
    <definedName name="XL3ObjLocationb0a0bce6_83e4_40a3_bc1d_9310431ea818">Tab!$A$12</definedName>
  </definedNames>
  <calcPr calcId="40001"/>
</workbook>
</file>

<file path=xl/sharedStrings.xml><?xml version="1.0" encoding="utf-8"?>
<sst xmlns="http://schemas.openxmlformats.org/spreadsheetml/2006/main" uniqueCount="139">
  <si>
    <t>Slicer Button Background</t>
  </si>
  <si>
    <t>Grid Title</t>
  </si>
  <si>
    <t>Oth Written Member</t>
  </si>
  <si>
    <t>Fill in Grid Name, Dimension or Both</t>
  </si>
  <si>
    <t xml:space="preserve">      UR</t>
  </si>
  <si>
    <t xml:space="preserve">      UV</t>
  </si>
  <si>
    <t>Universität</t>
  </si>
  <si>
    <t>All Marital Status</t>
  </si>
  <si>
    <t>Male</t>
  </si>
  <si>
    <t>Member1 Name</t>
  </si>
  <si>
    <t>Frauen in %</t>
  </si>
  <si>
    <t xml:space="preserve">      Techn.Universität Wien</t>
  </si>
  <si>
    <t xml:space="preserve">      Medizinische Universität Graz</t>
  </si>
  <si>
    <t>Datenaufbereitung: bmfwf, Abt. I/10</t>
  </si>
  <si>
    <t>&lt;-- default Column Member Format</t>
  </si>
  <si>
    <t xml:space="preserve">      Univ.f.angew.Kunst Wien</t>
  </si>
  <si>
    <t xml:space="preserve">      Technische Universität Graz</t>
  </si>
  <si>
    <t xml:space="preserve">      UG</t>
  </si>
  <si>
    <t xml:space="preserve">      Universität Salzburg</t>
  </si>
  <si>
    <t>Köpfe Frauen</t>
  </si>
  <si>
    <t>Frauenquote in Kollegialorganen</t>
  </si>
  <si>
    <t xml:space="preserve">      UC</t>
  </si>
  <si>
    <t xml:space="preserve">      Montanuniversität Leoben</t>
  </si>
  <si>
    <t>Alternate Rows</t>
  </si>
  <si>
    <t>&lt;--  writeable cell format</t>
  </si>
  <si>
    <t>Gesamt</t>
  </si>
  <si>
    <t>2010/11</t>
  </si>
  <si>
    <t>2022</t>
  </si>
  <si>
    <t xml:space="preserve">      UO</t>
  </si>
  <si>
    <t xml:space="preserve">      Universität für Musik und darstellende Kunst Graz</t>
  </si>
  <si>
    <t xml:space="preserve">      Universität für angewandte Kunst Wien</t>
  </si>
  <si>
    <t xml:space="preserve">      Universität Wien</t>
  </si>
  <si>
    <t xml:space="preserve">      UK</t>
  </si>
  <si>
    <t>Slicer Title</t>
  </si>
  <si>
    <t>Calendar Period</t>
  </si>
  <si>
    <t>&lt;-- default cell format</t>
  </si>
  <si>
    <t>Written Member</t>
  </si>
  <si>
    <t>Dimension/Column</t>
  </si>
  <si>
    <t xml:space="preserve">      Medizinische Univ.Graz</t>
  </si>
  <si>
    <t xml:space="preserve">      UW</t>
  </si>
  <si>
    <t>Organe mit erfüllter Quote</t>
  </si>
  <si>
    <t>2022/23</t>
  </si>
  <si>
    <t xml:space="preserve">      US</t>
  </si>
  <si>
    <t xml:space="preserve">      Universität für Weiterbildung Krems</t>
  </si>
  <si>
    <t xml:space="preserve">      Akad.d.bild.Künste Wien</t>
  </si>
  <si>
    <t>Rektorat</t>
  </si>
  <si>
    <t>Slice Name (Optional)</t>
  </si>
  <si>
    <t xml:space="preserve">      Veterinärmed.Univ.Wien</t>
  </si>
  <si>
    <t xml:space="preserve">      Universität Mozarteum Salzburg</t>
  </si>
  <si>
    <t>Köpfe Gesamt</t>
  </si>
  <si>
    <t>DQ-Status</t>
  </si>
  <si>
    <t>Measures</t>
  </si>
  <si>
    <t>2011/12</t>
  </si>
  <si>
    <t xml:space="preserve">      Akademie der bildenden Künste Wien</t>
  </si>
  <si>
    <t xml:space="preserve">      Univ.f.Mus.u.darst.K.Graz</t>
  </si>
  <si>
    <t xml:space="preserve">      Universität Innsbruck</t>
  </si>
  <si>
    <t xml:space="preserve">      UD</t>
  </si>
  <si>
    <t>Customer</t>
  </si>
  <si>
    <t>-All Customer</t>
  </si>
  <si>
    <t>Default Alternate Row Member Format --&gt;</t>
  </si>
  <si>
    <t>[ALLG Semester].[Studienjahr #Kurzbezeichnung#]</t>
  </si>
  <si>
    <t xml:space="preserve">      UH</t>
  </si>
  <si>
    <t>Männer in %</t>
  </si>
  <si>
    <t xml:space="preserve">      Veterinärmedizinische Universität Wien</t>
  </si>
  <si>
    <t xml:space="preserve">      Technische Universität Wien</t>
  </si>
  <si>
    <t xml:space="preserve">      Medizinische Universität Wien</t>
  </si>
  <si>
    <t>Studienjahr (Kurzbezeichnung)</t>
  </si>
  <si>
    <t>2023</t>
  </si>
  <si>
    <t>Monitoringkategorie Bezeichnung</t>
  </si>
  <si>
    <t>Köpfe Männer</t>
  </si>
  <si>
    <t>2023/24</t>
  </si>
  <si>
    <t xml:space="preserve">      Univ.f.Weiterbild.Krems</t>
  </si>
  <si>
    <t xml:space="preserve">      UL</t>
  </si>
  <si>
    <t>Slicer Item</t>
  </si>
  <si>
    <t>&lt;-- default Slicer Member Format</t>
  </si>
  <si>
    <t>Default Row Member Format --&gt;</t>
  </si>
  <si>
    <t>Grid/Table Name</t>
  </si>
  <si>
    <t>[Measures]</t>
  </si>
  <si>
    <t xml:space="preserve">      Univ.künst.u.i.Gest.Linz</t>
  </si>
  <si>
    <t xml:space="preserve">      Universität für Musik und darstellende Kunst Wien</t>
  </si>
  <si>
    <t xml:space="preserve">      UT</t>
  </si>
  <si>
    <t>&lt;-- writeable Slicer Member Format</t>
  </si>
  <si>
    <t xml:space="preserve">      Medizinische Univ.Wien</t>
  </si>
  <si>
    <t>Jahr</t>
  </si>
  <si>
    <t xml:space="preserve">      Universität für Bodenkultur Wien</t>
  </si>
  <si>
    <t>Kennzahl 1.A.3 - Gesamtübersicht</t>
  </si>
  <si>
    <t>Slicer Button</t>
  </si>
  <si>
    <t>+2009</t>
  </si>
  <si>
    <t>&lt;-- default alternate row cell format</t>
  </si>
  <si>
    <t>&lt;--  written cell format</t>
  </si>
  <si>
    <t xml:space="preserve">      UA</t>
  </si>
  <si>
    <t>Anmerkung: Aufgrund von Änderungen in den Erhebungsmethoden sind die Indikatorwerte im zeitlichen Verlauf nicht immer direkt vergleichbar.</t>
  </si>
  <si>
    <t xml:space="preserve">      Wirtschaftsuniversität Wien</t>
  </si>
  <si>
    <t>2024/25</t>
  </si>
  <si>
    <t xml:space="preserve">      UE</t>
  </si>
  <si>
    <t>Display Formats For:</t>
  </si>
  <si>
    <t>Enabled?</t>
  </si>
  <si>
    <t xml:space="preserve">      UM</t>
  </si>
  <si>
    <t>Quelle: Datenmeldungen der Universitäten auf Basis WBV</t>
  </si>
  <si>
    <t>2024</t>
  </si>
  <si>
    <t xml:space="preserve">      UI</t>
  </si>
  <si>
    <t xml:space="preserve">      Universität für künstlerische und industrielle Gestaltung Linz</t>
  </si>
  <si>
    <t>Datenprüfung: bmfwf, Abt. I/6</t>
  </si>
  <si>
    <t xml:space="preserve">      Univ.f.Mus.u.darst.K.Wien</t>
  </si>
  <si>
    <t>Slicer Button Hover</t>
  </si>
  <si>
    <t>Label Format--&gt;</t>
  </si>
  <si>
    <t>&lt;--  written cell by another user cell format</t>
  </si>
  <si>
    <t>Summary Written Member</t>
  </si>
  <si>
    <t>Data Format</t>
  </si>
  <si>
    <t>Universität (Langtext)</t>
  </si>
  <si>
    <t xml:space="preserve">      UQ</t>
  </si>
  <si>
    <t>Universität-Ausrichtung</t>
  </si>
  <si>
    <r>
      <rPr>
        <u/>
        <sz val="10"/>
        <color rgb="FF000000"/>
        <rFont val="Tahoma"/>
        <family val="2"/>
      </rPr>
      <t>Hinweis</t>
    </r>
    <r>
      <rPr>
        <sz val="10"/>
        <color rgb="FF000000"/>
        <rFont val="Tahoma"/>
        <family val="2"/>
      </rPr>
      <t>: Auswahl Gesamt beim Feld Monitoringkategorie führt zu nicht verwertbaren Ergebnissen.</t>
    </r>
  </si>
  <si>
    <t xml:space="preserve">      Techn.Universität Graz</t>
  </si>
  <si>
    <t xml:space="preserve">      UU</t>
  </si>
  <si>
    <t>Marital Status</t>
  </si>
  <si>
    <t>Default Writeable Member Format --&gt;</t>
  </si>
  <si>
    <t>[ALLG Zeit].[Jahr]</t>
  </si>
  <si>
    <t>Universität (Codex)</t>
  </si>
  <si>
    <t>Writeable Member</t>
  </si>
  <si>
    <t xml:space="preserve">      UB</t>
  </si>
  <si>
    <t xml:space="preserve">      Universität Linz</t>
  </si>
  <si>
    <t xml:space="preserve">      Universität Graz</t>
  </si>
  <si>
    <t>Wissensbilanz</t>
  </si>
  <si>
    <t xml:space="preserve">      Universität Klagenfurt</t>
  </si>
  <si>
    <t xml:space="preserve">      Univ.f.Bodenkultur Wien</t>
  </si>
  <si>
    <t xml:space="preserve">      UF</t>
  </si>
  <si>
    <t>Slicer Button Selected</t>
  </si>
  <si>
    <t>&lt;--  summary written cell</t>
  </si>
  <si>
    <t>Formatierungsrichtlinien</t>
  </si>
  <si>
    <t xml:space="preserve">      Univ.Mozarteum Salzburg</t>
  </si>
  <si>
    <t xml:space="preserve">      UJ</t>
  </si>
  <si>
    <t xml:space="preserve">      UN</t>
  </si>
  <si>
    <t xml:space="preserve">      Medizinische Universität Innsbruck</t>
  </si>
  <si>
    <t>Interpretation</t>
  </si>
  <si>
    <t>Nähere Informationen zu den Kennzahlen bzw. deren Definition finden sich in der aktuellen Ausgabe des Arbeitsbehelfs zur Wissensbilanz-Verordnung.</t>
  </si>
  <si>
    <t xml:space="preserve">      Wirtschaftsuniv.Wien</t>
  </si>
  <si>
    <t xml:space="preserve">      Medizin.Univ.Innsbruck</t>
  </si>
  <si>
    <t>(Members of DQ-Status) - (Unknown)</t>
  </si>
</sst>
</file>

<file path=xl/styles.xml><?xml version="1.0" encoding="utf-8"?>
<styleSheet xmlns="http://schemas.openxmlformats.org/spreadsheetml/2006/main">
  <numFmts count="2">
    <numFmt numFmtId="164" formatCode=";;;"/>
    <numFmt numFmtId="165" formatCode="0.0%"/>
  </numFmts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rgb="FF262626"/>
      <name val="Tahoma"/>
      <family val="2"/>
    </font>
    <font>
      <sz val="11"/>
      <name val="Calibri"/>
      <family val="2"/>
      <scheme val="minor"/>
    </font>
    <font>
      <sz val="10"/>
      <color rgb="FF000000"/>
      <name val="Tahoma"/>
      <family val="2"/>
    </font>
    <font>
      <b/>
      <sz val="11"/>
      <name val="Calibri"/>
      <family val="2"/>
      <scheme val="minor"/>
    </font>
    <font>
      <sz val="10"/>
      <color rgb="FF595959"/>
      <name val="Tahoma"/>
      <family val="2"/>
    </font>
    <font>
      <b/>
      <sz val="10"/>
      <name val="Tahoma"/>
      <family val="2"/>
    </font>
    <font>
      <b/>
      <sz val="8"/>
      <color indexed="23"/>
      <name val="Tahoma"/>
      <family val="2"/>
    </font>
    <font>
      <b/>
      <sz val="11"/>
      <color rgb="FF000000"/>
      <name val="Tahoma"/>
      <family val="2"/>
    </font>
    <font>
      <sz val="11"/>
      <color rgb="FF000000"/>
      <name val="Tahoma"/>
      <family val="2"/>
    </font>
    <font>
      <sz val="9"/>
      <name val="Tahoma"/>
      <family val="2"/>
    </font>
    <font>
      <sz val="10"/>
      <color theme="1" tint="0.34998626667073579"/>
      <name val="Tahoma"/>
      <family val="2"/>
    </font>
    <font>
      <b/>
      <sz val="11"/>
      <color theme="1"/>
      <name val="Calibri"/>
      <family val="2"/>
      <scheme val="minor"/>
    </font>
    <font>
      <sz val="10"/>
      <color theme="1" tint="0.0499893185216834"/>
      <name val="Tahoma"/>
      <family val="2"/>
    </font>
    <font>
      <sz val="8"/>
      <name val="Tahoma"/>
      <family val="2"/>
    </font>
    <font>
      <sz val="10"/>
      <name val="Tahoma"/>
      <family val="2"/>
    </font>
    <font>
      <sz val="10"/>
      <color theme="1" tint="0.14999847407452621"/>
      <name val="Tahoma"/>
      <family val="2"/>
    </font>
    <font>
      <sz val="10"/>
      <color rgb="FFFF0000"/>
      <name val="Tahoma"/>
      <family val="2"/>
    </font>
    <font>
      <b/>
      <sz val="8"/>
      <color rgb="FFFF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3"/>
      <color theme="3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0"/>
      <color rgb="FF000000"/>
      <name val="Tahoma"/>
      <family val="2"/>
    </font>
    <font>
      <b/>
      <sz val="11"/>
      <color rgb="FF3F3F3F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61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D9F1"/>
        <bgColor rgb="FFFFFFFF"/>
      </patternFill>
    </fill>
    <fill>
      <patternFill patternType="solid">
        <fgColor rgb="FFDDDDDD"/>
        <bgColor rgb="FFFFFFFF"/>
      </patternFill>
    </fill>
    <fill>
      <patternFill patternType="solid">
        <fgColor indexed="2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indexed="42"/>
        <bgColor indexed="64"/>
      </patternFill>
    </fill>
  </fills>
  <borders count="9">
    <border>
      <left/>
      <right/>
      <top/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/>
      <right style="hair">
        <color rgb="FFC0C0C0"/>
      </right>
      <top/>
      <bottom/>
      <diagonal/>
    </border>
    <border>
      <left style="hair">
        <color rgb="FFC0C0C0"/>
      </left>
      <right/>
      <top style="hair">
        <color rgb="FFC0C0C0"/>
      </top>
      <bottom style="hair">
        <color rgb="FFC0C0C0"/>
      </bottom>
      <diagonal/>
    </border>
    <border>
      <left style="hair">
        <color rgb="FFC0C0C0"/>
      </left>
      <right/>
      <top style="hair">
        <color rgb="FFC0C0C0"/>
      </top>
      <bottom/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rgb="FFC0C0C0"/>
      </left>
      <right style="hair">
        <color rgb="FFC0C0C0"/>
      </right>
      <top style="hair">
        <color rgb="FFC0C0C0"/>
      </top>
      <bottom/>
      <diagonal/>
    </border>
    <border>
      <left style="hair">
        <color rgb="FFC0C0C0"/>
      </left>
      <right/>
      <top/>
      <bottom/>
      <diagonal/>
    </border>
    <border>
      <left style="thin">
        <color indexed="23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70">
    <xf numFmtId="0" fontId="0" fillId="0" borderId="0" xfId="0"/>
    <xf numFmtId="0" fontId="2" fillId="0" borderId="1" xfId="0" quotePrefix="1" applyFont="1" applyFill="1" applyBorder="1" applyAlignment="1" applyProtection="1">
      <alignment horizontal="right"/>
    </xf>
    <xf numFmtId="0" fontId="3" fillId="0" borderId="0" xfId="0" applyFont="1" applyFill="1" applyBorder="1"/>
    <xf numFmtId="0" fontId="2" fillId="0" borderId="1" xfId="0" quotePrefix="1" applyFont="1" applyFill="1" applyBorder="1" applyAlignment="1" applyProtection="1">
      <alignment horizontal="center"/>
    </xf>
    <xf numFmtId="0" fontId="4" fillId="0" borderId="0" xfId="0" applyFont="1" applyFill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right"/>
    </xf>
    <xf numFmtId="0" fontId="0" fillId="0" borderId="0" xfId="0" applyFill="1" applyBorder="1" applyAlignment="1"/>
    <xf numFmtId="3" fontId="2" fillId="0" borderId="1" xfId="0" applyNumberFormat="1" applyFont="1" applyFill="1" applyBorder="1" applyAlignment="1" applyProtection="1">
      <alignment horizontal="right"/>
    </xf>
    <xf numFmtId="3" fontId="5" fillId="0" borderId="0" xfId="0" applyNumberFormat="1" applyFont="1" applyFill="1" applyBorder="1"/>
    <xf numFmtId="0" fontId="6" fillId="2" borderId="2" xfId="0" quotePrefix="1" applyFont="1" applyFill="1" applyBorder="1" applyAlignment="1" applyProtection="1"/>
    <xf numFmtId="0" fontId="7" fillId="0" borderId="0" xfId="0" applyFont="1"/>
    <xf numFmtId="0" fontId="4" fillId="0" borderId="0" xfId="0" applyFont="1" applyFill="1" applyBorder="1" applyAlignment="1">
      <alignment vertical="center"/>
    </xf>
    <xf numFmtId="165" fontId="2" fillId="3" borderId="1" xfId="0" applyNumberFormat="1" applyFont="1" applyFill="1" applyBorder="1" applyAlignment="1" applyProtection="1">
      <alignment horizontal="right"/>
    </xf>
    <xf numFmtId="0" fontId="8" fillId="0" borderId="0" xfId="0" applyFont="1"/>
    <xf numFmtId="0" fontId="9" fillId="0" borderId="0" xfId="0" applyFont="1" applyFill="1" applyBorder="1" applyAlignment="1">
      <alignment vertical="top"/>
    </xf>
    <xf numFmtId="0" fontId="10" fillId="0" borderId="0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left" vertical="center"/>
    </xf>
    <xf numFmtId="0" fontId="11" fillId="4" borderId="0" xfId="1" applyFont="1" applyFill="1" applyBorder="1" applyAlignment="1">
      <alignment horizontal="center"/>
    </xf>
    <xf numFmtId="0" fontId="12" fillId="5" borderId="0" xfId="0" applyFont="1" applyFill="1" applyAlignment="1"/>
    <xf numFmtId="0" fontId="2" fillId="0" borderId="1" xfId="0" applyFont="1" applyFill="1" applyBorder="1" applyAlignment="1" applyProtection="1">
      <alignment vertical="center"/>
    </xf>
    <xf numFmtId="0" fontId="13" fillId="0" borderId="0" xfId="0" applyFont="1" applyFill="1" applyBorder="1" applyAlignment="1"/>
    <xf numFmtId="0" fontId="14" fillId="0" borderId="0" xfId="0" applyFont="1"/>
    <xf numFmtId="3" fontId="2" fillId="0" borderId="1" xfId="0" quotePrefix="1" applyNumberFormat="1" applyFont="1" applyFill="1" applyBorder="1" applyAlignment="1" applyProtection="1">
      <alignment horizontal="right"/>
    </xf>
    <xf numFmtId="0" fontId="15" fillId="0" borderId="0" xfId="1" applyFont="1"/>
    <xf numFmtId="0" fontId="16" fillId="0" borderId="0" xfId="0" applyNumberFormat="1" applyFont="1" applyAlignment="1"/>
    <xf numFmtId="0" fontId="0" fillId="0" borderId="0" xfId="0" applyFill="1" applyBorder="1" applyAlignment="1">
      <alignment vertical="center"/>
    </xf>
    <xf numFmtId="0" fontId="2" fillId="0" borderId="3" xfId="0" applyFont="1" applyBorder="1" applyAlignment="1" applyProtection="1">
      <alignment horizontal="right"/>
    </xf>
    <xf numFmtId="0" fontId="16" fillId="0" borderId="0" xfId="0" applyFont="1"/>
    <xf numFmtId="0" fontId="16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0" fontId="2" fillId="0" borderId="4" xfId="0" applyFont="1" applyBorder="1" applyAlignment="1" applyProtection="1">
      <alignment horizontal="right"/>
    </xf>
    <xf numFmtId="0" fontId="17" fillId="0" borderId="0" xfId="0" applyFont="1"/>
    <xf numFmtId="0" fontId="2" fillId="0" borderId="4" xfId="0" applyFont="1" applyBorder="1" applyAlignment="1" applyProtection="1">
      <alignment horizontal="center"/>
    </xf>
    <xf numFmtId="0" fontId="15" fillId="5" borderId="0" xfId="1" applyFont="1" applyFill="1"/>
    <xf numFmtId="0" fontId="16" fillId="0" borderId="0" xfId="0" applyNumberFormat="1" applyFont="1"/>
    <xf numFmtId="0" fontId="0" fillId="0" borderId="0" xfId="0" applyFont="1"/>
    <xf numFmtId="3" fontId="16" fillId="6" borderId="0" xfId="0" applyNumberFormat="1" applyFont="1" applyFill="1" applyAlignment="1"/>
    <xf numFmtId="0" fontId="17" fillId="0" borderId="5" xfId="0" applyFont="1" applyFill="1" applyBorder="1" applyAlignment="1">
      <alignment vertical="center"/>
    </xf>
    <xf numFmtId="3" fontId="16" fillId="7" borderId="0" xfId="0" applyNumberFormat="1" applyFont="1" applyFill="1" applyAlignment="1"/>
    <xf numFmtId="0" fontId="16" fillId="7" borderId="0" xfId="0" applyFont="1" applyFill="1"/>
    <xf numFmtId="0" fontId="13" fillId="0" borderId="0" xfId="0" applyFont="1"/>
    <xf numFmtId="165" fontId="2" fillId="8" borderId="4" xfId="0" applyNumberFormat="1" applyFont="1" applyFill="1" applyBorder="1" applyAlignment="1" applyProtection="1">
      <alignment horizontal="right"/>
    </xf>
    <xf numFmtId="3" fontId="7" fillId="0" borderId="0" xfId="0" applyNumberFormat="1" applyFont="1" applyFill="1" applyAlignment="1"/>
    <xf numFmtId="3" fontId="16" fillId="9" borderId="0" xfId="0" applyNumberFormat="1" applyFont="1" applyFill="1" applyAlignment="1"/>
    <xf numFmtId="0" fontId="17" fillId="0" borderId="5" xfId="0" quotePrefix="1" applyFont="1" applyFill="1" applyBorder="1" applyAlignment="1"/>
    <xf numFmtId="165" fontId="2" fillId="8" borderId="6" xfId="0" applyNumberFormat="1" applyFont="1" applyFill="1" applyBorder="1" applyAlignment="1" applyProtection="1">
      <alignment horizontal="right"/>
    </xf>
    <xf numFmtId="2" fontId="16" fillId="0" borderId="0" xfId="0" applyNumberFormat="1" applyFont="1"/>
    <xf numFmtId="0" fontId="18" fillId="0" borderId="0" xfId="0" applyFont="1"/>
    <xf numFmtId="0" fontId="16" fillId="0" borderId="0" xfId="0" quotePrefix="1" applyFont="1" applyFill="1"/>
    <xf numFmtId="0" fontId="17" fillId="0" borderId="5" xfId="0" quotePrefix="1" applyFont="1" applyFill="1" applyBorder="1" applyAlignment="1">
      <alignment horizontal="right"/>
    </xf>
    <xf numFmtId="0" fontId="2" fillId="0" borderId="7" xfId="0" applyFont="1" applyBorder="1" applyAlignment="1" applyProtection="1">
      <alignment horizontal="center"/>
    </xf>
    <xf numFmtId="3" fontId="16" fillId="0" borderId="0" xfId="0" applyNumberFormat="1" applyFont="1" applyAlignment="1"/>
    <xf numFmtId="0" fontId="16" fillId="0" borderId="0" xfId="0" applyFont="1" applyFill="1" applyBorder="1" applyAlignment="1">
      <alignment vertical="center"/>
    </xf>
    <xf numFmtId="0" fontId="2" fillId="0" borderId="7" xfId="0" applyFont="1" applyBorder="1" applyAlignment="1" applyProtection="1">
      <alignment horizontal="right"/>
    </xf>
    <xf numFmtId="0" fontId="0" fillId="0" borderId="0" xfId="0" applyFont="1" applyFill="1" applyBorder="1" applyAlignment="1"/>
    <xf numFmtId="165" fontId="2" fillId="8" borderId="1" xfId="0" applyNumberFormat="1" applyFont="1" applyFill="1" applyBorder="1" applyAlignment="1" applyProtection="1">
      <alignment horizontal="right"/>
    </xf>
    <xf numFmtId="0" fontId="19" fillId="0" borderId="0" xfId="0" applyFont="1"/>
    <xf numFmtId="0" fontId="8" fillId="0" borderId="0" xfId="0" applyFont="1" applyAlignment="1">
      <alignment horizontal="center"/>
    </xf>
    <xf numFmtId="0" fontId="2" fillId="0" borderId="3" xfId="0" applyFont="1" applyBorder="1" applyAlignment="1" applyProtection="1">
      <alignment horizontal="center"/>
    </xf>
    <xf numFmtId="165" fontId="2" fillId="8" borderId="3" xfId="0" applyNumberFormat="1" applyFont="1" applyFill="1" applyBorder="1" applyAlignment="1" applyProtection="1">
      <alignment horizontal="right"/>
    </xf>
    <xf numFmtId="0" fontId="2" fillId="0" borderId="1" xfId="0" quotePrefix="1" applyFont="1" applyBorder="1" applyAlignment="1" applyProtection="1"/>
    <xf numFmtId="0" fontId="16" fillId="0" borderId="0" xfId="0" applyNumberFormat="1" applyFont="1" applyFill="1" applyBorder="1" applyAlignment="1"/>
    <xf numFmtId="0" fontId="7" fillId="0" borderId="0" xfId="0" applyFont="1" applyFill="1" applyBorder="1" applyAlignment="1">
      <alignment vertical="center"/>
    </xf>
    <xf numFmtId="0" fontId="15" fillId="7" borderId="0" xfId="1" applyFont="1" applyFill="1"/>
    <xf numFmtId="3" fontId="17" fillId="0" borderId="5" xfId="0" applyNumberFormat="1" applyFont="1" applyFill="1" applyBorder="1" applyAlignment="1"/>
    <xf numFmtId="0" fontId="16" fillId="0" borderId="0" xfId="0" quotePrefix="1" applyFont="1"/>
    <xf numFmtId="0" fontId="16" fillId="7" borderId="0" xfId="0" applyNumberFormat="1" applyFont="1" applyFill="1" applyAlignment="1"/>
    <xf numFmtId="164" fontId="16" fillId="0" borderId="0" xfId="0" applyNumberFormat="1" applyFont="1"/>
    <xf numFmtId="0" fontId="11" fillId="4" borderId="8" xfId="1" applyFont="1" applyFill="1" applyBorder="1" applyAlignment="1">
      <alignment horizontal="center"/>
    </xf>
    <xf numFmtId="0" fontId="2" fillId="0" borderId="1" xfId="0" applyFont="1" applyBorder="1" applyAlignment="1" applyProtection="1">
      <alignment horizontal="right"/>
    </xf>
  </cellXfs>
  <cellStyles count="2">
    <cellStyle name="Normal" xfId="0" builtinId="0"/>
    <cellStyle name="Normal_Sheet1" xfId="1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2.png" /><Relationship Id="rId2" Type="http://schemas.openxmlformats.org/officeDocument/2006/relationships/image" Target="../media/image1.pn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3</xdr:col>
      <xdr:colOff>0</xdr:colOff>
      <xdr:row>12</xdr:row>
      <xdr:rowOff>0</xdr:rowOff>
    </xdr:from>
    <xdr:to>
      <xdr:col>5</xdr:col>
      <xdr:colOff>0</xdr:colOff>
      <xdr:row>13</xdr:row>
      <xdr:rowOff>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54198" y="2384425"/>
          <a:ext cx="1853752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5</xdr:col>
      <xdr:colOff>0</xdr:colOff>
      <xdr:row>12</xdr:row>
      <xdr:rowOff>0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54198" y="2194560"/>
          <a:ext cx="1853752" cy="18986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absolute">
    <xdr:from>
      <xdr:col>9</xdr:col>
      <xdr:colOff>114300</xdr:colOff>
      <xdr:row>3</xdr:row>
      <xdr:rowOff>109220</xdr:rowOff>
    </xdr:from>
    <xdr:to>
      <xdr:col>10</xdr:col>
      <xdr:colOff>315752</xdr:colOff>
      <xdr:row>7</xdr:row>
      <xdr:rowOff>104140</xdr:rowOff>
    </xdr:to>
    <xdr:sp macro="" textlink="">
      <xdr:nvSpPr>
        <xdr:cNvPr id="2" name="Comment 1" hidden="1"/>
        <xdr:cNvSpPr txBox="1"/>
      </xdr:nvSpPr>
      <xdr:spPr>
        <a:xfrm>
          <a:off x="12373902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XLCubed:</a:t>
          </a:r>
        </a:p>
        <a:p>
          <a:pPr algn="l"/>
          <a:r>
            <a:rPr/>
            <a:t>Blank name gives the default format.</a:t>
          </a:r>
        </a:p>
        <a:p>
          <a:pPr algn="l"/>
          <a:r>
            <a:rPr/>
            <a:t>Specify slicer name for slicer specific formats</a:t>
          </a:r>
        </a:p>
      </xdr:txBody>
    </xdr:sp>
    <xdr:clientData/>
  </xdr:twoCellAnchor>
  <xdr:twoCellAnchor editAs="absolute">
    <xdr:from>
      <xdr:col>10</xdr:col>
      <xdr:colOff>114300</xdr:colOff>
      <xdr:row>3</xdr:row>
      <xdr:rowOff>109220</xdr:rowOff>
    </xdr:from>
    <xdr:to>
      <xdr:col>11</xdr:col>
      <xdr:colOff>315752</xdr:colOff>
      <xdr:row>7</xdr:row>
      <xdr:rowOff>104140</xdr:rowOff>
    </xdr:to>
    <xdr:sp macro="" textlink="">
      <xdr:nvSpPr>
        <xdr:cNvPr id="3" name="Comment 2" hidden="1"/>
        <xdr:cNvSpPr txBox="1"/>
      </xdr:nvSpPr>
      <xdr:spPr>
        <a:xfrm>
          <a:off x="13269731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slicer title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  <xdr:twoCellAnchor editAs="absolute">
    <xdr:from>
      <xdr:col>11</xdr:col>
      <xdr:colOff>114300</xdr:colOff>
      <xdr:row>3</xdr:row>
      <xdr:rowOff>109220</xdr:rowOff>
    </xdr:from>
    <xdr:to>
      <xdr:col>12</xdr:col>
      <xdr:colOff>315752</xdr:colOff>
      <xdr:row>7</xdr:row>
      <xdr:rowOff>104140</xdr:rowOff>
    </xdr:to>
    <xdr:sp macro="" textlink="">
      <xdr:nvSpPr>
        <xdr:cNvPr id="4" name="Comment 3" hidden="1"/>
        <xdr:cNvSpPr txBox="1"/>
      </xdr:nvSpPr>
      <xdr:spPr>
        <a:xfrm>
          <a:off x="14165559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Format for non-button slicer text</a:t>
          </a:r>
        </a:p>
        <a:p>
          <a:pPr algn="l"/>
          <a:endParaRPr/>
        </a:p>
      </xdr:txBody>
    </xdr:sp>
    <xdr:clientData/>
  </xdr:twoCellAnchor>
  <xdr:twoCellAnchor editAs="absolute">
    <xdr:from>
      <xdr:col>12</xdr:col>
      <xdr:colOff>114300</xdr:colOff>
      <xdr:row>3</xdr:row>
      <xdr:rowOff>109220</xdr:rowOff>
    </xdr:from>
    <xdr:to>
      <xdr:col>13</xdr:col>
      <xdr:colOff>44867</xdr:colOff>
      <xdr:row>7</xdr:row>
      <xdr:rowOff>104140</xdr:rowOff>
    </xdr:to>
    <xdr:sp macro="" textlink="">
      <xdr:nvSpPr>
        <xdr:cNvPr id="5" name="Comment 4" hidden="1"/>
        <xdr:cNvSpPr txBox="1"/>
      </xdr:nvSpPr>
      <xdr:spPr>
        <a:xfrm>
          <a:off x="15061387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Default format for slicer buttons</a:t>
          </a:r>
        </a:p>
      </xdr:txBody>
    </xdr:sp>
    <xdr:clientData/>
  </xdr:twoCellAnchor>
  <xdr:twoCellAnchor editAs="absolute">
    <xdr:from>
      <xdr:col>13</xdr:col>
      <xdr:colOff>114300</xdr:colOff>
      <xdr:row>3</xdr:row>
      <xdr:rowOff>109220</xdr:rowOff>
    </xdr:from>
    <xdr:to>
      <xdr:col>14</xdr:col>
      <xdr:colOff>169913</xdr:colOff>
      <xdr:row>7</xdr:row>
      <xdr:rowOff>104140</xdr:rowOff>
    </xdr:to>
    <xdr:sp macro="" textlink="">
      <xdr:nvSpPr>
        <xdr:cNvPr id="6" name="Comment 5" hidden="1"/>
        <xdr:cNvSpPr txBox="1"/>
      </xdr:nvSpPr>
      <xdr:spPr>
        <a:xfrm>
          <a:off x="16228100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selected button</a:t>
          </a:r>
        </a:p>
      </xdr:txBody>
    </xdr:sp>
    <xdr:clientData/>
  </xdr:twoCellAnchor>
  <xdr:twoCellAnchor editAs="absolute">
    <xdr:from>
      <xdr:col>14</xdr:col>
      <xdr:colOff>114300</xdr:colOff>
      <xdr:row>3</xdr:row>
      <xdr:rowOff>109220</xdr:rowOff>
    </xdr:from>
    <xdr:to>
      <xdr:col>14</xdr:col>
      <xdr:colOff>1211580</xdr:colOff>
      <xdr:row>7</xdr:row>
      <xdr:rowOff>104140</xdr:rowOff>
    </xdr:to>
    <xdr:sp macro="" textlink="">
      <xdr:nvSpPr>
        <xdr:cNvPr id="7" name="Comment 6" hidden="1"/>
        <xdr:cNvSpPr txBox="1"/>
      </xdr:nvSpPr>
      <xdr:spPr>
        <a:xfrm>
          <a:off x="17269768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button when hovered over</a:t>
          </a:r>
        </a:p>
        <a:p>
          <a:pPr algn="l"/>
          <a:endParaRPr/>
        </a:p>
      </xdr:txBody>
    </xdr:sp>
    <xdr:clientData/>
  </xdr:twoCellAnchor>
  <xdr:twoCellAnchor editAs="absolute">
    <xdr:from>
      <xdr:col>15</xdr:col>
      <xdr:colOff>114300</xdr:colOff>
      <xdr:row>3</xdr:row>
      <xdr:rowOff>109220</xdr:rowOff>
    </xdr:from>
    <xdr:to>
      <xdr:col>16</xdr:col>
      <xdr:colOff>545050</xdr:colOff>
      <xdr:row>7</xdr:row>
      <xdr:rowOff>104140</xdr:rowOff>
    </xdr:to>
    <xdr:sp macro="" textlink="">
      <xdr:nvSpPr>
        <xdr:cNvPr id="8" name="Comment 7" hidden="1"/>
        <xdr:cNvSpPr txBox="1"/>
      </xdr:nvSpPr>
      <xdr:spPr>
        <a:xfrm>
          <a:off x="18603113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Background between the slicer buttons.</a:t>
          </a:r>
        </a:p>
      </xdr:txBody>
    </xdr:sp>
    <xdr:clientData/>
  </xdr:twoCellAnchor>
  <xdr:twoCellAnchor editAs="absolute">
    <xdr:from>
      <xdr:col>4</xdr:col>
      <xdr:colOff>114300</xdr:colOff>
      <xdr:row>22</xdr:row>
      <xdr:rowOff>109220</xdr:rowOff>
    </xdr:from>
    <xdr:to>
      <xdr:col>4</xdr:col>
      <xdr:colOff>1211580</xdr:colOff>
      <xdr:row>26</xdr:row>
      <xdr:rowOff>104140</xdr:rowOff>
    </xdr:to>
    <xdr:sp macro="" textlink="">
      <xdr:nvSpPr>
        <xdr:cNvPr id="9" name="Comment 8" hidden="1"/>
        <xdr:cNvSpPr txBox="1"/>
      </xdr:nvSpPr>
      <xdr:spPr>
        <a:xfrm>
          <a:off x="6790998" y="356362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Can use wildcard character - '*'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X642"/>
  <sheetViews>
    <sheetView tabSelected="1" workbookViewId="0">
      <pane xSplit="0" ySplit="20" topLeftCell="A21" activePane="bottomLeft" state="frozen"/>
      <selection pane="bottomLeft" activeCell="A1"/>
    </sheetView>
  </sheetViews>
  <sheetFormatPr defaultColWidth="11.42578125" defaultRowHeight="14.95" outlineLevelRow="1" outlineLevelCol="1"/>
  <cols>
    <col min="1" max="1" width="52.85546875" style="35" bestFit="1" customWidth="1"/>
    <col min="2" max="3" width="12.7109375" hidden="1" customWidth="1" outlineLevel="1"/>
    <col min="4" max="4" width="12.7109375" customWidth="1" collapsed="1"/>
    <col min="5" max="8" width="12.7109375" customWidth="1"/>
    <col min="9" max="9" width="23.28515625" customWidth="1"/>
    <col min="10" max="10" width="12.5703125" customWidth="1"/>
    <col min="11" max="11" width="14.7109375" customWidth="1"/>
    <col min="12" max="16" width="12.7109375" customWidth="1"/>
    <col min="17" max="17" width="12.5703125" customWidth="1"/>
    <col min="18" max="19" width="14.7109375" customWidth="1"/>
    <col min="20" max="23" width="12.7109375" customWidth="1"/>
    <col min="24" max="24" width="12.28515625" customWidth="1"/>
    <col min="25" max="25" width="23.28515625" customWidth="1"/>
    <col min="26" max="27" width="14.7109375" customWidth="1"/>
    <col min="28" max="28" width="7.140625" bestFit="1" customWidth="1"/>
    <col min="29" max="29" width="17.140625" bestFit="1" customWidth="1"/>
    <col min="30" max="30" width="6.7109375" bestFit="1" customWidth="1"/>
    <col min="31" max="31" width="7.140625" bestFit="1" customWidth="1"/>
    <col min="32" max="32" width="17.140625" bestFit="1" customWidth="1"/>
    <col min="33" max="33" width="6.7109375" bestFit="1" customWidth="1"/>
    <col min="34" max="34" width="7.140625" bestFit="1" customWidth="1"/>
  </cols>
  <sheetData>
    <row>
      <c s="15" t="s">
        <v>123</v>
      </c>
      <c s="15"/>
      <c s="15"/>
      <c s="15"/>
      <c s="15"/>
      <c s="6"/>
      <c s="6"/>
      <c s="6"/>
    </row>
    <row>
      <c s="16" t="s">
        <v>85</v>
      </c>
      <c s="16"/>
      <c s="16"/>
      <c s="16"/>
      <c s="16"/>
      <c s="6"/>
      <c s="6"/>
      <c s="6"/>
    </row>
    <row ht="23.25" customHeight="1" s="40" customFormat="1">
      <c s="14" t="s">
        <v>20</v>
      </c>
      <c s="14"/>
      <c s="14"/>
      <c s="14"/>
      <c s="14"/>
      <c s="20"/>
      <c s="20"/>
      <c s="20"/>
    </row>
    <row>
      <c s="4" t="s">
        <v>98</v>
      </c>
      <c s="4"/>
      <c s="4"/>
      <c s="4"/>
      <c s="11"/>
      <c s="11"/>
      <c s="6"/>
      <c s="6"/>
    </row>
    <row>
      <c s="11" t="s">
        <v>102</v>
      </c>
      <c s="11"/>
      <c s="11"/>
      <c s="11"/>
      <c s="11"/>
      <c s="4"/>
      <c s="6"/>
      <c s="6"/>
    </row>
    <row>
      <c s="11" t="s">
        <v>13</v>
      </c>
      <c s="11"/>
      <c s="11"/>
      <c s="11"/>
      <c s="11"/>
      <c s="25"/>
      <c s="6"/>
      <c s="6"/>
    </row>
    <row>
      <c s="4" t="s">
        <v>91</v>
      </c>
      <c s="4"/>
      <c s="4"/>
      <c s="4"/>
      <c s="4"/>
      <c s="4"/>
      <c s="4"/>
      <c s="4"/>
      <c s="4"/>
      <c s="4"/>
    </row>
    <row>
      <c s="4" t="s">
        <v>135</v>
      </c>
      <c s="4"/>
      <c s="4"/>
      <c s="4"/>
      <c s="4"/>
      <c s="4"/>
      <c s="4"/>
      <c s="4"/>
      <c s="4"/>
      <c s="4"/>
    </row>
    <row>
      <c s="4"/>
      <c s="4"/>
      <c s="4"/>
      <c s="4"/>
      <c s="4"/>
      <c s="25"/>
      <c s="6"/>
      <c s="6"/>
    </row>
    <row>
      <c s="4" t="s">
        <v>112</v>
      </c>
      <c s="4"/>
      <c s="4"/>
      <c s="4"/>
      <c s="4"/>
      <c s="4"/>
      <c s="4"/>
      <c s="4"/>
    </row>
    <row ht="15" customHeight="1">
      <c s="54"/>
      <c s="6"/>
      <c s="6"/>
      <c s="6"/>
      <c s="6"/>
      <c s="6"/>
      <c s="6"/>
      <c s="6"/>
    </row>
    <row>
      <c s="9" t="s">
        <v>68</v>
      </c>
      <c s="60" t="s">
        <v>45</v>
      </c>
    </row>
    <row>
      <c s="9" t="s">
        <v>111</v>
      </c>
      <c s="60" t="s">
        <v>25</v>
      </c>
    </row>
    <row ht="15" hidden="1" outlineLevel="1">
      <c s="9" t="s">
        <v>50</v>
      </c>
      <c s="60" t="s">
        <v>138</v>
      </c>
    </row>
    <row collapsed="1">
      <c/>
    </row>
    <row>
      <c/>
    </row>
    <row ht="15" hidden="1" outlineLevel="1">
      <c/>
      <c r="D17" s="9" t="s">
        <v>83</v>
      </c>
      <c s="9" t="s">
        <v>66</v>
      </c>
      <c s="9" t="s">
        <v>51</v>
      </c>
    </row>
    <row ht="15" customHeight="1" collapsed="1">
      <c/>
      <c r="D18" s="3" t="s">
        <v>99</v>
      </c>
      <c s="3"/>
      <c s="3"/>
      <c s="3"/>
      <c s="3"/>
      <c s="3"/>
      <c s="1"/>
      <c s="3" t="s">
        <v>67</v>
      </c>
      <c s="3"/>
      <c s="3"/>
      <c s="3"/>
      <c s="3"/>
      <c s="3"/>
      <c s="1"/>
      <c s="3" t="s">
        <v>27</v>
      </c>
      <c s="3"/>
      <c s="3"/>
      <c s="3"/>
      <c s="3"/>
      <c s="3"/>
      <c s="1"/>
    </row>
    <row ht="15" hidden="1" customHeight="1" outlineLevel="1">
      <c/>
      <c r="D19" s="1" t="s">
        <v>93</v>
      </c>
      <c s="1"/>
      <c s="1"/>
      <c s="1"/>
      <c s="1"/>
      <c s="1"/>
      <c s="1"/>
      <c s="1" t="s">
        <v>70</v>
      </c>
      <c s="1"/>
      <c s="1"/>
      <c s="1"/>
      <c s="1"/>
      <c s="1"/>
      <c s="1"/>
      <c s="1" t="s">
        <v>41</v>
      </c>
      <c s="1"/>
      <c s="1"/>
      <c s="1"/>
      <c s="1"/>
      <c s="1"/>
      <c s="1"/>
    </row>
    <row collapsed="1">
      <c s="9" t="s">
        <v>6</v>
      </c>
      <c s="9" t="s">
        <v>118</v>
      </c>
      <c s="9" t="s">
        <v>109</v>
      </c>
      <c s="5" t="s">
        <v>19</v>
      </c>
      <c s="5" t="s">
        <v>69</v>
      </c>
      <c s="5" t="s">
        <v>49</v>
      </c>
      <c s="12" t="s">
        <v>10</v>
      </c>
      <c s="12" t="s">
        <v>62</v>
      </c>
      <c s="5" t="s">
        <v>40</v>
      </c>
      <c s="5" t="s">
        <v>134</v>
      </c>
      <c s="5" t="s">
        <v>19</v>
      </c>
      <c s="5" t="s">
        <v>69</v>
      </c>
      <c s="5" t="s">
        <v>49</v>
      </c>
      <c s="12" t="s">
        <v>10</v>
      </c>
      <c s="12" t="s">
        <v>62</v>
      </c>
      <c s="5" t="s">
        <v>40</v>
      </c>
      <c s="5" t="s">
        <v>134</v>
      </c>
      <c s="5" t="s">
        <v>19</v>
      </c>
      <c s="5" t="s">
        <v>69</v>
      </c>
      <c s="5" t="s">
        <v>49</v>
      </c>
      <c s="12" t="s">
        <v>10</v>
      </c>
      <c s="12" t="s">
        <v>62</v>
      </c>
      <c s="5" t="s">
        <v>40</v>
      </c>
      <c s="5" t="s">
        <v>134</v>
      </c>
    </row>
    <row>
      <c s="19" t="s">
        <v>31</v>
      </c>
      <c s="19" t="s">
        <v>90</v>
      </c>
      <c s="19" t="s">
        <v>31</v>
      </c>
      <c s="7">
        <v>2</v>
      </c>
      <c s="7">
        <v>3</v>
      </c>
      <c s="7">
        <v>5</v>
      </c>
      <c s="12">
        <v>0.40000000000000002</v>
      </c>
      <c s="12">
        <v>0.59999999999999998</v>
      </c>
      <c s="7">
        <v>1</v>
      </c>
      <c s="22" t="s">
        <v>134</v>
      </c>
      <c s="7">
        <v>2</v>
      </c>
      <c s="7">
        <v>3</v>
      </c>
      <c s="7">
        <v>5</v>
      </c>
      <c s="12">
        <v>0.40000000000000002</v>
      </c>
      <c s="12">
        <v>0.59999999999999998</v>
      </c>
      <c s="7">
        <v>1</v>
      </c>
      <c s="22" t="s">
        <v>134</v>
      </c>
      <c s="7">
        <v>3</v>
      </c>
      <c s="7">
        <v>2</v>
      </c>
      <c s="7">
        <v>5</v>
      </c>
      <c s="12">
        <v>0.59999999999999998</v>
      </c>
      <c s="12">
        <v>0.40000000000000002</v>
      </c>
      <c s="7">
        <v>1</v>
      </c>
      <c s="22" t="s">
        <v>134</v>
      </c>
    </row>
    <row>
      <c s="19" t="s">
        <v>122</v>
      </c>
      <c s="19" t="s">
        <v>120</v>
      </c>
      <c s="19" t="s">
        <v>122</v>
      </c>
      <c s="7">
        <v>2</v>
      </c>
      <c s="7">
        <v>3</v>
      </c>
      <c s="7">
        <v>5</v>
      </c>
      <c s="12">
        <v>0.40000000000000002</v>
      </c>
      <c s="12">
        <v>0.59999999999999998</v>
      </c>
      <c s="7">
        <v>1</v>
      </c>
      <c s="22" t="s">
        <v>134</v>
      </c>
      <c s="7">
        <v>2</v>
      </c>
      <c s="7">
        <v>3</v>
      </c>
      <c s="7">
        <v>5</v>
      </c>
      <c s="12">
        <v>0.40000000000000002</v>
      </c>
      <c s="12">
        <v>0.59999999999999998</v>
      </c>
      <c s="7">
        <v>1</v>
      </c>
      <c s="22" t="s">
        <v>134</v>
      </c>
      <c s="7">
        <v>2</v>
      </c>
      <c s="7">
        <v>3</v>
      </c>
      <c s="7">
        <v>5</v>
      </c>
      <c s="12">
        <v>0.40000000000000002</v>
      </c>
      <c s="12">
        <v>0.59999999999999998</v>
      </c>
      <c s="7">
        <v>1</v>
      </c>
      <c s="22" t="s">
        <v>134</v>
      </c>
    </row>
    <row>
      <c s="19" t="s">
        <v>55</v>
      </c>
      <c s="19" t="s">
        <v>21</v>
      </c>
      <c s="19" t="s">
        <v>55</v>
      </c>
      <c s="7">
        <v>3</v>
      </c>
      <c s="7">
        <v>2</v>
      </c>
      <c s="7">
        <v>5</v>
      </c>
      <c s="12">
        <v>0.59999999999999998</v>
      </c>
      <c s="12">
        <v>0.40000000000000002</v>
      </c>
      <c s="7">
        <v>1</v>
      </c>
      <c s="22" t="s">
        <v>134</v>
      </c>
      <c s="7">
        <v>2</v>
      </c>
      <c s="7">
        <v>3</v>
      </c>
      <c s="7">
        <v>5</v>
      </c>
      <c s="12">
        <v>0.40000000000000002</v>
      </c>
      <c s="12">
        <v>0.59999999999999998</v>
      </c>
      <c s="7">
        <v>1</v>
      </c>
      <c s="22" t="s">
        <v>134</v>
      </c>
      <c s="7">
        <v>2</v>
      </c>
      <c s="7">
        <v>3</v>
      </c>
      <c s="7">
        <v>5</v>
      </c>
      <c s="12">
        <v>0.40000000000000002</v>
      </c>
      <c s="12">
        <v>0.59999999999999998</v>
      </c>
      <c s="7">
        <v>1</v>
      </c>
      <c s="22" t="s">
        <v>134</v>
      </c>
    </row>
    <row>
      <c s="19" t="s">
        <v>65</v>
      </c>
      <c s="19" t="s">
        <v>132</v>
      </c>
      <c s="19" t="s">
        <v>82</v>
      </c>
      <c s="7">
        <v>2</v>
      </c>
      <c s="7">
        <v>3</v>
      </c>
      <c s="7">
        <v>5</v>
      </c>
      <c s="12">
        <v>0.40000000000000002</v>
      </c>
      <c s="12">
        <v>0.59999999999999998</v>
      </c>
      <c s="7">
        <v>1</v>
      </c>
      <c s="22" t="s">
        <v>134</v>
      </c>
      <c s="7">
        <v>2</v>
      </c>
      <c s="7">
        <v>3</v>
      </c>
      <c s="7">
        <v>5</v>
      </c>
      <c s="12">
        <v>0.40000000000000002</v>
      </c>
      <c s="12">
        <v>0.59999999999999998</v>
      </c>
      <c s="7">
        <v>1</v>
      </c>
      <c s="22" t="s">
        <v>134</v>
      </c>
      <c s="7">
        <v>2</v>
      </c>
      <c s="7">
        <v>3</v>
      </c>
      <c s="7">
        <v>5</v>
      </c>
      <c s="12">
        <v>0.40000000000000002</v>
      </c>
      <c s="12">
        <v>0.59999999999999998</v>
      </c>
      <c s="7">
        <v>1</v>
      </c>
      <c s="22" t="s">
        <v>134</v>
      </c>
    </row>
    <row>
      <c s="19" t="s">
        <v>12</v>
      </c>
      <c s="19" t="s">
        <v>28</v>
      </c>
      <c s="19" t="s">
        <v>38</v>
      </c>
      <c s="7">
        <v>2</v>
      </c>
      <c s="7">
        <v>3</v>
      </c>
      <c s="7">
        <v>5</v>
      </c>
      <c s="12">
        <v>0.40000000000000002</v>
      </c>
      <c s="12">
        <v>0.59999999999999998</v>
      </c>
      <c s="7">
        <v>1</v>
      </c>
      <c s="22" t="s">
        <v>134</v>
      </c>
      <c s="7">
        <v>3</v>
      </c>
      <c s="7">
        <v>2</v>
      </c>
      <c s="7">
        <v>5</v>
      </c>
      <c s="12">
        <v>0.59999999999999998</v>
      </c>
      <c s="12">
        <v>0.40000000000000002</v>
      </c>
      <c s="7">
        <v>1</v>
      </c>
      <c s="22" t="s">
        <v>134</v>
      </c>
      <c s="7">
        <v>3</v>
      </c>
      <c s="7">
        <v>2</v>
      </c>
      <c s="7">
        <v>5</v>
      </c>
      <c s="12">
        <v>0.59999999999999998</v>
      </c>
      <c s="12">
        <v>0.40000000000000002</v>
      </c>
      <c s="7">
        <v>1</v>
      </c>
      <c s="22" t="s">
        <v>134</v>
      </c>
    </row>
    <row>
      <c s="19" t="s">
        <v>133</v>
      </c>
      <c s="19" t="s">
        <v>110</v>
      </c>
      <c s="19" t="s">
        <v>137</v>
      </c>
      <c s="7">
        <v>2</v>
      </c>
      <c s="7">
        <v>2</v>
      </c>
      <c s="7">
        <v>4</v>
      </c>
      <c s="12">
        <v>0.5</v>
      </c>
      <c s="12">
        <v>0.5</v>
      </c>
      <c s="7">
        <v>1</v>
      </c>
      <c s="22" t="s">
        <v>134</v>
      </c>
      <c s="7">
        <v>2</v>
      </c>
      <c s="7">
        <v>2</v>
      </c>
      <c s="7">
        <v>4</v>
      </c>
      <c s="12">
        <v>0.5</v>
      </c>
      <c s="12">
        <v>0.5</v>
      </c>
      <c s="7">
        <v>1</v>
      </c>
      <c s="22" t="s">
        <v>134</v>
      </c>
      <c s="7">
        <v>2</v>
      </c>
      <c s="7">
        <v>2</v>
      </c>
      <c s="7">
        <v>4</v>
      </c>
      <c s="12">
        <v>0.5</v>
      </c>
      <c s="12">
        <v>0.5</v>
      </c>
      <c s="7">
        <v>1</v>
      </c>
      <c s="22" t="s">
        <v>134</v>
      </c>
    </row>
    <row>
      <c s="19" t="s">
        <v>18</v>
      </c>
      <c s="19" t="s">
        <v>56</v>
      </c>
      <c s="19" t="s">
        <v>18</v>
      </c>
      <c s="7">
        <v>3</v>
      </c>
      <c s="7">
        <v>2</v>
      </c>
      <c s="7">
        <v>5</v>
      </c>
      <c s="12">
        <v>0.59999999999999998</v>
      </c>
      <c s="12">
        <v>0.40000000000000002</v>
      </c>
      <c s="7">
        <v>1</v>
      </c>
      <c s="22" t="s">
        <v>134</v>
      </c>
      <c s="7">
        <v>1</v>
      </c>
      <c s="7">
        <v>1</v>
      </c>
      <c s="7">
        <v>2</v>
      </c>
      <c s="12">
        <v>0.5</v>
      </c>
      <c s="12">
        <v>0.5</v>
      </c>
      <c s="7">
        <v>1</v>
      </c>
      <c s="22" t="s">
        <v>134</v>
      </c>
      <c s="7">
        <v>2</v>
      </c>
      <c s="7">
        <v>2</v>
      </c>
      <c s="7">
        <v>4</v>
      </c>
      <c s="12">
        <v>0.5</v>
      </c>
      <c s="12">
        <v>0.5</v>
      </c>
      <c s="7">
        <v>1</v>
      </c>
      <c s="22" t="s">
        <v>134</v>
      </c>
    </row>
    <row>
      <c s="19" t="s">
        <v>64</v>
      </c>
      <c s="19" t="s">
        <v>94</v>
      </c>
      <c s="19" t="s">
        <v>11</v>
      </c>
      <c s="7">
        <v>2</v>
      </c>
      <c s="7">
        <v>3</v>
      </c>
      <c s="7">
        <v>5</v>
      </c>
      <c s="12">
        <v>0.40000000000000002</v>
      </c>
      <c s="12">
        <v>0.59999999999999998</v>
      </c>
      <c s="7">
        <v>1</v>
      </c>
      <c s="22" t="s">
        <v>134</v>
      </c>
      <c s="7">
        <v>2</v>
      </c>
      <c s="7">
        <v>3</v>
      </c>
      <c s="7">
        <v>5</v>
      </c>
      <c s="12">
        <v>0.40000000000000002</v>
      </c>
      <c s="12">
        <v>0.59999999999999998</v>
      </c>
      <c s="7">
        <v>1</v>
      </c>
      <c s="22" t="s">
        <v>134</v>
      </c>
      <c s="7">
        <v>2</v>
      </c>
      <c s="7">
        <v>3</v>
      </c>
      <c s="7">
        <v>5</v>
      </c>
      <c s="12">
        <v>0.40000000000000002</v>
      </c>
      <c s="12">
        <v>0.59999999999999998</v>
      </c>
      <c s="7">
        <v>1</v>
      </c>
      <c s="22" t="s">
        <v>134</v>
      </c>
    </row>
    <row>
      <c s="19" t="s">
        <v>16</v>
      </c>
      <c s="19" t="s">
        <v>126</v>
      </c>
      <c s="19" t="s">
        <v>113</v>
      </c>
      <c s="7">
        <v>2</v>
      </c>
      <c s="7">
        <v>3</v>
      </c>
      <c s="7">
        <v>5</v>
      </c>
      <c s="12">
        <v>0.40000000000000002</v>
      </c>
      <c s="12">
        <v>0.59999999999999998</v>
      </c>
      <c s="7">
        <v>1</v>
      </c>
      <c s="22" t="s">
        <v>134</v>
      </c>
      <c s="7">
        <v>2</v>
      </c>
      <c s="7">
        <v>3</v>
      </c>
      <c s="7">
        <v>5</v>
      </c>
      <c s="12">
        <v>0.40000000000000002</v>
      </c>
      <c s="12">
        <v>0.59999999999999998</v>
      </c>
      <c s="7">
        <v>1</v>
      </c>
      <c s="22" t="s">
        <v>134</v>
      </c>
      <c s="7">
        <v>2</v>
      </c>
      <c s="7">
        <v>3</v>
      </c>
      <c s="7">
        <v>5</v>
      </c>
      <c s="12">
        <v>0.40000000000000002</v>
      </c>
      <c s="12">
        <v>0.59999999999999998</v>
      </c>
      <c s="7">
        <v>1</v>
      </c>
      <c s="22" t="s">
        <v>134</v>
      </c>
    </row>
    <row>
      <c s="19" t="s">
        <v>22</v>
      </c>
      <c s="19" t="s">
        <v>17</v>
      </c>
      <c s="19" t="s">
        <v>22</v>
      </c>
      <c s="7">
        <v>2</v>
      </c>
      <c s="7">
        <v>3</v>
      </c>
      <c s="7">
        <v>5</v>
      </c>
      <c s="12">
        <v>0.40000000000000002</v>
      </c>
      <c s="12">
        <v>0.59999999999999998</v>
      </c>
      <c s="7">
        <v>1</v>
      </c>
      <c s="22" t="s">
        <v>134</v>
      </c>
      <c s="7">
        <v>2</v>
      </c>
      <c s="7">
        <v>3</v>
      </c>
      <c s="7">
        <v>5</v>
      </c>
      <c s="12">
        <v>0.40000000000000002</v>
      </c>
      <c s="12">
        <v>0.59999999999999998</v>
      </c>
      <c s="7">
        <v>1</v>
      </c>
      <c s="22" t="s">
        <v>134</v>
      </c>
      <c s="7">
        <v>1</v>
      </c>
      <c s="7">
        <v>2</v>
      </c>
      <c s="7">
        <v>3</v>
      </c>
      <c s="12">
        <v>0.33000000000000002</v>
      </c>
      <c s="12">
        <v>0.67000000000000004</v>
      </c>
      <c s="7">
        <v>1</v>
      </c>
      <c s="22" t="s">
        <v>134</v>
      </c>
    </row>
    <row>
      <c s="19" t="s">
        <v>84</v>
      </c>
      <c s="19" t="s">
        <v>61</v>
      </c>
      <c s="19" t="s">
        <v>125</v>
      </c>
      <c s="7">
        <v>3</v>
      </c>
      <c s="7">
        <v>2</v>
      </c>
      <c s="7">
        <v>5</v>
      </c>
      <c s="12">
        <v>0.59999999999999998</v>
      </c>
      <c s="12">
        <v>0.40000000000000002</v>
      </c>
      <c s="7">
        <v>1</v>
      </c>
      <c s="22" t="s">
        <v>134</v>
      </c>
      <c s="7">
        <v>3</v>
      </c>
      <c s="7">
        <v>2</v>
      </c>
      <c s="7">
        <v>5</v>
      </c>
      <c s="12">
        <v>0.59999999999999998</v>
      </c>
      <c s="12">
        <v>0.40000000000000002</v>
      </c>
      <c s="7">
        <v>1</v>
      </c>
      <c s="22" t="s">
        <v>134</v>
      </c>
      <c s="7">
        <v>2</v>
      </c>
      <c s="7">
        <v>3</v>
      </c>
      <c s="7">
        <v>5</v>
      </c>
      <c s="12">
        <v>0.40000000000000002</v>
      </c>
      <c s="12">
        <v>0.59999999999999998</v>
      </c>
      <c s="7">
        <v>1</v>
      </c>
      <c s="22" t="s">
        <v>134</v>
      </c>
    </row>
    <row>
      <c s="19" t="s">
        <v>63</v>
      </c>
      <c s="19" t="s">
        <v>100</v>
      </c>
      <c s="19" t="s">
        <v>47</v>
      </c>
      <c s="7">
        <v>2</v>
      </c>
      <c s="7">
        <v>2</v>
      </c>
      <c s="7">
        <v>4</v>
      </c>
      <c s="12">
        <v>0.5</v>
      </c>
      <c s="12">
        <v>0.5</v>
      </c>
      <c s="7">
        <v>1</v>
      </c>
      <c s="22" t="s">
        <v>134</v>
      </c>
      <c s="7">
        <v>2</v>
      </c>
      <c s="7">
        <v>2</v>
      </c>
      <c s="7">
        <v>4</v>
      </c>
      <c s="12">
        <v>0.5</v>
      </c>
      <c s="12">
        <v>0.5</v>
      </c>
      <c s="7">
        <v>1</v>
      </c>
      <c s="22" t="s">
        <v>134</v>
      </c>
      <c s="7">
        <v>2</v>
      </c>
      <c s="7">
        <v>2</v>
      </c>
      <c s="7">
        <v>4</v>
      </c>
      <c s="12">
        <v>0.5</v>
      </c>
      <c s="12">
        <v>0.5</v>
      </c>
      <c s="7">
        <v>1</v>
      </c>
      <c s="22" t="s">
        <v>134</v>
      </c>
    </row>
    <row>
      <c s="19" t="s">
        <v>92</v>
      </c>
      <c s="19" t="s">
        <v>131</v>
      </c>
      <c s="19" t="s">
        <v>136</v>
      </c>
      <c s="7">
        <v>2</v>
      </c>
      <c s="7">
        <v>3</v>
      </c>
      <c s="7">
        <v>5</v>
      </c>
      <c s="12">
        <v>0.40000000000000002</v>
      </c>
      <c s="12">
        <v>0.59999999999999998</v>
      </c>
      <c s="7">
        <v>1</v>
      </c>
      <c s="22" t="s">
        <v>134</v>
      </c>
      <c s="7">
        <v>2</v>
      </c>
      <c s="7">
        <v>3</v>
      </c>
      <c s="7">
        <v>5</v>
      </c>
      <c s="12">
        <v>0.40000000000000002</v>
      </c>
      <c s="12">
        <v>0.59999999999999998</v>
      </c>
      <c s="7">
        <v>1</v>
      </c>
      <c s="22" t="s">
        <v>134</v>
      </c>
      <c s="7">
        <v>3</v>
      </c>
      <c s="7">
        <v>2</v>
      </c>
      <c s="7">
        <v>5</v>
      </c>
      <c s="12">
        <v>0.59999999999999998</v>
      </c>
      <c s="12">
        <v>0.40000000000000002</v>
      </c>
      <c s="7">
        <v>1</v>
      </c>
      <c s="22" t="s">
        <v>134</v>
      </c>
    </row>
    <row>
      <c s="19" t="s">
        <v>121</v>
      </c>
      <c s="19" t="s">
        <v>32</v>
      </c>
      <c s="19" t="s">
        <v>121</v>
      </c>
      <c s="7">
        <v>3</v>
      </c>
      <c s="7">
        <v>3</v>
      </c>
      <c s="7">
        <v>6</v>
      </c>
      <c s="12">
        <v>0.5</v>
      </c>
      <c s="12">
        <v>0.5</v>
      </c>
      <c s="7">
        <v>1</v>
      </c>
      <c s="22" t="s">
        <v>134</v>
      </c>
      <c s="7">
        <v>3</v>
      </c>
      <c s="7">
        <v>3</v>
      </c>
      <c s="7">
        <v>6</v>
      </c>
      <c s="12">
        <v>0.5</v>
      </c>
      <c s="12">
        <v>0.5</v>
      </c>
      <c s="7">
        <v>1</v>
      </c>
      <c s="22" t="s">
        <v>134</v>
      </c>
      <c s="7">
        <v>3</v>
      </c>
      <c s="7">
        <v>3</v>
      </c>
      <c s="7">
        <v>6</v>
      </c>
      <c s="12">
        <v>0.5</v>
      </c>
      <c s="12">
        <v>0.5</v>
      </c>
      <c s="7">
        <v>1</v>
      </c>
      <c s="22" t="s">
        <v>134</v>
      </c>
    </row>
    <row>
      <c s="19" t="s">
        <v>124</v>
      </c>
      <c s="19" t="s">
        <v>72</v>
      </c>
      <c s="19" t="s">
        <v>124</v>
      </c>
      <c s="7">
        <v>2</v>
      </c>
      <c s="7">
        <v>2</v>
      </c>
      <c s="7">
        <v>4</v>
      </c>
      <c s="12">
        <v>0.5</v>
      </c>
      <c s="12">
        <v>0.5</v>
      </c>
      <c s="7">
        <v>1</v>
      </c>
      <c s="22" t="s">
        <v>134</v>
      </c>
      <c s="7">
        <v>2</v>
      </c>
      <c s="7">
        <v>2</v>
      </c>
      <c s="7">
        <v>4</v>
      </c>
      <c s="12">
        <v>0.5</v>
      </c>
      <c s="12">
        <v>0.5</v>
      </c>
      <c s="7">
        <v>1</v>
      </c>
      <c s="22" t="s">
        <v>134</v>
      </c>
      <c s="7">
        <v>2</v>
      </c>
      <c s="7">
        <v>2</v>
      </c>
      <c s="7">
        <v>4</v>
      </c>
      <c s="12">
        <v>0.5</v>
      </c>
      <c s="12">
        <v>0.5</v>
      </c>
      <c s="7">
        <v>1</v>
      </c>
      <c s="22" t="s">
        <v>134</v>
      </c>
    </row>
    <row>
      <c s="19" t="s">
        <v>30</v>
      </c>
      <c s="19" t="s">
        <v>42</v>
      </c>
      <c s="19" t="s">
        <v>15</v>
      </c>
      <c s="7">
        <v>3</v>
      </c>
      <c s="7">
        <v>1</v>
      </c>
      <c s="7">
        <v>4</v>
      </c>
      <c s="12">
        <v>0.75</v>
      </c>
      <c s="12">
        <v>0.25</v>
      </c>
      <c s="7">
        <v>1</v>
      </c>
      <c s="22" t="s">
        <v>134</v>
      </c>
      <c s="7">
        <v>3</v>
      </c>
      <c s="7">
        <v>1</v>
      </c>
      <c s="7">
        <v>4</v>
      </c>
      <c s="12">
        <v>0.75</v>
      </c>
      <c s="12">
        <v>0.25</v>
      </c>
      <c s="7">
        <v>1</v>
      </c>
      <c s="22" t="s">
        <v>134</v>
      </c>
      <c s="7">
        <v>3</v>
      </c>
      <c s="7">
        <v>2</v>
      </c>
      <c s="7">
        <v>5</v>
      </c>
      <c s="12">
        <v>0.59999999999999998</v>
      </c>
      <c s="12">
        <v>0.40000000000000002</v>
      </c>
      <c s="7">
        <v>1</v>
      </c>
      <c s="22" t="s">
        <v>134</v>
      </c>
    </row>
    <row>
      <c s="19" t="s">
        <v>79</v>
      </c>
      <c s="19" t="s">
        <v>80</v>
      </c>
      <c s="19" t="s">
        <v>103</v>
      </c>
      <c s="7">
        <v>3</v>
      </c>
      <c s="7">
        <v>2</v>
      </c>
      <c s="7">
        <v>5</v>
      </c>
      <c s="12">
        <v>0.59999999999999998</v>
      </c>
      <c s="12">
        <v>0.40000000000000002</v>
      </c>
      <c s="7">
        <v>1</v>
      </c>
      <c s="22" t="s">
        <v>134</v>
      </c>
      <c s="7">
        <v>3</v>
      </c>
      <c s="7">
        <v>2</v>
      </c>
      <c s="7">
        <v>5</v>
      </c>
      <c s="12">
        <v>0.59999999999999998</v>
      </c>
      <c s="12">
        <v>0.40000000000000002</v>
      </c>
      <c s="7">
        <v>1</v>
      </c>
      <c s="22" t="s">
        <v>134</v>
      </c>
      <c s="7">
        <v>3</v>
      </c>
      <c s="7">
        <v>2</v>
      </c>
      <c s="7">
        <v>5</v>
      </c>
      <c s="12">
        <v>0.59999999999999998</v>
      </c>
      <c s="12">
        <v>0.40000000000000002</v>
      </c>
      <c s="7">
        <v>1</v>
      </c>
      <c s="22" t="s">
        <v>134</v>
      </c>
    </row>
    <row>
      <c s="19" t="s">
        <v>48</v>
      </c>
      <c s="19" t="s">
        <v>114</v>
      </c>
      <c s="19" t="s">
        <v>130</v>
      </c>
      <c s="7">
        <v>2</v>
      </c>
      <c s="7">
        <v>2</v>
      </c>
      <c s="7">
        <v>4</v>
      </c>
      <c s="12">
        <v>0.5</v>
      </c>
      <c s="12">
        <v>0.5</v>
      </c>
      <c s="7">
        <v>1</v>
      </c>
      <c s="22" t="s">
        <v>134</v>
      </c>
      <c s="7">
        <v>2</v>
      </c>
      <c s="7">
        <v>2</v>
      </c>
      <c s="7">
        <v>4</v>
      </c>
      <c s="12">
        <v>0.5</v>
      </c>
      <c s="12">
        <v>0.5</v>
      </c>
      <c s="7">
        <v>1</v>
      </c>
      <c s="22" t="s">
        <v>134</v>
      </c>
      <c s="7">
        <v>2</v>
      </c>
      <c s="7">
        <v>2</v>
      </c>
      <c s="7">
        <v>4</v>
      </c>
      <c s="12">
        <v>0.5</v>
      </c>
      <c s="12">
        <v>0.5</v>
      </c>
      <c s="7">
        <v>1</v>
      </c>
      <c s="22" t="s">
        <v>134</v>
      </c>
    </row>
    <row>
      <c s="19" t="s">
        <v>29</v>
      </c>
      <c s="19" t="s">
        <v>5</v>
      </c>
      <c s="19" t="s">
        <v>54</v>
      </c>
      <c s="7">
        <v>2</v>
      </c>
      <c s="7">
        <v>3</v>
      </c>
      <c s="7">
        <v>5</v>
      </c>
      <c s="12">
        <v>0.40000000000000002</v>
      </c>
      <c s="12">
        <v>0.59999999999999998</v>
      </c>
      <c s="7">
        <v>1</v>
      </c>
      <c s="22" t="s">
        <v>134</v>
      </c>
      <c s="7">
        <v>3</v>
      </c>
      <c s="7">
        <v>2</v>
      </c>
      <c s="7">
        <v>5</v>
      </c>
      <c s="12">
        <v>0.59999999999999998</v>
      </c>
      <c s="12">
        <v>0.40000000000000002</v>
      </c>
      <c s="7">
        <v>1</v>
      </c>
      <c s="22" t="s">
        <v>134</v>
      </c>
      <c s="7">
        <v>3</v>
      </c>
      <c s="7">
        <v>2</v>
      </c>
      <c s="7">
        <v>5</v>
      </c>
      <c s="12">
        <v>0.59999999999999998</v>
      </c>
      <c s="12">
        <v>0.40000000000000002</v>
      </c>
      <c s="7">
        <v>1</v>
      </c>
      <c s="22" t="s">
        <v>134</v>
      </c>
    </row>
    <row>
      <c s="19" t="s">
        <v>101</v>
      </c>
      <c s="19" t="s">
        <v>39</v>
      </c>
      <c s="19" t="s">
        <v>78</v>
      </c>
      <c s="7">
        <v>3</v>
      </c>
      <c s="7">
        <v>1</v>
      </c>
      <c s="7">
        <v>4</v>
      </c>
      <c s="12">
        <v>0.75</v>
      </c>
      <c s="12">
        <v>0.25</v>
      </c>
      <c s="7">
        <v>1</v>
      </c>
      <c s="22" t="s">
        <v>134</v>
      </c>
      <c s="7">
        <v>3</v>
      </c>
      <c s="7">
        <v>1</v>
      </c>
      <c s="7">
        <v>4</v>
      </c>
      <c s="12">
        <v>0.75</v>
      </c>
      <c s="12">
        <v>0.25</v>
      </c>
      <c s="7">
        <v>1</v>
      </c>
      <c s="22" t="s">
        <v>134</v>
      </c>
      <c s="7">
        <v>3</v>
      </c>
      <c s="7">
        <v>1</v>
      </c>
      <c s="7">
        <v>4</v>
      </c>
      <c s="12">
        <v>0.75</v>
      </c>
      <c s="12">
        <v>0.25</v>
      </c>
      <c s="7">
        <v>1</v>
      </c>
      <c s="22" t="s">
        <v>134</v>
      </c>
    </row>
    <row>
      <c s="19" t="s">
        <v>53</v>
      </c>
      <c s="19" t="s">
        <v>4</v>
      </c>
      <c s="19" t="s">
        <v>44</v>
      </c>
      <c s="7">
        <v>1</v>
      </c>
      <c s="7">
        <v>2</v>
      </c>
      <c s="7">
        <v>3</v>
      </c>
      <c s="12">
        <v>0.33329999999999999</v>
      </c>
      <c s="12">
        <v>0.66670000000000007</v>
      </c>
      <c s="7">
        <v>1</v>
      </c>
      <c s="22" t="s">
        <v>134</v>
      </c>
      <c s="7">
        <v>1</v>
      </c>
      <c s="7">
        <v>2</v>
      </c>
      <c s="7">
        <v>3</v>
      </c>
      <c s="12">
        <v>0.33329999999999999</v>
      </c>
      <c s="12">
        <v>0.66670000000000007</v>
      </c>
      <c s="7">
        <v>1</v>
      </c>
      <c s="22" t="s">
        <v>134</v>
      </c>
      <c s="7">
        <v>1</v>
      </c>
      <c s="7">
        <v>2</v>
      </c>
      <c s="7">
        <v>3</v>
      </c>
      <c s="12">
        <v>0.33329999999999999</v>
      </c>
      <c s="12">
        <v>0.66670000000000007</v>
      </c>
      <c s="7">
        <v>1</v>
      </c>
      <c s="22" t="s">
        <v>134</v>
      </c>
    </row>
    <row>
      <c s="19" t="s">
        <v>43</v>
      </c>
      <c s="19" t="s">
        <v>97</v>
      </c>
      <c s="19" t="s">
        <v>71</v>
      </c>
      <c s="7">
        <v>1</v>
      </c>
      <c s="7">
        <v>2</v>
      </c>
      <c s="7">
        <v>3</v>
      </c>
      <c s="12">
        <v>0.33329999999999999</v>
      </c>
      <c s="12">
        <v>0.66670000000000007</v>
      </c>
      <c s="7">
        <v>1</v>
      </c>
      <c s="22" t="s">
        <v>134</v>
      </c>
      <c s="7">
        <v>1</v>
      </c>
      <c s="7">
        <v>2</v>
      </c>
      <c s="7">
        <v>3</v>
      </c>
      <c s="12">
        <v>0.33329999999999999</v>
      </c>
      <c s="12">
        <v>0.66670000000000007</v>
      </c>
      <c s="7">
        <v>1</v>
      </c>
      <c s="22" t="s">
        <v>134</v>
      </c>
      <c s="7">
        <v>1</v>
      </c>
      <c s="7">
        <v>2</v>
      </c>
      <c s="7">
        <v>3</v>
      </c>
      <c s="12">
        <v>0.33329999999999999</v>
      </c>
      <c s="12">
        <v>0.66670000000000007</v>
      </c>
      <c s="7">
        <v>1</v>
      </c>
      <c s="22" t="s">
        <v>134</v>
      </c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 s="2"/>
      <c s="2"/>
      <c s="2"/>
      <c s="2"/>
      <c s="2"/>
      <c s="2"/>
      <c s="2"/>
      <c s="2"/>
      <c s="2"/>
      <c s="2"/>
      <c s="2"/>
    </row>
    <row>
      <c s="2"/>
      <c s="2"/>
      <c s="2"/>
      <c s="2"/>
      <c s="2"/>
      <c s="2"/>
      <c s="2"/>
      <c s="2"/>
      <c s="2"/>
      <c s="2"/>
      <c s="2"/>
    </row>
    <row>
      <c s="2"/>
      <c s="2"/>
      <c s="2"/>
      <c s="2"/>
      <c s="2"/>
      <c s="2"/>
      <c s="2"/>
      <c s="2"/>
      <c s="2"/>
      <c s="2"/>
      <c s="2"/>
    </row>
    <row>
      <c s="62"/>
      <c s="8"/>
      <c s="8"/>
      <c s="8"/>
      <c s="8"/>
      <c s="8"/>
      <c s="8"/>
      <c s="8"/>
      <c s="8"/>
      <c s="8"/>
      <c s="2"/>
    </row>
    <row>
      <c s="2"/>
      <c s="2"/>
      <c s="2"/>
      <c s="2"/>
      <c s="2"/>
      <c s="2"/>
      <c s="2"/>
      <c s="2"/>
      <c s="2"/>
      <c s="2"/>
      <c s="2"/>
    </row>
    <row>
      <c s="2"/>
      <c s="2"/>
      <c s="2"/>
      <c s="2"/>
      <c s="2"/>
      <c s="2"/>
      <c s="2"/>
      <c s="2"/>
      <c s="2"/>
      <c s="2"/>
      <c s="2"/>
    </row>
    <row>
      <c s="2"/>
      <c s="2"/>
      <c s="2"/>
      <c s="2"/>
      <c s="2"/>
      <c s="2"/>
      <c s="2"/>
      <c s="2"/>
      <c s="2"/>
      <c s="2"/>
      <c s="2"/>
    </row>
    <row>
      <c s="2"/>
      <c s="2"/>
      <c s="2"/>
      <c s="2"/>
      <c s="2"/>
      <c s="2"/>
      <c s="2"/>
      <c s="2"/>
      <c s="2"/>
      <c s="2"/>
      <c s="2"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</sheetData>
  <mergeCells count="10">
    <mergeCell ref="A4:D4"/>
    <mergeCell ref="A7:J7"/>
    <mergeCell ref="A8:J8"/>
    <mergeCell ref="A10:H10"/>
    <mergeCell ref="D18:J18"/>
    <mergeCell ref="K18:Q18"/>
    <mergeCell ref="R18:X18"/>
    <mergeCell ref="D19:J19"/>
    <mergeCell ref="K19:Q19"/>
    <mergeCell ref="R19:X19"/>
  </mergeCells>
  <pageMargins left="0.70866141732283472" right="0.70866141732283472" top="0.78740157480314965" bottom="0.78740157480314965" header="0.31496062992125984" footer="0.31496062992125984"/>
  <pageSetup paperSize="9" scale="83" fitToWidth="0" orientation="landscape"/>
  <headerFooter>
    <oddHeader>&amp;L&amp;"Tahoma,Standard"&amp;10unidata.gv.at&amp;R&amp;"Tahoma,Standard"&amp;10&amp;D</oddHeader>
    <oddFooter>&amp;R&amp;"Tahoma,Standard"&amp;10&amp;P/&amp;N</oddFooter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Z46"/>
  <sheetViews>
    <sheetView topLeftCell="A26" workbookViewId="0">
      <selection activeCell="C47" sqref="C47"/>
    </sheetView>
  </sheetViews>
  <sheetFormatPr defaultColWidth="9.140625" defaultRowHeight="13.6"/>
  <cols>
    <col min="1" max="1" width="13.7109375" style="27" customWidth="1"/>
    <col min="2" max="2" width="40.85546875" style="27" customWidth="1"/>
    <col min="3" max="3" width="20.7109375" style="27" customWidth="1"/>
    <col min="4" max="4" width="16.28515625" style="27" customWidth="1"/>
    <col min="5" max="5" width="19.28515625" style="27" customWidth="1"/>
    <col min="6" max="6" width="11.140625" style="27" customWidth="1"/>
    <col min="7" max="7" width="9.140625" style="27"/>
    <col min="8" max="8" width="17.28515625" style="27" customWidth="1"/>
    <col min="9" max="9" width="19.7109375" style="27" customWidth="1"/>
    <col min="10" max="12" width="12.28515625" style="27" customWidth="1"/>
    <col min="13" max="13" width="16" style="27" bestFit="1" customWidth="1"/>
    <col min="14" max="14" width="14.28515625" style="27" bestFit="1" customWidth="1"/>
    <col min="15" max="15" width="18.28515625" style="27" bestFit="1" customWidth="1"/>
    <col min="16" max="25" width="9.140625" style="27"/>
    <col min="26" max="26" width="9.140625" style="27" hidden="1" customWidth="1"/>
    <col min="27" max="16384" width="9.140625" style="27"/>
  </cols>
  <sheetData>
    <row>
      <c s="34"/>
      <c r="H1" s="67">
        <v>129806172700000000</v>
      </c>
      <c r="Z1" s="46" t="b">
        <f>0=1</f>
        <v>0</v>
      </c>
    </row>
    <row>
      <c r="Z2" s="46" t="b">
        <f>1=1</f>
        <v>1</v>
      </c>
    </row>
    <row>
      <c r="Z3" s="46"/>
    </row>
    <row>
      <c r="I4" s="27" t="s">
        <v>46</v>
      </c>
      <c s="68" t="s">
        <v>95</v>
      </c>
      <c s="17"/>
      <c s="17"/>
      <c s="17"/>
      <c s="17"/>
      <c s="17"/>
    </row>
    <row>
      <c r="J5" s="33" t="s">
        <v>33</v>
      </c>
      <c s="23" t="s">
        <v>73</v>
      </c>
      <c s="23" t="s">
        <v>86</v>
      </c>
      <c s="33" t="s">
        <v>127</v>
      </c>
      <c s="63" t="s">
        <v>104</v>
      </c>
      <c s="23" t="s">
        <v>0</v>
      </c>
    </row>
    <row>
      <c r="B6" s="29" t="s">
        <v>105</v>
      </c>
      <c s="18" t="s">
        <v>115</v>
      </c>
      <c s="44" t="s">
        <v>7</v>
      </c>
      <c s="13" t="s">
        <v>74</v>
      </c>
    </row>
    <row>
      <c r="C7" s="21"/>
      <c s="31" t="s">
        <v>8</v>
      </c>
      <c s="13" t="s">
        <v>81</v>
      </c>
    </row>
    <row>
      <c r="C8" s="31" t="s">
        <v>1</v>
      </c>
      <c s="21"/>
    </row>
    <row>
      <c r="C9" s="21"/>
      <c s="18" t="s">
        <v>34</v>
      </c>
      <c s="56"/>
    </row>
    <row>
      <c r="C10" s="18" t="s">
        <v>57</v>
      </c>
      <c s="49" t="s">
        <v>87</v>
      </c>
      <c s="13" t="s">
        <v>14</v>
      </c>
    </row>
    <row>
      <c r="B11" s="29" t="s">
        <v>75</v>
      </c>
      <c s="37" t="s">
        <v>58</v>
      </c>
      <c s="64">
        <v>60398</v>
      </c>
      <c s="13" t="s">
        <v>35</v>
      </c>
    </row>
    <row>
      <c r="B12" s="29"/>
      <c s="52"/>
      <c s="61"/>
      <c s="57" t="s">
        <v>96</v>
      </c>
    </row>
    <row>
      <c r="B13" s="29" t="s">
        <v>59</v>
      </c>
      <c s="39" t="s">
        <v>23</v>
      </c>
      <c s="38">
        <v>1212</v>
      </c>
      <c s="27" t="b">
        <v>0</v>
      </c>
      <c s="13" t="s">
        <v>88</v>
      </c>
    </row>
    <row ht="12.75" hidden="1">
      <c r="B14" s="29"/>
      <c s="39"/>
      <c s="66"/>
      <c s="27" t="b">
        <v>0</v>
      </c>
    </row>
    <row>
      <c r="B15" s="29" t="s">
        <v>116</v>
      </c>
      <c s="27" t="s">
        <v>119</v>
      </c>
      <c s="51">
        <v>1212</v>
      </c>
      <c s="27" t="b">
        <v>0</v>
      </c>
      <c s="13" t="s">
        <v>24</v>
      </c>
    </row>
    <row ht="12.75" hidden="1">
      <c r="B16" s="29"/>
      <c r="D16" s="24"/>
      <c s="27" t="b">
        <v>0</v>
      </c>
      <c s="13"/>
    </row>
    <row>
      <c r="B17" s="29"/>
      <c s="27" t="s">
        <v>36</v>
      </c>
      <c s="43">
        <v>3434</v>
      </c>
      <c s="27" t="b">
        <v>0</v>
      </c>
      <c s="13" t="s">
        <v>89</v>
      </c>
    </row>
    <row>
      <c r="B18" s="29"/>
      <c r="D18" s="24"/>
      <c s="27" t="b">
        <v>0</v>
      </c>
      <c s="13"/>
    </row>
    <row>
      <c r="B19" s="29"/>
      <c s="27" t="s">
        <v>2</v>
      </c>
      <c s="36">
        <v>3434</v>
      </c>
      <c s="27" t="b">
        <v>0</v>
      </c>
      <c s="13" t="s">
        <v>106</v>
      </c>
    </row>
    <row>
      <c r="B20" s="29"/>
      <c r="D20" s="24"/>
      <c s="27" t="b">
        <v>0</v>
      </c>
      <c s="13"/>
    </row>
    <row>
      <c r="B21" s="29"/>
      <c s="27" t="s">
        <v>107</v>
      </c>
      <c s="42">
        <v>5656</v>
      </c>
      <c s="27" t="b">
        <v>0</v>
      </c>
      <c s="13" t="s">
        <v>128</v>
      </c>
    </row>
    <row>
      <c r="B22" s="29"/>
      <c r="E22" s="13"/>
      <c r="I22" s="47"/>
    </row>
    <row>
      <c r="B23" s="28" t="s">
        <v>3</v>
      </c>
      <c s="28"/>
    </row>
    <row>
      <c r="B24" s="10" t="s">
        <v>76</v>
      </c>
      <c s="10" t="s">
        <v>37</v>
      </c>
      <c s="10" t="s">
        <v>9</v>
      </c>
      <c s="10" t="s">
        <v>108</v>
      </c>
      <c s="10"/>
      <c s="10"/>
      <c s="10" t="s">
        <v>129</v>
      </c>
    </row>
    <row>
      <c r="C25" s="48" t="s">
        <v>60</v>
      </c>
      <c s="32" t="s">
        <v>52</v>
      </c>
      <c s="30">
        <v>1234.5599999999999</v>
      </c>
      <c s="13"/>
    </row>
    <row>
      <c r="C26" s="48" t="s">
        <v>60</v>
      </c>
      <c s="32" t="s">
        <v>52</v>
      </c>
      <c s="30">
        <v>1234.5599999999999</v>
      </c>
      <c s="13"/>
    </row>
    <row>
      <c r="C27" s="48" t="s">
        <v>60</v>
      </c>
      <c s="32" t="s">
        <v>52</v>
      </c>
      <c s="30">
        <v>1234.5599999999999</v>
      </c>
    </row>
    <row>
      <c r="C28" s="65" t="s">
        <v>60</v>
      </c>
      <c s="32" t="s">
        <v>26</v>
      </c>
      <c s="30">
        <v>1234.5599999999999</v>
      </c>
    </row>
    <row>
      <c r="C29" s="65" t="s">
        <v>77</v>
      </c>
      <c s="41" t="s">
        <v>10</v>
      </c>
      <c s="45">
        <v>1234.5599999999999</v>
      </c>
    </row>
    <row>
      <c r="C30" s="65" t="s">
        <v>77</v>
      </c>
      <c s="59" t="s">
        <v>62</v>
      </c>
      <c s="55">
        <v>1234.5599999999999</v>
      </c>
    </row>
    <row>
      <c r="C31" s="65" t="s">
        <v>77</v>
      </c>
      <c s="26" t="s">
        <v>134</v>
      </c>
      <c s="69">
        <v>1234.5599999999999</v>
      </c>
    </row>
    <row>
      <c r="C32" s="65" t="s">
        <v>117</v>
      </c>
      <c s="50">
        <v>2010</v>
      </c>
      <c s="53">
        <v>1234.5599999999999</v>
      </c>
    </row>
    <row>
      <c r="C33" s="65" t="s">
        <v>117</v>
      </c>
      <c s="58">
        <v>2011</v>
      </c>
      <c s="26">
        <v>1234.5599999999999</v>
      </c>
    </row>
    <row>
      <c r="C34" s="65" t="s">
        <v>117</v>
      </c>
      <c s="32">
        <v>2012</v>
      </c>
      <c s="30">
        <v>1234.5599999999999</v>
      </c>
    </row>
    <row>
      <c r="C35" s="65" t="s">
        <v>117</v>
      </c>
      <c s="32">
        <v>2013</v>
      </c>
      <c s="30">
        <v>1234.5599999999999</v>
      </c>
    </row>
    <row>
      <c r="C36" s="65" t="s">
        <v>117</v>
      </c>
      <c s="32">
        <v>2014</v>
      </c>
      <c s="30">
        <v>1234.5599999999999</v>
      </c>
    </row>
    <row>
      <c r="C37" s="65" t="s">
        <v>117</v>
      </c>
      <c s="32">
        <v>2015</v>
      </c>
      <c s="30">
        <v>1234.5599999999999</v>
      </c>
    </row>
    <row>
      <c r="C38" s="65" t="s">
        <v>117</v>
      </c>
      <c s="32">
        <v>2016</v>
      </c>
      <c s="30">
        <v>1234.5599999999999</v>
      </c>
    </row>
    <row>
      <c r="C39" s="65" t="s">
        <v>117</v>
      </c>
      <c s="32">
        <v>2017</v>
      </c>
      <c s="30">
        <v>1234.5599999999999</v>
      </c>
    </row>
    <row>
      <c r="C40" s="65" t="s">
        <v>117</v>
      </c>
      <c s="32">
        <v>2018</v>
      </c>
      <c s="30">
        <v>1234.5599999999999</v>
      </c>
    </row>
    <row>
      <c r="C41" s="65" t="s">
        <v>117</v>
      </c>
      <c s="32">
        <v>2019</v>
      </c>
      <c s="30">
        <v>1234.5599999999999</v>
      </c>
    </row>
    <row>
      <c r="C42" s="27" t="s">
        <v>117</v>
      </c>
      <c s="32">
        <v>2020</v>
      </c>
      <c s="30">
        <v>1234.5599999999999</v>
      </c>
    </row>
    <row>
      <c r="C43" s="27" t="s">
        <v>117</v>
      </c>
      <c s="32">
        <v>2021</v>
      </c>
      <c s="30">
        <v>1234.5599999999999</v>
      </c>
    </row>
    <row>
      <c r="C44" s="27" t="s">
        <v>117</v>
      </c>
      <c s="32">
        <v>2022</v>
      </c>
      <c s="30">
        <v>1234.5599999999999</v>
      </c>
    </row>
    <row>
      <c r="C45" s="27" t="s">
        <v>117</v>
      </c>
      <c s="32">
        <v>2023</v>
      </c>
      <c s="30">
        <v>1234.5599999999999</v>
      </c>
    </row>
    <row>
      <c r="C46" s="27" t="s">
        <v>117</v>
      </c>
      <c s="32">
        <v>2024</v>
      </c>
      <c s="30">
        <v>1234.5599999999999</v>
      </c>
    </row>
  </sheetData>
  <mergeCells count="2">
    <mergeCell ref="J4:O4"/>
    <mergeCell ref="B23:C23"/>
  </mergeCells>
  <dataValidations count="1">
    <dataValidation type="list" allowBlank="1" showInputMessage="1" showErrorMessage="1" sqref="E13:E21">
      <formula1>$Z$1:$Z$2</formula1>
    </dataValidation>
  </dataValidations>
  <pageMargins left="0.7" right="0.7" top="0.787401575" bottom="0.787401575" header="0.3" footer="0.3"/>
  <pageSetup paperSize="9" orientation="portrait"/>
  <drawing r:id="rId1"/>
</worksheet>
</file>
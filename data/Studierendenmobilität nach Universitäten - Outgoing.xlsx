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28800" windowHeight="12300"/>
  </bookViews>
  <sheets>
    <sheet name="Tab" sheetId="1" r:id="rId1"/>
    <sheet name="XLCubedFormats" sheetId="2" state="hidden" r:id="rId2"/>
  </sheets>
  <definedNames>
    <definedName name="XL3DisableCameraObjects" hidden="1">XLCubedFormats!A1</definedName>
    <definedName name="XL3ObjLocation7dceec59_4ecc_43d9_9952_214f9d93ad68">Tab!$A$10</definedName>
  </definedNames>
  <calcPr calcId="40001"/>
</workbook>
</file>

<file path=xl/sharedStrings.xml><?xml version="1.0" encoding="utf-8"?>
<sst xmlns="http://schemas.openxmlformats.org/spreadsheetml/2006/main" uniqueCount="100">
  <si>
    <t>Universität</t>
  </si>
  <si>
    <t>Wirtschaftsuniversität Wien</t>
  </si>
  <si>
    <t>Semester und Datenstichtag</t>
  </si>
  <si>
    <t>Frauen</t>
  </si>
  <si>
    <t>Slicer Button Background</t>
  </si>
  <si>
    <t>Grid Title</t>
  </si>
  <si>
    <t>Oth Written Member</t>
  </si>
  <si>
    <t>Fill in Grid Name, Dimension or Both</t>
  </si>
  <si>
    <t>[ALLG Wertart].[Wertart]</t>
  </si>
  <si>
    <t>ALLG Semester.Studienjahr (Kurzbezeichnung)</t>
  </si>
  <si>
    <t>Outgoing</t>
  </si>
  <si>
    <t>Absolutwert</t>
  </si>
  <si>
    <t>Universität für Musik und darstellende Kunst Wien</t>
  </si>
  <si>
    <t>All Marital Status</t>
  </si>
  <si>
    <t>Male</t>
  </si>
  <si>
    <t>Member1 Name</t>
  </si>
  <si>
    <t>Anmerkung: Ab dem WS 2016 erfolgt die zähltechnische Abbildung der Studierenden auf Basis des Verteilungsschlüssels gemäß § 22 Abs. 2 UHSBV.</t>
  </si>
  <si>
    <t>Mobilitätsprogramm</t>
  </si>
  <si>
    <t>Universität für angewandte Kunst Wien</t>
  </si>
  <si>
    <t>Universität Wien</t>
  </si>
  <si>
    <t>&lt;-- default Column Member Format</t>
  </si>
  <si>
    <t>Ordentliche Studierende, die einen Auslandsaufenthalt im Rahmen eines geförderten Mobilitätsprogramms absolvieren.</t>
  </si>
  <si>
    <t>Gesamt</t>
  </si>
  <si>
    <t>Universität Mozarteum Salzburg</t>
  </si>
  <si>
    <t>Universität Klagenfurt</t>
  </si>
  <si>
    <t>Alternate Rows</t>
  </si>
  <si>
    <t>&lt;--  writeable cell format</t>
  </si>
  <si>
    <t>Studierendenmobilität nach Universitäten - Outgoing</t>
  </si>
  <si>
    <t>Slicer Title</t>
  </si>
  <si>
    <t>Calendar Period</t>
  </si>
  <si>
    <t>&lt;-- default cell format</t>
  </si>
  <si>
    <t>Written Member</t>
  </si>
  <si>
    <t>Dimension/Column</t>
  </si>
  <si>
    <t>4) Prozentangaben werden standardmäßig mit einer Kommastelle angezeigt</t>
  </si>
  <si>
    <t>Internationale Mobilität</t>
  </si>
  <si>
    <t>Wertart</t>
  </si>
  <si>
    <t>GL Staatsangehörigkeit (Kurzbezeichnung)</t>
  </si>
  <si>
    <t>Medizinische Universität Innsbruck</t>
  </si>
  <si>
    <t>Männer</t>
  </si>
  <si>
    <t>Slice Name (Optional)</t>
  </si>
  <si>
    <t>Measures</t>
  </si>
  <si>
    <t>Veterinärmedizinische Universität Wien</t>
  </si>
  <si>
    <t>Montanuniversität Leoben</t>
  </si>
  <si>
    <t>Customer</t>
  </si>
  <si>
    <t>-All Customer</t>
  </si>
  <si>
    <t>Default Alternate Row Member Format --&gt;</t>
  </si>
  <si>
    <t>Medizinische Universität Graz</t>
  </si>
  <si>
    <t>Universität Innsbruck</t>
  </si>
  <si>
    <t>Slicer Item</t>
  </si>
  <si>
    <t>&lt;-- default Slicer Member Format</t>
  </si>
  <si>
    <t>Default Row Member Format --&gt;</t>
  </si>
  <si>
    <t>Grid/Table Name</t>
  </si>
  <si>
    <t>[Measures]</t>
  </si>
  <si>
    <t>Studierende Universitäten</t>
  </si>
  <si>
    <t>Technische Universität Graz</t>
  </si>
  <si>
    <t>&lt;-- writeable Slicer Member Format</t>
  </si>
  <si>
    <t>Slice Format 1</t>
  </si>
  <si>
    <t>&lt;-- Gesamtzeile</t>
  </si>
  <si>
    <t>3) Formatierung der Gesamtspalte und -zeile (siehe E25:E26)</t>
  </si>
  <si>
    <t>Frauen-/Männeranteil in %</t>
  </si>
  <si>
    <t>Universität für künstlerische und industrielle Gestaltung Linz</t>
  </si>
  <si>
    <t>Slicer Button</t>
  </si>
  <si>
    <t>+2009</t>
  </si>
  <si>
    <t>&lt;-- default alternate row cell format</t>
  </si>
  <si>
    <t>&lt;--  written cell format</t>
  </si>
  <si>
    <t>In Prozent</t>
  </si>
  <si>
    <t>2024/25</t>
  </si>
  <si>
    <t>Insgesamt (bereinigt)</t>
  </si>
  <si>
    <t>Akademie der bildenden Künste Wien</t>
  </si>
  <si>
    <t>Display Formats For:</t>
  </si>
  <si>
    <t>Enabled?</t>
  </si>
  <si>
    <t>&lt;-- Gesamtspalte</t>
  </si>
  <si>
    <t>Datenprüfung und -aufbereitung: bmfwf, Abt. I/10</t>
  </si>
  <si>
    <t>Universität für Musik und darstellende Kunst Graz</t>
  </si>
  <si>
    <t>Universität Graz</t>
  </si>
  <si>
    <t>Slicer Button Hover</t>
  </si>
  <si>
    <t>Label Format--&gt;</t>
  </si>
  <si>
    <t>&lt;--  written cell by another user cell format</t>
  </si>
  <si>
    <t>Summary Written Member</t>
  </si>
  <si>
    <t>Data Format</t>
  </si>
  <si>
    <t>[SU Studierende].[Geschlecht]</t>
  </si>
  <si>
    <t>1) Spaltenüberschrift mittels Menüpunkt Daten/Gruppieren/Gruppieren ausblenden</t>
  </si>
  <si>
    <t>Universität Linz</t>
  </si>
  <si>
    <t>Universität für Bodenkultur Wien</t>
  </si>
  <si>
    <t>Universität Salzburg</t>
  </si>
  <si>
    <t>Medizinische Universität Wien</t>
  </si>
  <si>
    <t>Marital Status</t>
  </si>
  <si>
    <t>Default Writeable Member Format --&gt;</t>
  </si>
  <si>
    <t>Slice Format 2</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</si>
  <si>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</si>
  <si>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</si>
  <si>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GL Kontinent</t>
  </si>
  <si>
    <t>Technische Universität Wien</t>
  </si>
  <si>
    <t>Writeable Member</t>
  </si>
  <si>
    <t>Geschlecht</t>
  </si>
  <si>
    <t>Slicer Button Selected</t>
  </si>
  <si>
    <t>&lt;--  summary written cell</t>
  </si>
  <si>
    <t>Formatierungsrichtlinien</t>
  </si>
  <si>
    <t>2) Wenn möglich die nicht hierarchische Darstellung eines Slicers wählen (Slicer Type)</t>
  </si>
  <si>
    <t>5) Formatierung von Zahlen prüfen (Ganzzahl oder Zahl mit einer Kommastelle)</t>
  </si>
</sst>
</file>

<file path=xl/styles.xml><?xml version="1.0" encoding="utf-8"?>
<styleSheet xmlns="http://schemas.openxmlformats.org/spreadsheetml/2006/main">
  <numFmts count="2">
    <numFmt numFmtId="164" formatCode="0.0%"/>
    <numFmt numFmtId="165" formatCode=";;;"/>
  </numFmts>
  <fonts count="35">
    <font>
      <sz val="11"/>
      <color theme="1"/>
      <name val="Calibri"/>
      <family val="2"/>
      <scheme val="minor"/>
    </font>
    <font>
      <sz val="11"/>
      <color indexed="8"/>
      <name val="Calibri"/>
      <family val="2"/>
    </font>
    <font>
      <sz val="11"/>
      <name val="Calibri"/>
      <family val="2"/>
      <scheme val="minor"/>
    </font>
    <font>
      <sz val="10"/>
      <color rgb="FF000000"/>
      <name val="Tahoma"/>
      <family val="2"/>
    </font>
    <font>
      <b/>
      <sz val="11"/>
      <name val="Calibri"/>
      <family val="2"/>
      <scheme val="minor"/>
    </font>
    <font>
      <b/>
      <sz val="10"/>
      <name val="Tahoma"/>
      <family val="2"/>
    </font>
    <font>
      <b/>
      <sz val="8"/>
      <color indexed="23"/>
      <name val="Tahoma"/>
      <family val="2"/>
    </font>
    <font>
      <sz val="11"/>
      <color rgb="FF000000"/>
      <name val="Tahoma"/>
      <family val="2"/>
    </font>
    <font>
      <sz val="10"/>
      <color rgb="FF262626"/>
      <name val="Tahoma"/>
      <family val="2"/>
    </font>
    <font>
      <sz val="9"/>
      <name val="Tahoma"/>
      <family val="2"/>
    </font>
    <font>
      <b/>
      <sz val="11"/>
      <color rgb="FF000000"/>
      <name val="Tahoma"/>
      <family val="2"/>
    </font>
    <font>
      <sz val="10"/>
      <color rgb="FF595959"/>
      <name val="Tahoma"/>
    </font>
    <font>
      <b/>
      <sz val="11"/>
      <color theme="1"/>
      <name val="Calibri"/>
      <family val="2"/>
      <scheme val="minor"/>
    </font>
    <font>
      <sz val="10"/>
      <color theme="1" tint="0.34998626667073579"/>
      <name val="Tahoma"/>
      <family val="2"/>
    </font>
    <font>
      <sz val="10"/>
      <color theme="1" tint="0.0499893185216834"/>
      <name val="Tahoma"/>
      <family val="2"/>
    </font>
    <font>
      <sz val="8"/>
      <name val="Tahoma"/>
      <family val="2"/>
    </font>
    <font>
      <sz val="10"/>
      <name val="Tahoma"/>
      <family val="2"/>
    </font>
    <font>
      <sz val="10"/>
      <color theme="1" tint="0.14996795556505021"/>
      <name val="Tahoma"/>
      <family val="2"/>
    </font>
    <font>
      <b/>
      <sz val="8"/>
      <color rgb="FFFF0000"/>
      <name val="Tahoma"/>
      <family val="2"/>
    </font>
    <font>
      <sz val="10"/>
      <color rgb="FFFF0000"/>
      <name val="Tahoma"/>
      <family val="2"/>
    </font>
    <font>
      <sz val="11"/>
      <color theme="0"/>
      <name val="Calibri"/>
      <family val="2"/>
      <scheme val="minor"/>
    </font>
    <font>
      <b/>
      <sz val="11"/>
      <color theme="3"/>
      <name val="Calibri"/>
      <family val="2"/>
      <scheme val="minor"/>
    </font>
    <font>
      <sz val="11"/>
      <color rgb="FF006100"/>
      <name val="Calibri"/>
      <family val="2"/>
      <scheme val="minor"/>
    </font>
    <font>
      <sz val="11"/>
      <color rgb="FFFA7D00"/>
      <name val="Calibri"/>
      <family val="2"/>
      <scheme val="minor"/>
    </font>
    <font>
      <b/>
      <sz val="18"/>
      <color theme="3"/>
      <name val="Cambria"/>
      <family val="2"/>
      <scheme val="major"/>
    </font>
    <font>
      <b/>
      <sz val="11"/>
      <color rgb="FF3F3F3F"/>
      <name val="Calibri"/>
      <family val="2"/>
      <scheme val="minor"/>
    </font>
    <font>
      <b/>
      <sz val="15"/>
      <color theme="3"/>
      <name val="Calibri"/>
      <family val="2"/>
      <scheme val="minor"/>
    </font>
    <font>
      <sz val="11"/>
      <color rgb="FFFF0000"/>
      <name val="Calibri"/>
      <family val="2"/>
      <scheme val="minor"/>
    </font>
    <font>
      <b/>
      <sz val="11"/>
      <color rgb="FFFA7D00"/>
      <name val="Calibri"/>
      <family val="2"/>
      <scheme val="minor"/>
    </font>
    <font>
      <b/>
      <sz val="13"/>
      <color theme="3"/>
      <name val="Calibri"/>
      <family val="2"/>
      <scheme val="minor"/>
    </font>
    <font>
      <b/>
      <sz val="11"/>
      <color theme="0"/>
      <name val="Calibri"/>
      <family val="2"/>
      <scheme val="minor"/>
    </font>
    <font>
      <sz val="11"/>
      <color rgb="FF9C6500"/>
      <name val="Calibri"/>
      <family val="2"/>
      <scheme val="minor"/>
    </font>
    <font>
      <sz val="11"/>
      <color rgb="FF3F3F76"/>
      <name val="Calibri"/>
      <family val="2"/>
      <scheme val="minor"/>
    </font>
    <font>
      <i/>
      <sz val="11"/>
      <color rgb="FF7F7F7F"/>
      <name val="Calibri"/>
      <family val="2"/>
      <scheme val="minor"/>
    </font>
    <font>
      <sz val="11"/>
      <color rgb="FF9C0006"/>
      <name val="Calibri"/>
      <family val="2"/>
      <scheme val="minor"/>
    </font>
  </fonts>
  <fills count="14">
    <fill>
      <patternFill patternType="none"/>
    </fill>
    <fill>
      <patternFill patternType="gray125"/>
    </fill>
    <fill>
      <patternFill patternType="solid">
        <fgColor indexed="22"/>
        <bgColor indexed="64"/>
      </patternFill>
    </fill>
    <fill>
      <patternFill patternType="solid">
        <fgColor rgb="FFC6D9F1"/>
        <bgColor rgb="FFFFFFFF"/>
      </patternFill>
    </fill>
    <fill>
      <patternFill patternType="solid">
        <fgColor theme="3" tint="0.79995117038483843"/>
        <bgColor indexed="64"/>
      </patternFill>
    </fill>
    <fill>
      <patternFill patternType="solid">
        <fgColor rgb="FFC0C0C0"/>
        <bgColor rgb="FFFFFFFF"/>
      </patternFill>
    </fill>
    <fill>
      <patternFill patternType="solid">
        <fgColor rgb="FFC0C0C0"/>
        <bgColor indexed="64"/>
      </patternFill>
    </fill>
    <fill>
      <patternFill patternType="solid">
        <fgColor rgb="FFCC0066"/>
        <bgColor indexed="64"/>
      </patternFill>
    </fill>
    <fill>
      <patternFill patternType="solid">
        <fgColor indexed="43"/>
        <bgColor indexed="64"/>
      </patternFill>
    </fill>
    <fill>
      <patternFill patternType="solid">
        <fgColor indexed="40"/>
        <bgColor indexed="64"/>
      </patternFill>
    </fill>
    <fill>
      <patternFill patternType="solid">
        <fgColor rgb="FFDDDDDD"/>
        <bgColor indexed="64"/>
      </patternFill>
    </fill>
    <fill>
      <patternFill patternType="solid">
        <fgColor indexed="42"/>
        <bgColor indexed="64"/>
      </patternFill>
    </fill>
    <fill>
      <patternFill patternType="solid">
        <fgColor rgb="FFFF3399"/>
        <bgColor indexed="64"/>
      </patternFill>
    </fill>
    <fill>
      <patternFill patternType="solid">
        <fgColor rgb="FFDDDDDD"/>
        <bgColor rgb="FFFFFFFF"/>
      </patternFill>
    </fill>
  </fills>
  <borders count="9">
    <border>
      <left/>
      <right/>
      <top/>
      <bottom/>
      <diagonal/>
    </border>
    <border>
      <left style="hair">
        <color rgb="FFC0C0C0"/>
      </left>
      <right style="hair">
        <color rgb="FFC0C0C0"/>
      </right>
      <top style="hair">
        <color rgb="FFC0C0C0"/>
      </top>
      <bottom style="hair">
        <color rgb="FFC0C0C0"/>
      </bottom>
      <diagonal/>
    </border>
    <border>
      <left/>
      <right style="hair">
        <color rgb="FFC0C0C0"/>
      </right>
      <top/>
      <bottom/>
      <diagonal/>
    </border>
    <border>
      <left style="hair">
        <color rgb="FFC0C0C0"/>
      </left>
      <right/>
      <top/>
      <bottom/>
      <diagonal/>
    </border>
    <border>
      <left style="hair">
        <color indexed="22"/>
      </left>
      <right style="hair">
        <color indexed="22"/>
      </right>
      <top style="hair">
        <color indexed="22"/>
      </top>
      <bottom style="hair">
        <color indexed="22"/>
      </bottom>
      <diagonal/>
    </border>
    <border>
      <left style="hair">
        <color rgb="FFC0C0C0"/>
      </left>
      <right/>
      <top style="hair">
        <color rgb="FFC0C0C0"/>
      </top>
      <bottom style="hair">
        <color rgb="FFC0C0C0"/>
      </bottom>
      <diagonal/>
    </border>
    <border>
      <left style="hair">
        <color rgb="FFC0C0C0"/>
      </left>
      <right style="hair">
        <color rgb="FFC0C0C0"/>
      </right>
      <top style="hair">
        <color rgb="FFC0C0C0"/>
      </top>
      <bottom/>
      <diagonal/>
    </border>
    <border>
      <left style="hair">
        <color rgb="FFC0C0C0"/>
      </left>
      <right/>
      <top style="hair">
        <color rgb="FFC0C0C0"/>
      </top>
      <bottom/>
      <diagonal/>
    </border>
    <border>
      <left style="thin">
        <color indexed="23"/>
      </left>
      <right/>
      <top/>
      <bottom/>
      <diagonal/>
    </border>
  </borders>
  <cellStyleXfs count="2">
    <xf numFmtId="0" fontId="0" fillId="0" borderId="0"/>
    <xf numFmtId="0" fontId="1" fillId="0" borderId="0"/>
  </cellStyleXfs>
  <cellXfs count="72">
    <xf numFmtId="0" fontId="0" fillId="0" borderId="0" xfId="0"/>
    <xf numFmtId="0" fontId="2" fillId="0" borderId="0" xfId="0" applyFont="1" applyFill="1" applyBorder="1"/>
    <xf numFmtId="0" fontId="3" fillId="0" borderId="0" xfId="0" quotePrefix="1" applyFont="1" applyFill="1" applyAlignment="1">
      <alignment horizontal="left" vertical="center"/>
    </xf>
    <xf numFmtId="0" fontId="3" fillId="0" borderId="0" xfId="0" applyFont="1" applyFill="1" applyAlignment="1">
      <alignment horizontal="left" vertical="center"/>
    </xf>
    <xf numFmtId="3" fontId="4" fillId="0" borderId="0" xfId="0" applyNumberFormat="1" applyFont="1" applyFill="1" applyBorder="1"/>
    <xf numFmtId="0" fontId="3" fillId="0" borderId="0" xfId="0" quotePrefix="1" applyFont="1" applyFill="1" applyAlignment="1">
      <alignment horizontal="left" vertical="top" wrapText="1"/>
    </xf>
    <xf numFmtId="0" fontId="0" fillId="0" borderId="0" xfId="0" applyFill="1"/>
    <xf numFmtId="0" fontId="0" fillId="0" borderId="0" xfId="0" applyFill="1" applyAlignment="1">
      <alignment horizontal="left" vertical="center"/>
    </xf>
    <xf numFmtId="0" fontId="5" fillId="0" borderId="0" xfId="0" applyFont="1"/>
    <xf numFmtId="0" fontId="6" fillId="0" borderId="0" xfId="0" applyFont="1"/>
    <xf numFmtId="0" fontId="7" fillId="0" borderId="0" xfId="0" applyFont="1" applyFill="1" applyAlignment="1">
      <alignment horizontal="left" vertical="center"/>
    </xf>
    <xf numFmtId="0" fontId="8" fillId="0" borderId="1" xfId="0" quotePrefix="1" applyFont="1" applyFill="1" applyBorder="1" applyAlignment="1" applyProtection="1">
      <alignment horizontal="center"/>
    </xf>
    <xf numFmtId="0" fontId="9" fillId="2" borderId="0" xfId="1" applyFont="1" applyFill="1" applyBorder="1" applyAlignment="1">
      <alignment horizontal="center"/>
    </xf>
    <xf numFmtId="0" fontId="10" fillId="0" borderId="0" xfId="0" applyFont="1" applyFill="1" applyAlignment="1">
      <alignment horizontal="left" vertical="center"/>
    </xf>
    <xf numFmtId="0" fontId="11" fillId="3" borderId="2" xfId="0" quotePrefix="1" applyFont="1" applyFill="1" applyBorder="1" applyAlignment="1" applyProtection="1"/>
    <xf numFmtId="0" fontId="12" fillId="0" borderId="0" xfId="0" applyFont="1" applyFill="1" applyAlignment="1">
      <alignment horizontal="left" vertical="center"/>
    </xf>
    <xf numFmtId="0" fontId="8" fillId="0" borderId="1" xfId="0" applyFont="1" applyFill="1" applyBorder="1" applyAlignment="1" applyProtection="1">
      <alignment horizontal="right"/>
    </xf>
    <xf numFmtId="0" fontId="13" fillId="4" borderId="0" xfId="0" applyFont="1" applyFill="1" applyAlignment="1"/>
    <xf numFmtId="0" fontId="14" fillId="0" borderId="0" xfId="0" applyFont="1"/>
    <xf numFmtId="0" fontId="15" fillId="0" borderId="0" xfId="1" applyFont="1"/>
    <xf numFmtId="0" fontId="16" fillId="0" borderId="0" xfId="0" applyNumberFormat="1" applyFont="1" applyAlignment="1"/>
    <xf numFmtId="3" fontId="8" fillId="0" borderId="1" xfId="0" applyNumberFormat="1" applyFont="1" applyFill="1" applyBorder="1" applyAlignment="1" applyProtection="1">
      <alignment horizontal="right"/>
    </xf>
    <xf numFmtId="164" fontId="8" fillId="5" borderId="1" xfId="0" quotePrefix="1" applyNumberFormat="1" applyFont="1" applyFill="1" applyBorder="1" applyAlignment="1" applyProtection="1">
      <alignment horizontal="center"/>
    </xf>
    <xf numFmtId="0" fontId="6" fillId="0" borderId="0" xfId="0" applyFont="1" applyAlignment="1">
      <alignment horizontal="right"/>
    </xf>
    <xf numFmtId="0" fontId="16" fillId="0" borderId="0" xfId="0" applyFont="1"/>
    <xf numFmtId="164" fontId="8" fillId="6" borderId="3" xfId="0" applyNumberFormat="1" applyFont="1" applyFill="1" applyBorder="1" applyAlignment="1" applyProtection="1">
      <alignment horizontal="right"/>
    </xf>
    <xf numFmtId="0" fontId="17" fillId="0" borderId="0" xfId="0" applyFont="1"/>
    <xf numFmtId="0" fontId="16" fillId="0" borderId="0" xfId="0" applyFont="1" applyAlignment="1">
      <alignment horizontal="center"/>
    </xf>
    <xf numFmtId="164" fontId="8" fillId="5" borderId="1" xfId="0" applyNumberFormat="1" applyFont="1" applyFill="1" applyBorder="1" applyAlignment="1" applyProtection="1">
      <alignment horizontal="right"/>
    </xf>
    <xf numFmtId="0" fontId="15" fillId="4" borderId="0" xfId="1" applyFont="1" applyFill="1"/>
    <xf numFmtId="0" fontId="17" fillId="0" borderId="4" xfId="0" quotePrefix="1" applyFont="1" applyFill="1" applyBorder="1" applyAlignment="1">
      <alignment horizontal="right"/>
    </xf>
    <xf numFmtId="0" fontId="16" fillId="0" borderId="0" xfId="0" quotePrefix="1" applyFont="1" applyFill="1"/>
    <xf numFmtId="164" fontId="8" fillId="6" borderId="5" xfId="0" applyNumberFormat="1" applyFont="1" applyFill="1" applyBorder="1" applyAlignment="1" applyProtection="1">
      <alignment horizontal="right"/>
    </xf>
    <xf numFmtId="0" fontId="0" fillId="0" borderId="0" xfId="0" applyFont="1"/>
    <xf numFmtId="2" fontId="16" fillId="0" borderId="0" xfId="0" applyNumberFormat="1" applyFont="1"/>
    <xf numFmtId="0" fontId="8" fillId="7" borderId="6" xfId="0" applyFont="1" applyFill="1" applyBorder="1" applyAlignment="1" applyProtection="1">
      <alignment horizontal="right"/>
    </xf>
    <xf numFmtId="0" fontId="18" fillId="0" borderId="0" xfId="0" applyFont="1"/>
    <xf numFmtId="0" fontId="12" fillId="0" borderId="0" xfId="0" applyFont="1"/>
    <xf numFmtId="0" fontId="16" fillId="8" borderId="0" xfId="0" applyNumberFormat="1" applyFont="1" applyFill="1" applyAlignment="1"/>
    <xf numFmtId="0" fontId="16" fillId="8" borderId="0" xfId="0" applyFont="1" applyFill="1"/>
    <xf numFmtId="3" fontId="16" fillId="0" borderId="0" xfId="0" applyNumberFormat="1" applyFont="1" applyAlignment="1"/>
    <xf numFmtId="3" fontId="16" fillId="8" borderId="0" xfId="0" applyNumberFormat="1" applyFont="1" applyFill="1" applyAlignment="1"/>
    <xf numFmtId="0" fontId="8" fillId="0" borderId="7" xfId="0" applyFont="1" applyBorder="1" applyAlignment="1" applyProtection="1">
      <alignment horizontal="right"/>
    </xf>
    <xf numFmtId="3" fontId="16" fillId="9" borderId="0" xfId="0" applyNumberFormat="1" applyFont="1" applyFill="1" applyAlignment="1"/>
    <xf numFmtId="0" fontId="0" fillId="0" borderId="0" xfId="0" applyBorder="1"/>
    <xf numFmtId="0" fontId="8" fillId="0" borderId="1" xfId="0" applyFont="1" applyFill="1" applyBorder="1" applyAlignment="1" applyProtection="1">
      <alignment vertical="center"/>
    </xf>
    <xf numFmtId="0" fontId="0" fillId="0" borderId="0" xfId="0" applyFont="1" applyFill="1"/>
    <xf numFmtId="0" fontId="16" fillId="0" borderId="0" xfId="0" quotePrefix="1" applyFont="1"/>
    <xf numFmtId="0" fontId="8" fillId="10" borderId="1" xfId="0" applyFont="1" applyFill="1" applyBorder="1" applyAlignment="1" applyProtection="1">
      <alignment horizontal="right"/>
    </xf>
    <xf numFmtId="165" fontId="16" fillId="0" borderId="0" xfId="0" applyNumberFormat="1" applyFont="1"/>
    <xf numFmtId="0" fontId="8" fillId="7" borderId="7" xfId="0" applyFont="1" applyFill="1" applyBorder="1" applyAlignment="1" applyProtection="1">
      <alignment horizontal="right"/>
    </xf>
    <xf numFmtId="3" fontId="16" fillId="11" borderId="0" xfId="0" applyNumberFormat="1" applyFont="1" applyFill="1" applyAlignment="1"/>
    <xf numFmtId="0" fontId="8" fillId="12" borderId="7" xfId="0" applyFont="1" applyFill="1" applyBorder="1" applyAlignment="1" applyProtection="1">
      <alignment horizontal="right"/>
    </xf>
    <xf numFmtId="0" fontId="16" fillId="0" borderId="0" xfId="0" applyFont="1" applyFill="1" applyBorder="1" applyAlignment="1">
      <alignment vertical="center"/>
    </xf>
    <xf numFmtId="164" fontId="8" fillId="6" borderId="5" xfId="0" applyNumberFormat="1" applyFont="1" applyFill="1" applyBorder="1" applyAlignment="1" applyProtection="1">
      <alignment horizontal="center"/>
    </xf>
    <xf numFmtId="0" fontId="5" fillId="0" borderId="0" xfId="0" applyFont="1" applyFill="1" applyBorder="1" applyAlignment="1">
      <alignment vertical="center"/>
    </xf>
    <xf numFmtId="0" fontId="6" fillId="0" borderId="0" xfId="0" applyFont="1" applyAlignment="1">
      <alignment horizontal="center"/>
    </xf>
    <xf numFmtId="0" fontId="9" fillId="2" borderId="8" xfId="1" applyFont="1" applyFill="1" applyBorder="1" applyAlignment="1">
      <alignment horizontal="center"/>
    </xf>
    <xf numFmtId="0" fontId="16" fillId="0" borderId="0" xfId="0" applyNumberFormat="1" applyFont="1" applyFill="1" applyBorder="1" applyAlignment="1"/>
    <xf numFmtId="0" fontId="8" fillId="0" borderId="7" xfId="0" applyFont="1" applyBorder="1" applyAlignment="1" applyProtection="1">
      <alignment horizontal="center"/>
    </xf>
    <xf numFmtId="0" fontId="17" fillId="0" borderId="4" xfId="0" applyFont="1" applyFill="1" applyBorder="1" applyAlignment="1">
      <alignment vertical="center"/>
    </xf>
    <xf numFmtId="0" fontId="16" fillId="0" borderId="0" xfId="0" applyNumberFormat="1" applyFont="1"/>
    <xf numFmtId="0" fontId="19" fillId="0" borderId="0" xfId="0" applyFont="1"/>
    <xf numFmtId="0" fontId="8" fillId="13" borderId="1" xfId="0" applyFont="1" applyFill="1" applyBorder="1" applyAlignment="1" applyProtection="1">
      <alignment horizontal="right"/>
    </xf>
    <xf numFmtId="0" fontId="15" fillId="8" borderId="0" xfId="1" applyFont="1" applyFill="1"/>
    <xf numFmtId="0" fontId="8" fillId="10" borderId="5" xfId="0" applyFont="1" applyFill="1" applyBorder="1" applyAlignment="1" applyProtection="1">
      <alignment horizontal="right"/>
    </xf>
    <xf numFmtId="0" fontId="17" fillId="0" borderId="4" xfId="0" quotePrefix="1" applyFont="1" applyFill="1" applyBorder="1" applyAlignment="1"/>
    <xf numFmtId="0" fontId="8" fillId="12" borderId="6" xfId="0" applyFont="1" applyFill="1" applyBorder="1" applyAlignment="1" applyProtection="1">
      <alignment horizontal="right"/>
    </xf>
    <xf numFmtId="0" fontId="8" fillId="0" borderId="1" xfId="0" quotePrefix="1" applyFont="1" applyBorder="1" applyAlignment="1" applyProtection="1"/>
    <xf numFmtId="3" fontId="5" fillId="0" borderId="0" xfId="0" applyNumberFormat="1" applyFont="1" applyFill="1" applyAlignment="1"/>
    <xf numFmtId="3" fontId="8" fillId="13" borderId="1" xfId="0" applyNumberFormat="1" applyFont="1" applyFill="1" applyBorder="1" applyAlignment="1" applyProtection="1">
      <alignment horizontal="right"/>
    </xf>
    <xf numFmtId="3" fontId="17" fillId="0" borderId="4" xfId="0" applyNumberFormat="1" applyFont="1" applyFill="1" applyBorder="1" applyAlignment="1"/>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2.png" /><Relationship Id="rId2"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editAs="oneCell">
    <xdr:from>
      <xdr:col>1</xdr:col>
      <xdr:colOff>0</xdr:colOff>
      <xdr:row>9</xdr:row>
      <xdr:rowOff>0</xdr:rowOff>
    </xdr:from>
    <xdr:to>
      <xdr:col>5</xdr:col>
      <xdr:colOff>374908</xdr:colOff>
      <xdr:row>10</xdr:row>
      <xdr:rowOff>9493</xdr:rowOff>
    </xdr:to>
    <xdr:pic>
      <xdr:nvPicPr>
        <xdr:cNvPr id="3" name="Picture 2"/>
        <xdr:cNvPicPr>
          <a:picLocks/>
        </xdr:cNvPicPr>
      </xdr:nvPicPr>
      <xdr:blipFill>
        <a:blip xmlns:r="http://schemas.openxmlformats.org/officeDocument/2006/relationships" r:embed="rId1"/>
        <a:stretch>
          <a:fillRect/>
        </a:stretch>
      </xdr:blipFill>
      <xdr:spPr>
        <a:xfrm>
          <a:off x="3854198" y="2160270"/>
          <a:ext cx="3863654" cy="199358"/>
        </a:xfrm>
        <a:prstGeom prst="rect">
          <a:avLst/>
        </a:prstGeom>
        <a:noFill/>
        <a:ln w="0">
          <a:noFill/>
        </a:ln>
      </xdr:spPr>
    </xdr:pic>
    <xdr:clientData/>
  </xdr:twoCellAnchor>
  <xdr:twoCellAnchor editAs="oneCell">
    <xdr:from>
      <xdr:col>1</xdr:col>
      <xdr:colOff>0</xdr:colOff>
      <xdr:row>10</xdr:row>
      <xdr:rowOff>0</xdr:rowOff>
    </xdr:from>
    <xdr:to>
      <xdr:col>5</xdr:col>
      <xdr:colOff>374908</xdr:colOff>
      <xdr:row>11</xdr:row>
      <xdr:rowOff>9493</xdr:rowOff>
    </xdr:to>
    <xdr:pic>
      <xdr:nvPicPr>
        <xdr:cNvPr id="4" name="Picture 3"/>
        <xdr:cNvPicPr>
          <a:picLocks/>
        </xdr:cNvPicPr>
      </xdr:nvPicPr>
      <xdr:blipFill>
        <a:blip xmlns:r="http://schemas.openxmlformats.org/officeDocument/2006/relationships" r:embed="rId2"/>
        <a:stretch>
          <a:fillRect/>
        </a:stretch>
      </xdr:blipFill>
      <xdr:spPr>
        <a:xfrm>
          <a:off x="3854198" y="2350135"/>
          <a:ext cx="3863654" cy="199358"/>
        </a:xfrm>
        <a:prstGeom prst="rect">
          <a:avLst/>
        </a:prstGeom>
        <a:noFill/>
        <a:ln w="0">
          <a:noFill/>
        </a:ln>
      </xdr:spPr>
    </xdr:pic>
    <xdr:clientData/>
  </xdr:twoCellAnchor>
  <xdr:twoCellAnchor editAs="oneCell">
    <xdr:from>
      <xdr:col>1</xdr:col>
      <xdr:colOff>0</xdr:colOff>
      <xdr:row>11</xdr:row>
      <xdr:rowOff>189865</xdr:rowOff>
    </xdr:from>
    <xdr:to>
      <xdr:col>5</xdr:col>
      <xdr:colOff>374908</xdr:colOff>
      <xdr:row>13</xdr:row>
      <xdr:rowOff>9493</xdr:rowOff>
    </xdr:to>
    <xdr:pic>
      <xdr:nvPicPr>
        <xdr:cNvPr id="5" name="Picture 4"/>
        <xdr:cNvPicPr>
          <a:picLocks/>
        </xdr:cNvPicPr>
      </xdr:nvPicPr>
      <xdr:blipFill>
        <a:blip xmlns:r="http://schemas.openxmlformats.org/officeDocument/2006/relationships" r:embed="rId2"/>
        <a:stretch>
          <a:fillRect/>
        </a:stretch>
      </xdr:blipFill>
      <xdr:spPr>
        <a:xfrm>
          <a:off x="3854198" y="2729865"/>
          <a:ext cx="3863654" cy="199358"/>
        </a:xfrm>
        <a:prstGeom prst="rect">
          <a:avLst/>
        </a:prstGeom>
        <a:noFill/>
        <a:ln w="0">
          <a:noFill/>
        </a:ln>
      </xdr:spPr>
    </xdr:pic>
    <xdr:clientData/>
  </xdr:twoCellAnchor>
  <xdr:twoCellAnchor editAs="oneCell">
    <xdr:from>
      <xdr:col>1</xdr:col>
      <xdr:colOff>0</xdr:colOff>
      <xdr:row>11</xdr:row>
      <xdr:rowOff>0</xdr:rowOff>
    </xdr:from>
    <xdr:to>
      <xdr:col>5</xdr:col>
      <xdr:colOff>374908</xdr:colOff>
      <xdr:row>12</xdr:row>
      <xdr:rowOff>9493</xdr:rowOff>
    </xdr:to>
    <xdr:pic>
      <xdr:nvPicPr>
        <xdr:cNvPr id="6" name="Picture 5"/>
        <xdr:cNvPicPr>
          <a:picLocks/>
        </xdr:cNvPicPr>
      </xdr:nvPicPr>
      <xdr:blipFill>
        <a:blip xmlns:r="http://schemas.openxmlformats.org/officeDocument/2006/relationships" r:embed="rId2"/>
        <a:stretch>
          <a:fillRect/>
        </a:stretch>
      </xdr:blipFill>
      <xdr:spPr>
        <a:xfrm>
          <a:off x="3854198" y="2540000"/>
          <a:ext cx="3863654" cy="199358"/>
        </a:xfrm>
        <a:prstGeom prst="rect">
          <a:avLst/>
        </a:prstGeom>
        <a:noFill/>
        <a:ln w="0">
          <a:noFill/>
        </a:ln>
      </xdr:spPr>
    </xdr:pic>
    <xdr:clientData/>
  </xdr:twoCellAnchor>
  <xdr:twoCellAnchor editAs="oneCell">
    <xdr:from>
      <xdr:col>1</xdr:col>
      <xdr:colOff>0</xdr:colOff>
      <xdr:row>12</xdr:row>
      <xdr:rowOff>189865</xdr:rowOff>
    </xdr:from>
    <xdr:to>
      <xdr:col>5</xdr:col>
      <xdr:colOff>374908</xdr:colOff>
      <xdr:row>14</xdr:row>
      <xdr:rowOff>9493</xdr:rowOff>
    </xdr:to>
    <xdr:pic>
      <xdr:nvPicPr>
        <xdr:cNvPr id="7" name="Picture 6"/>
        <xdr:cNvPicPr>
          <a:picLocks/>
        </xdr:cNvPicPr>
      </xdr:nvPicPr>
      <xdr:blipFill>
        <a:blip xmlns:r="http://schemas.openxmlformats.org/officeDocument/2006/relationships" r:embed="rId2"/>
        <a:stretch>
          <a:fillRect/>
        </a:stretch>
      </xdr:blipFill>
      <xdr:spPr>
        <a:xfrm>
          <a:off x="3854198" y="2919730"/>
          <a:ext cx="3863654" cy="199358"/>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dimension ref="A1:K640"/>
  <sheetViews>
    <sheetView tabSelected="1" workbookViewId="0">
      <selection activeCell="A1" sqref="A1:E1"/>
    </sheetView>
  </sheetViews>
  <sheetFormatPr defaultColWidth="11.42578125" defaultRowHeight="14.95"/>
  <cols>
    <col min="1" max="1" width="52.85546875" style="33" customWidth="1"/>
    <col min="2" max="2" width="12.7109375" customWidth="1"/>
    <col min="3" max="6" width="11.7109375" customWidth="1"/>
    <col min="7" max="7" width="7.7109375" customWidth="1"/>
    <col min="8" max="8" width="6.7109375" customWidth="1"/>
    <col min="9" max="9" width="7.140625" customWidth="1"/>
    <col min="10" max="10" width="7.85546875" customWidth="1"/>
    <col min="11" max="11" width="11.28515625" customWidth="1"/>
    <col min="12" max="12" width="9.85546875" customWidth="1"/>
    <col min="13" max="13" width="7.28515625" customWidth="1"/>
    <col min="14" max="14" width="11.28515625" customWidth="1"/>
    <col min="15" max="15" width="9.85546875" customWidth="1"/>
    <col min="16" max="16" width="7.28515625" customWidth="1"/>
    <col min="17" max="17" width="11.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10" t="s">
        <v>34</v>
      </c>
      <c s="10"/>
      <c s="10"/>
      <c s="10"/>
      <c s="10"/>
      <c s="7"/>
      <c s="7"/>
      <c s="7"/>
      <c s="7"/>
    </row>
    <row>
      <c s="10" t="s">
        <v>53</v>
      </c>
      <c s="10"/>
      <c s="10"/>
      <c s="10"/>
      <c s="10"/>
      <c s="7"/>
      <c s="7"/>
      <c s="7"/>
      <c s="7"/>
    </row>
    <row ht="15" customHeight="1" s="37" customFormat="1">
      <c s="13" t="s">
        <v>27</v>
      </c>
      <c s="13"/>
      <c s="13"/>
      <c s="13"/>
      <c s="13"/>
      <c s="15"/>
      <c s="15"/>
      <c s="15"/>
      <c s="15"/>
    </row>
    <row ht="15" customHeight="1">
      <c s="3" t="s">
        <v>21</v>
      </c>
      <c s="3"/>
      <c s="3"/>
      <c s="3"/>
      <c s="3"/>
      <c s="3"/>
      <c s="3"/>
      <c s="3"/>
      <c s="3"/>
    </row>
    <row ht="15" customHeight="1">
      <c s="2" t="s">
        <v>16</v>
      </c>
      <c s="2"/>
      <c s="2"/>
      <c s="2"/>
      <c s="2"/>
      <c s="2"/>
      <c s="2"/>
      <c s="2"/>
      <c s="2"/>
    </row>
    <row ht="48.75" customHeight="1">
      <c s="5" t="s">
        <v>89</v>
      </c>
      <c s="5"/>
      <c s="5"/>
      <c s="5"/>
      <c s="5"/>
      <c s="5"/>
      <c s="5"/>
      <c s="5"/>
      <c s="5"/>
    </row>
    <row ht="15" customHeight="1">
      <c s="2" t="s">
        <v>90</v>
      </c>
      <c s="2"/>
      <c s="2"/>
      <c s="2"/>
      <c s="2"/>
      <c s="2"/>
      <c s="2"/>
      <c s="2"/>
      <c s="2"/>
    </row>
    <row>
      <c s="2" t="s">
        <v>72</v>
      </c>
      <c s="2"/>
      <c s="2"/>
      <c s="2"/>
      <c s="2"/>
      <c s="7"/>
      <c s="7"/>
      <c s="7"/>
      <c s="7"/>
    </row>
    <row ht="16.5" customHeight="1">
      <c s="46"/>
      <c s="6"/>
      <c s="6"/>
      <c s="6"/>
      <c s="6"/>
      <c s="6"/>
      <c s="6"/>
      <c s="6"/>
      <c s="6"/>
    </row>
    <row>
      <c s="14" t="s">
        <v>9</v>
      </c>
      <c s="68" t="s">
        <v>66</v>
      </c>
    </row>
    <row>
      <c s="14" t="s">
        <v>2</v>
      </c>
      <c s="68" t="s">
        <v>22</v>
      </c>
    </row>
    <row>
      <c s="14" t="s">
        <v>17</v>
      </c>
      <c s="68" t="s">
        <v>22</v>
      </c>
    </row>
    <row>
      <c s="14" t="s">
        <v>36</v>
      </c>
      <c s="68" t="s">
        <v>22</v>
      </c>
    </row>
    <row>
      <c s="14" t="s">
        <v>91</v>
      </c>
      <c s="68" t="s">
        <v>22</v>
      </c>
    </row>
    <row>
      <c/>
    </row>
    <row>
      <c/>
    </row>
    <row ht="15" hidden="1" customHeight="1">
      <c/>
      <c s="14" t="s">
        <v>40</v>
      </c>
      <c s="14" t="s">
        <v>35</v>
      </c>
      <c s="14" t="s">
        <v>94</v>
      </c>
    </row>
    <row collapsed="1">
      <c/>
      <c s="11" t="s">
        <v>10</v>
      </c>
      <c s="11"/>
      <c s="11"/>
      <c s="11"/>
      <c s="11"/>
    </row>
    <row>
      <c/>
      <c s="11" t="s">
        <v>11</v>
      </c>
      <c s="11"/>
      <c s="11"/>
      <c s="22" t="s">
        <v>59</v>
      </c>
      <c s="22"/>
    </row>
    <row>
      <c s="14" t="s">
        <v>0</v>
      </c>
      <c s="16" t="s">
        <v>3</v>
      </c>
      <c s="16" t="s">
        <v>38</v>
      </c>
      <c s="63" t="s">
        <v>22</v>
      </c>
      <c s="16" t="s">
        <v>3</v>
      </c>
      <c s="16" t="s">
        <v>38</v>
      </c>
    </row>
    <row>
      <c s="45" t="s">
        <v>19</v>
      </c>
      <c s="21">
        <v>1102</v>
      </c>
      <c s="21">
        <v>416</v>
      </c>
      <c s="70">
        <v>1518</v>
      </c>
      <c s="28">
        <v>0.72595520421607374</v>
      </c>
      <c s="28">
        <v>0.27404479578392621</v>
      </c>
    </row>
    <row>
      <c s="45" t="s">
        <v>74</v>
      </c>
      <c s="21">
        <v>363</v>
      </c>
      <c s="21">
        <v>184</v>
      </c>
      <c s="70">
        <v>547</v>
      </c>
      <c s="28">
        <v>0.66361974405850088</v>
      </c>
      <c s="28">
        <v>0.33638025594149906</v>
      </c>
    </row>
    <row>
      <c s="45" t="s">
        <v>47</v>
      </c>
      <c s="21">
        <v>348</v>
      </c>
      <c s="21">
        <v>221</v>
      </c>
      <c s="70">
        <v>569</v>
      </c>
      <c s="28">
        <v>0.61159929701230231</v>
      </c>
      <c s="28">
        <v>0.38840070298769769</v>
      </c>
    </row>
    <row>
      <c s="45" t="s">
        <v>85</v>
      </c>
      <c s="21">
        <v>366</v>
      </c>
      <c s="21">
        <v>237</v>
      </c>
      <c s="70">
        <v>603</v>
      </c>
      <c s="28">
        <v>0.60696517412935325</v>
      </c>
      <c s="28">
        <v>0.39303482587064675</v>
      </c>
    </row>
    <row>
      <c s="45" t="s">
        <v>46</v>
      </c>
      <c s="21">
        <v>210</v>
      </c>
      <c s="21">
        <v>161</v>
      </c>
      <c s="70">
        <v>371</v>
      </c>
      <c s="28">
        <v>0.56603773584905659</v>
      </c>
      <c s="28">
        <v>0.43396226415094341</v>
      </c>
    </row>
    <row>
      <c s="45" t="s">
        <v>37</v>
      </c>
      <c s="21">
        <v>101</v>
      </c>
      <c s="21">
        <v>60</v>
      </c>
      <c s="70">
        <v>161</v>
      </c>
      <c s="28">
        <v>0.62732919254658381</v>
      </c>
      <c s="28">
        <v>0.37267080745341613</v>
      </c>
    </row>
    <row>
      <c s="45" t="s">
        <v>84</v>
      </c>
      <c s="21">
        <v>188</v>
      </c>
      <c s="21">
        <v>65</v>
      </c>
      <c s="70">
        <v>253</v>
      </c>
      <c s="28">
        <v>0.74308300395256921</v>
      </c>
      <c s="28">
        <v>0.25691699604743085</v>
      </c>
    </row>
    <row>
      <c s="45" t="s">
        <v>92</v>
      </c>
      <c s="21">
        <v>164</v>
      </c>
      <c s="21">
        <v>236</v>
      </c>
      <c s="70">
        <v>400</v>
      </c>
      <c s="28">
        <v>0.40999999999999998</v>
      </c>
      <c s="28">
        <v>0.58999999999999997</v>
      </c>
    </row>
    <row>
      <c s="45" t="s">
        <v>54</v>
      </c>
      <c s="21">
        <v>121</v>
      </c>
      <c s="21">
        <v>208</v>
      </c>
      <c s="70">
        <v>329</v>
      </c>
      <c s="28">
        <v>0.36778115501519759</v>
      </c>
      <c s="28">
        <v>0.63221884498480241</v>
      </c>
    </row>
    <row>
      <c s="45" t="s">
        <v>42</v>
      </c>
      <c s="21">
        <v>56</v>
      </c>
      <c s="21">
        <v>101</v>
      </c>
      <c s="70">
        <v>157</v>
      </c>
      <c s="28">
        <v>0.35668789808917195</v>
      </c>
      <c s="28">
        <v>0.64331210191082799</v>
      </c>
    </row>
    <row>
      <c s="45" t="s">
        <v>83</v>
      </c>
      <c s="21">
        <v>120</v>
      </c>
      <c s="21">
        <v>78</v>
      </c>
      <c s="70">
        <v>198</v>
      </c>
      <c s="28">
        <v>0.60606060606060608</v>
      </c>
      <c s="28">
        <v>0.39393939393939392</v>
      </c>
    </row>
    <row>
      <c s="45" t="s">
        <v>41</v>
      </c>
      <c s="21">
        <v>158</v>
      </c>
      <c s="21">
        <v>37</v>
      </c>
      <c s="70">
        <v>195</v>
      </c>
      <c s="28">
        <v>0.81025641025641026</v>
      </c>
      <c s="28">
        <v>0.18974358974358974</v>
      </c>
    </row>
    <row>
      <c s="45" t="s">
        <v>1</v>
      </c>
      <c s="21">
        <v>485</v>
      </c>
      <c s="21">
        <v>603</v>
      </c>
      <c s="70">
        <v>1088</v>
      </c>
      <c s="28">
        <v>0.44577205882352944</v>
      </c>
      <c s="28">
        <v>0.55422794117647056</v>
      </c>
    </row>
    <row>
      <c s="45" t="s">
        <v>82</v>
      </c>
      <c s="21">
        <v>396</v>
      </c>
      <c s="21">
        <v>228</v>
      </c>
      <c s="70">
        <v>624</v>
      </c>
      <c s="28">
        <v>0.63461538461538458</v>
      </c>
      <c s="28">
        <v>0.36538461538461536</v>
      </c>
    </row>
    <row>
      <c s="45" t="s">
        <v>24</v>
      </c>
      <c s="21">
        <v>107</v>
      </c>
      <c s="21">
        <v>55</v>
      </c>
      <c s="70">
        <v>162</v>
      </c>
      <c s="28">
        <v>0.66049382716049387</v>
      </c>
      <c s="28">
        <v>0.33950617283950618</v>
      </c>
    </row>
    <row>
      <c s="45" t="s">
        <v>18</v>
      </c>
      <c s="21">
        <v>89</v>
      </c>
      <c s="21">
        <v>62</v>
      </c>
      <c s="70">
        <v>151</v>
      </c>
      <c s="28">
        <v>0.58940397350993379</v>
      </c>
      <c s="28">
        <v>0.41059602649006621</v>
      </c>
    </row>
    <row>
      <c s="45" t="s">
        <v>12</v>
      </c>
      <c s="21">
        <v>22</v>
      </c>
      <c s="21">
        <v>12</v>
      </c>
      <c s="70">
        <v>34</v>
      </c>
      <c s="28">
        <v>0.6470588235294118</v>
      </c>
      <c s="28">
        <v>0.35294117647058826</v>
      </c>
    </row>
    <row>
      <c s="45" t="s">
        <v>23</v>
      </c>
      <c s="21">
        <v>9</v>
      </c>
      <c s="21">
        <v>2</v>
      </c>
      <c s="70">
        <v>11</v>
      </c>
      <c s="28">
        <v>0.81818181818181823</v>
      </c>
      <c s="28">
        <v>0.18181818181818182</v>
      </c>
    </row>
    <row>
      <c s="45" t="s">
        <v>73</v>
      </c>
      <c s="21">
        <v>25</v>
      </c>
      <c s="21">
        <v>18</v>
      </c>
      <c s="70">
        <v>43</v>
      </c>
      <c s="28">
        <v>0.58139534883720934</v>
      </c>
      <c s="28">
        <v>0.41860465116279072</v>
      </c>
    </row>
    <row>
      <c s="45" t="s">
        <v>60</v>
      </c>
      <c s="21">
        <v>48</v>
      </c>
      <c s="21">
        <v>20</v>
      </c>
      <c s="70">
        <v>68</v>
      </c>
      <c s="28">
        <v>0.70588235294117652</v>
      </c>
      <c s="28">
        <v>0.29411764705882354</v>
      </c>
    </row>
    <row>
      <c s="45" t="s">
        <v>68</v>
      </c>
      <c s="21">
        <v>79</v>
      </c>
      <c s="21">
        <v>35</v>
      </c>
      <c s="70">
        <v>114</v>
      </c>
      <c s="28">
        <v>0.69298245614035092</v>
      </c>
      <c s="28">
        <v>0.30701754385964913</v>
      </c>
    </row>
    <row>
      <c s="45" t="s">
        <v>67</v>
      </c>
      <c s="21">
        <v>4359</v>
      </c>
      <c s="21">
        <v>2949</v>
      </c>
      <c s="70">
        <v>7308</v>
      </c>
      <c s="28">
        <v>0.59646962233169132</v>
      </c>
      <c s="28">
        <v>0.40353037766830868</v>
      </c>
    </row>
    <row>
      <c/>
    </row>
    <row>
      <c/>
    </row>
    <row>
      <c/>
    </row>
    <row>
      <c/>
    </row>
    <row>
      <c/>
    </row>
    <row>
      <c/>
    </row>
    <row>
      <c/>
    </row>
    <row>
      <c s="44"/>
    </row>
    <row>
      <c s="44"/>
    </row>
    <row>
      <c s="44"/>
    </row>
    <row>
      <c s="44"/>
    </row>
    <row>
      <c s="44"/>
    </row>
    <row>
      <c s="44"/>
    </row>
    <row>
      <c s="44"/>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55"/>
      <c s="4"/>
      <c s="4"/>
      <c s="4"/>
      <c s="4"/>
      <c s="4"/>
      <c s="4"/>
      <c s="4"/>
      <c s="4"/>
      <c s="4"/>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10">
    <mergeCell ref="A1:E1"/>
    <mergeCell ref="A3:E3"/>
    <mergeCell ref="A4:I4"/>
    <mergeCell ref="A5:I5"/>
    <mergeCell ref="A6:I6"/>
    <mergeCell ref="A7:I7"/>
    <mergeCell ref="A8:E8"/>
    <mergeCell ref="B18:F18"/>
    <mergeCell ref="B19:D19"/>
    <mergeCell ref="E19:F19"/>
  </mergeCells>
  <pageMargins left="0.70866141732283472" right="0.70866141732283472" top="0.78740157480314965" bottom="0.78740157480314965" header="0.31496062992125984" footer="0.31496062992125984"/>
  <pageSetup paperSize="9" scale="97" fitToWidth="0" fitToHeight="0" orientation="landscape"/>
  <headerFooter>
    <oddHeader>&amp;L&amp;"Tahoma,Standard"&amp;10bmbwf, Abt. IV/10&amp;R&amp;"Tahoma,Standard"&amp;10unidata/&amp;D</oddHeader>
    <oddFooter>&amp;R&amp;"Tahoma,Standard"&amp;10&amp;P/&amp;N</oddFooter>
  </headerFooter>
  <drawing r:id="rId1"/>
</worksheet>
</file>

<file path=xl/worksheets/sheet2.xml><?xml version="1.0" encoding="utf-8"?>
<worksheet xmlns:r="http://schemas.openxmlformats.org/officeDocument/2006/relationships" xmlns="http://schemas.openxmlformats.org/spreadsheetml/2006/main">
  <dimension ref="A1:Z31"/>
  <sheetViews>
    <sheetView workbookViewId="0">
      <selection activeCell="E29" sqref="E29:E31"/>
    </sheetView>
  </sheetViews>
  <sheetFormatPr defaultColWidth="9.140625" defaultRowHeight="13.6"/>
  <cols>
    <col min="1" max="1" width="13.5703125" style="24" customWidth="1"/>
    <col min="2" max="2" width="40.85546875" style="24" customWidth="1"/>
    <col min="3" max="3" width="28.140625" style="24" customWidth="1"/>
    <col min="4" max="4" width="16.28515625" style="24" customWidth="1"/>
    <col min="5" max="5" width="19.42578125" style="24" customWidth="1"/>
    <col min="6" max="6" width="11.140625" style="24" customWidth="1"/>
    <col min="7" max="7" width="9.140625" style="24" customWidth="1"/>
    <col min="8" max="8" width="17.28515625" style="24" customWidth="1"/>
    <col min="9" max="9" width="19.5703125" style="24" customWidth="1"/>
    <col min="10" max="12" width="12.42578125" style="24" customWidth="1"/>
    <col min="13" max="13" width="16" style="24" customWidth="1"/>
    <col min="14" max="14" width="14.28515625" style="24" customWidth="1"/>
    <col min="15" max="15" width="18.28515625" style="24" customWidth="1"/>
    <col min="16" max="25" width="9.140625" style="24" customWidth="1"/>
    <col min="26" max="26" width="9.140625" style="24" hidden="1" customWidth="1"/>
    <col min="27" max="27" width="9.140625" style="24" customWidth="1"/>
    <col min="28" max="16384" width="9.140625" style="24"/>
  </cols>
  <sheetData>
    <row>
      <c s="61"/>
      <c r="H1" s="49">
        <v>129806172700000000</v>
      </c>
      <c r="Z1" s="34" t="b">
        <f>0=1</f>
        <v>0</v>
      </c>
    </row>
    <row>
      <c r="Z2" s="34" t="b">
        <f>1=1</f>
        <v>1</v>
      </c>
    </row>
    <row>
      <c r="Z3" s="34"/>
    </row>
    <row>
      <c r="I4" s="24" t="s">
        <v>39</v>
      </c>
      <c s="57" t="s">
        <v>69</v>
      </c>
      <c s="12"/>
      <c s="12"/>
      <c s="12"/>
      <c s="12"/>
      <c s="12"/>
    </row>
    <row>
      <c r="J5" s="29" t="s">
        <v>28</v>
      </c>
      <c s="19" t="s">
        <v>48</v>
      </c>
      <c s="19" t="s">
        <v>61</v>
      </c>
      <c s="29" t="s">
        <v>95</v>
      </c>
      <c s="64" t="s">
        <v>75</v>
      </c>
      <c s="19" t="s">
        <v>4</v>
      </c>
    </row>
    <row>
      <c r="B6" s="23" t="s">
        <v>76</v>
      </c>
      <c s="17" t="s">
        <v>86</v>
      </c>
      <c s="66" t="s">
        <v>13</v>
      </c>
      <c s="9" t="s">
        <v>49</v>
      </c>
    </row>
    <row>
      <c r="C7" s="18"/>
      <c s="26" t="s">
        <v>14</v>
      </c>
      <c s="9" t="s">
        <v>55</v>
      </c>
    </row>
    <row>
      <c r="C8" s="26" t="s">
        <v>5</v>
      </c>
      <c s="18"/>
    </row>
    <row>
      <c r="C9" s="18"/>
      <c s="17" t="s">
        <v>29</v>
      </c>
      <c s="36"/>
    </row>
    <row>
      <c r="C10" s="17" t="s">
        <v>43</v>
      </c>
      <c s="30" t="s">
        <v>62</v>
      </c>
      <c s="9" t="s">
        <v>20</v>
      </c>
    </row>
    <row>
      <c r="B11" s="23" t="s">
        <v>50</v>
      </c>
      <c s="60" t="s">
        <v>44</v>
      </c>
      <c s="71">
        <v>60398</v>
      </c>
      <c s="9" t="s">
        <v>30</v>
      </c>
    </row>
    <row>
      <c r="B12" s="23"/>
      <c s="53"/>
      <c s="58"/>
      <c s="56" t="s">
        <v>70</v>
      </c>
    </row>
    <row>
      <c r="B13" s="23" t="s">
        <v>45</v>
      </c>
      <c s="39" t="s">
        <v>25</v>
      </c>
      <c s="41">
        <v>1212</v>
      </c>
      <c s="24" t="b">
        <v>0</v>
      </c>
      <c s="9" t="s">
        <v>63</v>
      </c>
    </row>
    <row ht="12.75" hidden="1">
      <c r="B14" s="23"/>
      <c s="39"/>
      <c s="38"/>
      <c s="24" t="b">
        <v>0</v>
      </c>
    </row>
    <row>
      <c r="B15" s="23" t="s">
        <v>87</v>
      </c>
      <c s="24" t="s">
        <v>93</v>
      </c>
      <c s="40">
        <v>1212</v>
      </c>
      <c s="24" t="b">
        <v>0</v>
      </c>
      <c s="9" t="s">
        <v>26</v>
      </c>
    </row>
    <row ht="12.75" hidden="1">
      <c r="B16" s="23"/>
      <c r="D16" s="20"/>
      <c s="24" t="b">
        <v>0</v>
      </c>
      <c s="9"/>
    </row>
    <row>
      <c r="B17" s="23"/>
      <c s="24" t="s">
        <v>31</v>
      </c>
      <c s="51">
        <v>3434</v>
      </c>
      <c s="24" t="b">
        <v>0</v>
      </c>
      <c s="9" t="s">
        <v>64</v>
      </c>
    </row>
    <row>
      <c r="B18" s="23"/>
      <c r="D18" s="20"/>
      <c s="24" t="b">
        <v>0</v>
      </c>
      <c s="9"/>
    </row>
    <row>
      <c r="B19" s="23"/>
      <c s="24" t="s">
        <v>6</v>
      </c>
      <c s="43">
        <v>3434</v>
      </c>
      <c s="24" t="b">
        <v>0</v>
      </c>
      <c s="9" t="s">
        <v>77</v>
      </c>
    </row>
    <row>
      <c r="B20" s="23"/>
      <c r="D20" s="20"/>
      <c s="24" t="b">
        <v>0</v>
      </c>
      <c s="9"/>
    </row>
    <row>
      <c r="B21" s="23"/>
      <c s="24" t="s">
        <v>78</v>
      </c>
      <c s="69">
        <v>5656</v>
      </c>
      <c s="24" t="b">
        <v>0</v>
      </c>
      <c s="9" t="s">
        <v>96</v>
      </c>
    </row>
    <row>
      <c r="B22" s="23"/>
      <c r="E22" s="9"/>
      <c r="I22" s="62"/>
    </row>
    <row>
      <c r="B23" s="27" t="s">
        <v>7</v>
      </c>
      <c s="27"/>
    </row>
    <row>
      <c r="B24" s="8" t="s">
        <v>51</v>
      </c>
      <c s="8" t="s">
        <v>32</v>
      </c>
      <c s="8" t="s">
        <v>15</v>
      </c>
      <c s="8" t="s">
        <v>79</v>
      </c>
      <c s="8"/>
      <c s="8"/>
      <c s="8" t="s">
        <v>97</v>
      </c>
    </row>
    <row>
      <c s="24" t="s">
        <v>56</v>
      </c>
      <c r="C25" s="31" t="s">
        <v>80</v>
      </c>
      <c s="50" t="s">
        <v>22</v>
      </c>
      <c s="35">
        <v>1234.5599999999999</v>
      </c>
      <c s="9" t="s">
        <v>71</v>
      </c>
      <c r="H25" s="24" t="s">
        <v>81</v>
      </c>
    </row>
    <row>
      <c s="24" t="s">
        <v>88</v>
      </c>
      <c r="C26" s="31" t="s">
        <v>80</v>
      </c>
      <c s="52" t="s">
        <v>22</v>
      </c>
      <c s="67">
        <v>1234.5599999999999</v>
      </c>
      <c s="9" t="s">
        <v>57</v>
      </c>
      <c r="H26" s="24" t="s">
        <v>98</v>
      </c>
    </row>
    <row>
      <c r="C27" s="31" t="s">
        <v>80</v>
      </c>
      <c s="65" t="s">
        <v>22</v>
      </c>
      <c s="48">
        <v>1234.5599999999999</v>
      </c>
      <c r="H27" s="24" t="s">
        <v>58</v>
      </c>
    </row>
    <row>
      <c r="C28" s="47" t="s">
        <v>8</v>
      </c>
      <c s="25" t="s">
        <v>65</v>
      </c>
      <c s="25">
        <v>1234.5599999999999</v>
      </c>
      <c r="H28" s="24" t="s">
        <v>33</v>
      </c>
    </row>
    <row>
      <c r="C29" s="47" t="s">
        <v>52</v>
      </c>
      <c s="59" t="s">
        <v>10</v>
      </c>
      <c s="42">
        <v>1234.5599999999999</v>
      </c>
      <c r="H29" s="24" t="s">
        <v>99</v>
      </c>
    </row>
    <row>
      <c r="C30" s="47" t="s">
        <v>8</v>
      </c>
      <c s="59" t="s">
        <v>11</v>
      </c>
      <c s="42">
        <v>1234.5599999999999</v>
      </c>
    </row>
    <row>
      <c r="C31" s="47" t="s">
        <v>8</v>
      </c>
      <c s="54" t="s">
        <v>59</v>
      </c>
      <c s="32">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
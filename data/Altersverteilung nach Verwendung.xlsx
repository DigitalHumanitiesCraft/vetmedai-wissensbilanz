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2900"/>
  </bookViews>
  <sheets>
    <sheet name="Tab" sheetId="1" r:id="rId1"/>
    <sheet name="XLCubedFormats" sheetId="2" state="hidden" r:id="rId2"/>
  </sheets>
  <definedNames>
    <definedName name="_xlnm.Print_Area" localSheetId="0">Tab!$A$1:$AF$46</definedName>
    <definedName name="_xlnm.Print_Titles" localSheetId="0">Tab!$A:$A</definedName>
    <definedName name="XL3DisableCameraObjects" hidden="1">XLCubedFormats!A1</definedName>
    <definedName name="XL3ObjLocation9829da19_10bd_4dd3_a392_9737618bd44e">Tab!$A$10</definedName>
  </definedNames>
  <calcPr calcId="40001"/>
</workbook>
</file>

<file path=xl/sharedStrings.xml><?xml version="1.0" encoding="utf-8"?>
<sst xmlns="http://schemas.openxmlformats.org/spreadsheetml/2006/main" uniqueCount="110">
  <si>
    <t>Universität</t>
  </si>
  <si>
    <t>Verwendung</t>
  </si>
  <si>
    <t>36 - 40 Jahre</t>
  </si>
  <si>
    <t>Wirtschaftsuniversität Wien</t>
  </si>
  <si>
    <t>Semester und Datenstichtag</t>
  </si>
  <si>
    <t>Frauen</t>
  </si>
  <si>
    <t>Slicer Button Background</t>
  </si>
  <si>
    <t>Grid Title</t>
  </si>
  <si>
    <t>Oth Written Member</t>
  </si>
  <si>
    <t>Fill in Grid Name, Dimension or Both</t>
  </si>
  <si>
    <t>[ALLG Wertart].[Wertart]</t>
  </si>
  <si>
    <t>51 - 55 Jahre</t>
  </si>
  <si>
    <t>Universität für Musik und darstellende Kunst Wien</t>
  </si>
  <si>
    <t>All Marital Status</t>
  </si>
  <si>
    <t>Male</t>
  </si>
  <si>
    <t>Member1 Name</t>
  </si>
  <si>
    <t>Absolutwert</t>
  </si>
  <si>
    <t>Datenaufbereitung: bmfwf, Abt. I/10</t>
  </si>
  <si>
    <t>Universität für angewandte Kunst Wien</t>
  </si>
  <si>
    <t>Universität Wien</t>
  </si>
  <si>
    <t>&lt;-- default Column Member Format</t>
  </si>
  <si>
    <t>Beschäftigungsausmaß in Prozent</t>
  </si>
  <si>
    <t>(Beschäftigungsverhältnisse ohne karenzierte und ausgeschiedene Personen)</t>
  </si>
  <si>
    <t>Gesamt</t>
  </si>
  <si>
    <t>66 Jahre und älter</t>
  </si>
  <si>
    <t>Universität Mozarteum Salzburg</t>
  </si>
  <si>
    <t>Universität Klagenfurt</t>
  </si>
  <si>
    <t>Alternate Rows</t>
  </si>
  <si>
    <t>&lt;--  writeable cell format</t>
  </si>
  <si>
    <t xml:space="preserve"> 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</si>
  <si>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</si>
  <si>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</si>
  <si>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</si>
  <si>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</si>
  <si>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</si>
  <si>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</si>
  <si>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Personal Universitäten</t>
  </si>
  <si>
    <t>Bis 30 Jahre</t>
  </si>
  <si>
    <t>31 - 35 Jahre</t>
  </si>
  <si>
    <t>Medizinische Universität Innsbruck</t>
  </si>
  <si>
    <t>Männer</t>
  </si>
  <si>
    <t>Slice Name (Optional)</t>
  </si>
  <si>
    <t>Altersverteilung des Personals nach Verwendung</t>
  </si>
  <si>
    <t>Measures</t>
  </si>
  <si>
    <t>46 - 50 Jahre</t>
  </si>
  <si>
    <t>Veterinärmedizinische Universität Wien</t>
  </si>
  <si>
    <t>Montanuniversität Leoben</t>
  </si>
  <si>
    <t>[PU Person].[Geschlecht]</t>
  </si>
  <si>
    <t>61 - 65 Jahre</t>
  </si>
  <si>
    <t>Universität für Weiterbildung Krems</t>
  </si>
  <si>
    <t>Customer</t>
  </si>
  <si>
    <t>-All Customer</t>
  </si>
  <si>
    <t>Default Alternate Row Member Format --&gt;</t>
  </si>
  <si>
    <t>[PU Person].[Altersklasse Wiss Personal]</t>
  </si>
  <si>
    <t>Alle Verwendungskategorien gemäß Z 3.6 der Anlage 9 UHSBV, seit 2023 aufgrund BGBl II Nr. 233/2023 inklusive Verwendung 88 Assistenzprofessor/in (KV) (Karrierepfad gemäß § 99 Abs. 5 und 6 UG).</t>
  </si>
  <si>
    <t>Bundesland Universität</t>
  </si>
  <si>
    <t>Medizinische Universität Graz</t>
  </si>
  <si>
    <t>Universität Innsbruck</t>
  </si>
  <si>
    <t>Slicer Item</t>
  </si>
  <si>
    <t>&lt;-- default Slicer Member Format</t>
  </si>
  <si>
    <t>Default Row Member Format --&gt;</t>
  </si>
  <si>
    <t>Grid/Table Name</t>
  </si>
  <si>
    <t>[Measures]</t>
  </si>
  <si>
    <t>Technische Universität Graz</t>
  </si>
  <si>
    <t>&lt;-- writeable Slicer Member Format</t>
  </si>
  <si>
    <t>Slice Format 1</t>
  </si>
  <si>
    <t>&lt;-- Gesamtzeile</t>
  </si>
  <si>
    <t>3) Formatierung der Gesamtspalte und -zeile (siehe E25:E26)</t>
  </si>
  <si>
    <t>Universität für künstlerische und industrielle Gestaltung Linz</t>
  </si>
  <si>
    <t>Slicer Button</t>
  </si>
  <si>
    <t>+2009</t>
  </si>
  <si>
    <t>&lt;-- default alternate row cell format</t>
  </si>
  <si>
    <t>&lt;--  written cell format</t>
  </si>
  <si>
    <t>Anmerkung zur Technischen Universität Wien: seit Wintersemester 2019 (Stichtag: 31.12.2019) - vorläufige Zahlen.</t>
  </si>
  <si>
    <t>Beschäftigungsverhältnisse</t>
  </si>
  <si>
    <t>41 - 45 Jahre</t>
  </si>
  <si>
    <t>Akademie der bildenden Künste Wien</t>
  </si>
  <si>
    <t>Display Formats For:</t>
  </si>
  <si>
    <t>Enabled?</t>
  </si>
  <si>
    <t>&lt;-- Gesamtspalte</t>
  </si>
  <si>
    <t>Datenprüfung: bmfwf, Abt. I/2</t>
  </si>
  <si>
    <t>Quelle: Datenmeldungen der Universitäten auf Basis UHSBV</t>
  </si>
  <si>
    <t>Universität-Ausrichtung</t>
  </si>
  <si>
    <t>56 - 60 Jahre</t>
  </si>
  <si>
    <t>Universität für Musik und darstellende Kunst Graz</t>
  </si>
  <si>
    <t>Universität Graz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</si>
  <si>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</si>
  <si>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</si>
  <si>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</si>
  <si>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</si>
  <si>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</si>
  <si>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</si>
  <si>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(Members of Beschäftigungsausmaß in Prozent) - (0, Fehler, Keine Angabe, Unknown, Ausgeschieden)</t>
  </si>
  <si>
    <t>Altersklasse wiss. Personal</t>
  </si>
  <si>
    <t>Universität Linz</t>
  </si>
  <si>
    <t>Universität für Bodenkultur Wien</t>
  </si>
  <si>
    <t>Universität Salzburg</t>
  </si>
  <si>
    <t>Medizinische Universität Wien</t>
  </si>
  <si>
    <t>Marital Status</t>
  </si>
  <si>
    <t>Default Writeable Member Format --&gt;</t>
  </si>
  <si>
    <t>Slice Format 2</t>
  </si>
  <si>
    <t>Technische Universität Wien</t>
  </si>
  <si>
    <t>Writeable Member</t>
  </si>
  <si>
    <t>Wintersemester 2024 (Stichtag: 31.12.2024)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</si>
  <si>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</si>
  <si>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</si>
  <si>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</si>
  <si>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</si>
  <si>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</si>
  <si>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Geschlecht</t>
  </si>
</sst>
</file>

<file path=xl/styles.xml><?xml version="1.0" encoding="utf-8"?>
<styleSheet xmlns="http://schemas.openxmlformats.org/spreadsheetml/2006/main">
  <numFmts count="1">
    <numFmt numFmtId="164" formatCode=";;;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262626"/>
      <name val="Tahoma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1"/>
      <name val="Calibri"/>
      <family val="2"/>
      <scheme val="minor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9"/>
      <name val="Tahoma"/>
      <family val="2"/>
    </font>
    <font>
      <sz val="11"/>
      <color rgb="FF000000"/>
      <name val="Tahoma"/>
      <family val="2"/>
    </font>
    <font>
      <sz val="10"/>
      <color rgb="FF595959"/>
      <name val="Tahoma"/>
    </font>
    <font>
      <b/>
      <sz val="11"/>
      <color rgb="FF000000"/>
      <name val="Tahoma"/>
      <family val="2"/>
    </font>
    <font>
      <sz val="8"/>
      <name val="Tahoma"/>
      <family val="2"/>
    </font>
    <font>
      <sz val="10"/>
      <name val="Tahoma"/>
      <family val="2"/>
    </font>
    <font>
      <sz val="10"/>
      <color theme="1" tint="0.0499893185216834"/>
      <name val="Tahoma"/>
      <family val="2"/>
    </font>
    <font>
      <sz val="10"/>
      <color theme="1" tint="0.34998626667073579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 tint="0.14996795556505021"/>
      <name val="Tahoma"/>
      <family val="2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DDDDD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C6D9F1"/>
        <bgColor rgb="FFFFFFFF"/>
      </patternFill>
    </fill>
    <fill>
      <patternFill patternType="solid">
        <fgColor theme="3" tint="0.799951170384838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9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thin">
        <color indexed="23"/>
      </left>
      <right/>
      <top/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rgb="FFC0C0C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2" fillId="0" borderId="1" xfId="0" quotePrefix="1" applyFont="1" applyFill="1" applyBorder="1" applyAlignment="1" applyProtection="1">
      <alignment horizontal="center"/>
    </xf>
    <xf numFmtId="0" fontId="3" fillId="0" borderId="0" xfId="0" applyFont="1" applyFill="1" applyBorder="1"/>
    <xf numFmtId="3" fontId="2" fillId="0" borderId="1" xfId="0" applyNumberFormat="1" applyFont="1" applyFill="1" applyBorder="1" applyAlignment="1" applyProtection="1">
      <alignment horizontal="right"/>
    </xf>
    <xf numFmtId="0" fontId="2" fillId="0" borderId="1" xfId="0" applyFont="1" applyFill="1" applyBorder="1" applyAlignment="1" applyProtection="1">
      <alignment horizontal="right"/>
    </xf>
    <xf numFmtId="0" fontId="4" fillId="0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 applyProtection="1">
      <alignment horizontal="right"/>
    </xf>
    <xf numFmtId="3" fontId="2" fillId="2" borderId="1" xfId="0" applyNumberFormat="1" applyFont="1" applyFill="1" applyBorder="1" applyAlignment="1" applyProtection="1">
      <alignment horizontal="right"/>
    </xf>
    <xf numFmtId="3" fontId="5" fillId="0" borderId="0" xfId="0" applyNumberFormat="1" applyFont="1" applyFill="1" applyBorder="1"/>
    <xf numFmtId="0" fontId="0" fillId="0" borderId="0" xfId="0" applyFill="1" applyBorder="1" applyAlignment="1"/>
    <xf numFmtId="0" fontId="6" fillId="0" borderId="0" xfId="0" applyFont="1"/>
    <xf numFmtId="0" fontId="7" fillId="0" borderId="0" xfId="0" applyFont="1"/>
    <xf numFmtId="0" fontId="8" fillId="3" borderId="0" xfId="1" applyFont="1" applyFill="1" applyBorder="1" applyAlignment="1">
      <alignment horizontal="center"/>
    </xf>
    <xf numFmtId="0" fontId="9" fillId="0" borderId="0" xfId="0" applyFont="1" applyFill="1" applyBorder="1" applyAlignment="1">
      <alignment vertical="center"/>
    </xf>
    <xf numFmtId="0" fontId="10" fillId="4" borderId="2" xfId="0" quotePrefix="1" applyFont="1" applyFill="1" applyBorder="1" applyAlignment="1" applyProtection="1"/>
    <xf numFmtId="0" fontId="11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center"/>
    </xf>
    <xf numFmtId="0" fontId="12" fillId="0" borderId="0" xfId="1" applyFont="1"/>
    <xf numFmtId="0" fontId="13" fillId="0" borderId="0" xfId="0" applyNumberFormat="1" applyFont="1" applyAlignment="1"/>
    <xf numFmtId="0" fontId="14" fillId="0" borderId="0" xfId="0" applyFont="1"/>
    <xf numFmtId="0" fontId="15" fillId="5" borderId="0" xfId="0" applyFont="1" applyFill="1" applyAlignment="1"/>
    <xf numFmtId="0" fontId="13" fillId="0" borderId="0" xfId="0" applyFont="1"/>
    <xf numFmtId="0" fontId="13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right"/>
    </xf>
    <xf numFmtId="0" fontId="16" fillId="0" borderId="0" xfId="0" applyFont="1" applyFill="1" applyBorder="1" applyAlignment="1"/>
    <xf numFmtId="0" fontId="12" fillId="5" borderId="0" xfId="1" applyFont="1" applyFill="1"/>
    <xf numFmtId="0" fontId="17" fillId="0" borderId="0" xfId="0" applyFont="1"/>
    <xf numFmtId="0" fontId="2" fillId="0" borderId="1" xfId="0" applyFont="1" applyFill="1" applyBorder="1" applyAlignment="1" applyProtection="1">
      <alignment vertical="center"/>
    </xf>
    <xf numFmtId="0" fontId="8" fillId="3" borderId="4" xfId="1" applyFont="1" applyFill="1" applyBorder="1" applyAlignment="1">
      <alignment horizontal="center"/>
    </xf>
    <xf numFmtId="0" fontId="2" fillId="0" borderId="5" xfId="0" applyFont="1" applyBorder="1" applyAlignment="1" applyProtection="1">
      <alignment horizontal="center"/>
    </xf>
    <xf numFmtId="0" fontId="2" fillId="0" borderId="1" xfId="0" quotePrefix="1" applyFont="1" applyBorder="1" applyAlignment="1" applyProtection="1"/>
    <xf numFmtId="0" fontId="7" fillId="0" borderId="0" xfId="0" applyFont="1" applyAlignment="1">
      <alignment horizontal="center"/>
    </xf>
    <xf numFmtId="3" fontId="13" fillId="6" borderId="0" xfId="0" applyNumberFormat="1" applyFont="1" applyFill="1" applyAlignment="1"/>
    <xf numFmtId="3" fontId="13" fillId="7" borderId="0" xfId="0" applyNumberFormat="1" applyFont="1" applyFill="1" applyAlignment="1"/>
    <xf numFmtId="0" fontId="13" fillId="0" borderId="0" xfId="0" applyNumberFormat="1" applyFont="1"/>
    <xf numFmtId="0" fontId="18" fillId="0" borderId="0" xfId="0" applyFont="1"/>
    <xf numFmtId="0" fontId="2" fillId="0" borderId="3" xfId="0" applyFont="1" applyBorder="1" applyAlignment="1" applyProtection="1">
      <alignment horizontal="center"/>
    </xf>
    <xf numFmtId="3" fontId="17" fillId="0" borderId="6" xfId="0" applyNumberFormat="1" applyFont="1" applyFill="1" applyBorder="1" applyAlignment="1"/>
    <xf numFmtId="3" fontId="13" fillId="8" borderId="0" xfId="0" applyNumberFormat="1" applyFont="1" applyFill="1" applyAlignment="1"/>
    <xf numFmtId="3" fontId="13" fillId="0" borderId="0" xfId="0" applyNumberFormat="1" applyFont="1" applyAlignment="1"/>
    <xf numFmtId="0" fontId="17" fillId="0" borderId="6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7" fillId="0" borderId="6" xfId="0" quotePrefix="1" applyFont="1" applyFill="1" applyBorder="1" applyAlignment="1"/>
    <xf numFmtId="0" fontId="19" fillId="0" borderId="0" xfId="0" applyFont="1"/>
    <xf numFmtId="2" fontId="13" fillId="0" borderId="0" xfId="0" applyNumberFormat="1" applyFont="1"/>
    <xf numFmtId="0" fontId="4" fillId="0" borderId="0" xfId="0" quotePrefix="1" applyFont="1" applyFill="1" applyAlignment="1">
      <alignment vertical="top"/>
    </xf>
    <xf numFmtId="164" fontId="13" fillId="0" borderId="0" xfId="0" applyNumberFormat="1" applyFont="1"/>
    <xf numFmtId="0" fontId="13" fillId="8" borderId="0" xfId="0" applyFont="1" applyFill="1"/>
    <xf numFmtId="0" fontId="13" fillId="0" borderId="0" xfId="0" quotePrefix="1" applyFont="1" applyFill="1"/>
    <xf numFmtId="0" fontId="0" fillId="0" borderId="0" xfId="0" applyFont="1" applyFill="1" applyBorder="1" applyAlignment="1"/>
    <xf numFmtId="0" fontId="13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" fillId="9" borderId="7" xfId="0" applyFont="1" applyFill="1" applyBorder="1" applyAlignment="1" applyProtection="1">
      <alignment horizontal="right"/>
    </xf>
    <xf numFmtId="0" fontId="12" fillId="8" borderId="0" xfId="1" applyFont="1" applyFill="1"/>
    <xf numFmtId="0" fontId="2" fillId="0" borderId="8" xfId="0" applyFont="1" applyFill="1" applyBorder="1" applyAlignment="1">
      <alignment vertical="center"/>
    </xf>
    <xf numFmtId="0" fontId="2" fillId="9" borderId="3" xfId="0" applyFont="1" applyFill="1" applyBorder="1" applyAlignment="1" applyProtection="1">
      <alignment horizontal="right"/>
    </xf>
    <xf numFmtId="0" fontId="0" fillId="0" borderId="0" xfId="0" applyFont="1"/>
    <xf numFmtId="0" fontId="13" fillId="0" borderId="0" xfId="0" quotePrefix="1" applyFont="1"/>
    <xf numFmtId="0" fontId="2" fillId="0" borderId="1" xfId="0" applyFont="1" applyBorder="1" applyAlignment="1" applyProtection="1">
      <alignment horizontal="right"/>
    </xf>
    <xf numFmtId="0" fontId="17" fillId="0" borderId="6" xfId="0" quotePrefix="1" applyFont="1" applyFill="1" applyBorder="1" applyAlignment="1">
      <alignment horizontal="right"/>
    </xf>
    <xf numFmtId="0" fontId="13" fillId="8" borderId="0" xfId="0" applyNumberFormat="1" applyFont="1" applyFill="1" applyAlignment="1"/>
    <xf numFmtId="0" fontId="16" fillId="0" borderId="0" xfId="0" applyFont="1"/>
    <xf numFmtId="3" fontId="6" fillId="0" borderId="0" xfId="0" applyNumberFormat="1" applyFont="1" applyFill="1" applyAlignment="1"/>
    <xf numFmtId="0" fontId="13" fillId="0" borderId="0" xfId="0" applyNumberFormat="1" applyFont="1" applyFill="1" applyBorder="1" applyAlignme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3697820</xdr:colOff>
      <xdr:row>8</xdr:row>
      <xdr:rowOff>190500</xdr:rowOff>
    </xdr:from>
    <xdr:to>
      <xdr:col>7</xdr:col>
      <xdr:colOff>72914</xdr:colOff>
      <xdr:row>9</xdr:row>
      <xdr:rowOff>189865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7820" y="1710690"/>
          <a:ext cx="3697814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9</xdr:row>
      <xdr:rowOff>189865</xdr:rowOff>
    </xdr:from>
    <xdr:to>
      <xdr:col>7</xdr:col>
      <xdr:colOff>72914</xdr:colOff>
      <xdr:row>11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1900555"/>
          <a:ext cx="3697814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11</xdr:row>
      <xdr:rowOff>0</xdr:rowOff>
    </xdr:from>
    <xdr:to>
      <xdr:col>7</xdr:col>
      <xdr:colOff>72914</xdr:colOff>
      <xdr:row>11</xdr:row>
      <xdr:rowOff>189865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2090420"/>
          <a:ext cx="3697814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12</xdr:row>
      <xdr:rowOff>0</xdr:rowOff>
    </xdr:from>
    <xdr:to>
      <xdr:col>7</xdr:col>
      <xdr:colOff>72914</xdr:colOff>
      <xdr:row>13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2280285"/>
          <a:ext cx="3697814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E640"/>
  <sheetViews>
    <sheetView tabSelected="1" workbookViewId="0"/>
  </sheetViews>
  <sheetFormatPr defaultColWidth="11.42578125" defaultRowHeight="14.95"/>
  <cols>
    <col min="1" max="1" width="50.7109375" style="57" customWidth="1"/>
    <col min="2" max="31" width="8.28515625" customWidth="1"/>
    <col min="32" max="32" width="17.140625" customWidth="1"/>
    <col min="33" max="33" width="6.7109375" customWidth="1"/>
    <col min="34" max="34" width="7.140625" customWidth="1"/>
  </cols>
  <sheetData>
    <row>
      <c s="13" t="s">
        <v>36</v>
      </c>
      <c s="13"/>
      <c s="13"/>
      <c s="13"/>
      <c s="13"/>
      <c s="9"/>
      <c s="9"/>
    </row>
    <row s="62" customFormat="1">
      <c s="15" t="s">
        <v>42</v>
      </c>
      <c s="15"/>
      <c s="15"/>
      <c s="15"/>
      <c s="15"/>
      <c s="25"/>
      <c s="25"/>
    </row>
    <row ht="15" customHeight="1">
      <c s="5" t="s">
        <v>54</v>
      </c>
      <c s="5"/>
      <c s="5"/>
      <c s="5"/>
      <c s="5"/>
      <c s="5"/>
      <c s="5"/>
      <c s="5"/>
      <c s="5"/>
      <c s="5"/>
      <c s="5"/>
      <c s="5"/>
      <c s="5"/>
      <c s="5"/>
      <c s="5"/>
      <c s="5"/>
      <c s="5"/>
    </row>
    <row>
      <c s="5" t="s">
        <v>22</v>
      </c>
      <c s="5"/>
      <c s="5"/>
      <c s="5"/>
      <c s="5"/>
      <c s="5"/>
      <c s="5"/>
      <c s="5"/>
      <c s="5"/>
      <c s="5"/>
      <c s="5"/>
      <c s="5"/>
      <c s="5"/>
      <c s="5"/>
      <c s="5"/>
      <c s="5"/>
      <c s="5"/>
    </row>
    <row>
      <c s="5" t="s">
        <v>73</v>
      </c>
      <c s="5"/>
      <c s="5"/>
      <c s="5"/>
      <c s="5"/>
      <c s="5"/>
      <c s="5"/>
      <c s="5"/>
      <c s="5"/>
      <c s="5"/>
      <c s="5"/>
      <c s="5"/>
      <c s="5"/>
      <c s="5"/>
      <c s="5"/>
      <c s="5"/>
      <c s="5"/>
    </row>
    <row ht="15" customHeight="1">
      <c s="5" t="s">
        <v>81</v>
      </c>
      <c s="5"/>
      <c s="5"/>
      <c s="5"/>
      <c s="5"/>
      <c s="5"/>
      <c s="5"/>
      <c s="5"/>
      <c s="5"/>
      <c s="5"/>
      <c s="5"/>
      <c s="5"/>
      <c s="5"/>
      <c s="5"/>
      <c s="5"/>
      <c s="5"/>
      <c s="5"/>
    </row>
    <row>
      <c s="46" t="s">
        <v>80</v>
      </c>
      <c s="5"/>
      <c s="5"/>
      <c s="5"/>
      <c s="5"/>
      <c s="5"/>
      <c s="9"/>
    </row>
    <row>
      <c s="46" t="s">
        <v>17</v>
      </c>
      <c s="16"/>
      <c s="16"/>
      <c s="16"/>
      <c s="16"/>
      <c s="52"/>
      <c s="9"/>
    </row>
    <row ht="15" customHeight="1">
      <c s="50"/>
      <c s="9"/>
      <c s="9"/>
      <c s="9"/>
      <c s="9"/>
      <c s="9"/>
      <c s="9"/>
    </row>
    <row>
      <c s="14" t="s">
        <v>4</v>
      </c>
      <c s="31" t="s">
        <v>103</v>
      </c>
    </row>
    <row>
      <c s="14" t="s">
        <v>1</v>
      </c>
      <c s="31" t="s">
        <v>23</v>
      </c>
      <c r="H11" t="s">
        <v>29</v>
      </c>
    </row>
    <row>
      <c s="14" t="s">
        <v>55</v>
      </c>
      <c s="31" t="s">
        <v>23</v>
      </c>
    </row>
    <row>
      <c s="14" t="s">
        <v>82</v>
      </c>
      <c s="31" t="s">
        <v>23</v>
      </c>
    </row>
    <row ht="15" hidden="1">
      <c s="14" t="s">
        <v>21</v>
      </c>
      <c s="31" t="s">
        <v>92</v>
      </c>
    </row>
    <row>
      <c/>
    </row>
    <row>
      <c/>
    </row>
    <row ht="15" hidden="1">
      <c/>
      <c s="14" t="s">
        <v>43</v>
      </c>
      <c s="14" t="s">
        <v>93</v>
      </c>
      <c s="14" t="s">
        <v>109</v>
      </c>
    </row>
    <row>
      <c/>
      <c s="1" t="s">
        <v>74</v>
      </c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/>
      <c s="1" t="s">
        <v>37</v>
      </c>
      <c s="1"/>
      <c s="1"/>
      <c s="1" t="s">
        <v>38</v>
      </c>
      <c s="1"/>
      <c s="1"/>
      <c s="1" t="s">
        <v>2</v>
      </c>
      <c s="1"/>
      <c s="1"/>
      <c s="1" t="s">
        <v>75</v>
      </c>
      <c s="1"/>
      <c s="1"/>
      <c s="1" t="s">
        <v>44</v>
      </c>
      <c s="1"/>
      <c s="1"/>
      <c s="1" t="s">
        <v>11</v>
      </c>
      <c s="1"/>
      <c s="1"/>
      <c s="1" t="s">
        <v>83</v>
      </c>
      <c s="1"/>
      <c s="1"/>
      <c s="1" t="s">
        <v>48</v>
      </c>
      <c s="1"/>
      <c s="1"/>
      <c s="1" t="s">
        <v>24</v>
      </c>
      <c s="1"/>
      <c s="1"/>
      <c s="1" t="s">
        <v>23</v>
      </c>
      <c s="1"/>
      <c s="1"/>
    </row>
    <row ht="15" customHeight="1">
      <c s="14" t="s">
        <v>0</v>
      </c>
      <c s="4" t="s">
        <v>5</v>
      </c>
      <c s="4" t="s">
        <v>40</v>
      </c>
      <c s="6" t="s">
        <v>23</v>
      </c>
      <c s="4" t="s">
        <v>5</v>
      </c>
      <c s="4" t="s">
        <v>40</v>
      </c>
      <c s="6" t="s">
        <v>23</v>
      </c>
      <c s="4" t="s">
        <v>5</v>
      </c>
      <c s="4" t="s">
        <v>40</v>
      </c>
      <c s="6" t="s">
        <v>23</v>
      </c>
      <c s="4" t="s">
        <v>5</v>
      </c>
      <c s="4" t="s">
        <v>40</v>
      </c>
      <c s="6" t="s">
        <v>23</v>
      </c>
      <c s="4" t="s">
        <v>5</v>
      </c>
      <c s="4" t="s">
        <v>40</v>
      </c>
      <c s="6" t="s">
        <v>23</v>
      </c>
      <c s="4" t="s">
        <v>5</v>
      </c>
      <c s="4" t="s">
        <v>40</v>
      </c>
      <c s="6" t="s">
        <v>23</v>
      </c>
      <c s="4" t="s">
        <v>5</v>
      </c>
      <c s="4" t="s">
        <v>40</v>
      </c>
      <c s="6" t="s">
        <v>23</v>
      </c>
      <c s="4" t="s">
        <v>5</v>
      </c>
      <c s="4" t="s">
        <v>40</v>
      </c>
      <c s="6" t="s">
        <v>23</v>
      </c>
      <c s="4" t="s">
        <v>5</v>
      </c>
      <c s="4" t="s">
        <v>40</v>
      </c>
      <c s="6" t="s">
        <v>23</v>
      </c>
      <c s="4" t="s">
        <v>5</v>
      </c>
      <c s="4" t="s">
        <v>40</v>
      </c>
      <c s="6" t="s">
        <v>23</v>
      </c>
    </row>
    <row>
      <c s="28" t="s">
        <v>19</v>
      </c>
      <c s="3">
        <v>2163</v>
      </c>
      <c s="3">
        <v>1437</v>
      </c>
      <c s="7">
        <v>3600</v>
      </c>
      <c s="3">
        <v>909</v>
      </c>
      <c s="3">
        <v>844</v>
      </c>
      <c s="7">
        <v>1753</v>
      </c>
      <c s="3">
        <v>712</v>
      </c>
      <c s="3">
        <v>649</v>
      </c>
      <c s="7">
        <v>1361</v>
      </c>
      <c s="3">
        <v>646</v>
      </c>
      <c s="3">
        <v>620</v>
      </c>
      <c s="7">
        <v>1266</v>
      </c>
      <c s="3">
        <v>548</v>
      </c>
      <c s="3">
        <v>470</v>
      </c>
      <c s="7">
        <v>1018</v>
      </c>
      <c s="3">
        <v>530</v>
      </c>
      <c s="3">
        <v>437</v>
      </c>
      <c s="7">
        <v>967</v>
      </c>
      <c s="3">
        <v>467</v>
      </c>
      <c s="3">
        <v>487</v>
      </c>
      <c s="7">
        <v>954</v>
      </c>
      <c s="3">
        <v>263</v>
      </c>
      <c s="3">
        <v>353</v>
      </c>
      <c s="7">
        <v>616</v>
      </c>
      <c s="3">
        <v>90</v>
      </c>
      <c s="3">
        <v>283</v>
      </c>
      <c s="7">
        <v>373</v>
      </c>
      <c s="3">
        <v>6328</v>
      </c>
      <c s="3">
        <v>5580</v>
      </c>
      <c s="7">
        <v>11908</v>
      </c>
    </row>
    <row>
      <c s="28" t="s">
        <v>85</v>
      </c>
      <c s="3">
        <v>860</v>
      </c>
      <c s="3">
        <v>536</v>
      </c>
      <c s="7">
        <v>1396</v>
      </c>
      <c s="3">
        <v>331</v>
      </c>
      <c s="3">
        <v>281</v>
      </c>
      <c s="7">
        <v>612</v>
      </c>
      <c s="3">
        <v>305</v>
      </c>
      <c s="3">
        <v>224</v>
      </c>
      <c s="7">
        <v>529</v>
      </c>
      <c s="3">
        <v>345</v>
      </c>
      <c s="3">
        <v>224</v>
      </c>
      <c s="7">
        <v>569</v>
      </c>
      <c s="3">
        <v>241</v>
      </c>
      <c s="3">
        <v>187</v>
      </c>
      <c s="7">
        <v>428</v>
      </c>
      <c s="3">
        <v>236</v>
      </c>
      <c s="3">
        <v>186</v>
      </c>
      <c s="7">
        <v>422</v>
      </c>
      <c s="3">
        <v>260</v>
      </c>
      <c s="3">
        <v>225</v>
      </c>
      <c s="7">
        <v>485</v>
      </c>
      <c s="3">
        <v>123</v>
      </c>
      <c s="3">
        <v>183</v>
      </c>
      <c s="7">
        <v>306</v>
      </c>
      <c s="3">
        <v>30</v>
      </c>
      <c s="3">
        <v>108</v>
      </c>
      <c s="7">
        <v>138</v>
      </c>
      <c s="3">
        <v>2731</v>
      </c>
      <c s="3">
        <v>2154</v>
      </c>
      <c s="7">
        <v>4885</v>
      </c>
    </row>
    <row>
      <c s="28" t="s">
        <v>57</v>
      </c>
      <c s="3">
        <v>937</v>
      </c>
      <c s="3">
        <v>903</v>
      </c>
      <c s="7">
        <v>1840</v>
      </c>
      <c s="3">
        <v>314</v>
      </c>
      <c s="3">
        <v>439</v>
      </c>
      <c s="7">
        <v>753</v>
      </c>
      <c s="3">
        <v>282</v>
      </c>
      <c s="3">
        <v>307</v>
      </c>
      <c s="7">
        <v>589</v>
      </c>
      <c s="3">
        <v>284</v>
      </c>
      <c s="3">
        <v>293</v>
      </c>
      <c s="7">
        <v>577</v>
      </c>
      <c s="3">
        <v>283</v>
      </c>
      <c s="3">
        <v>264</v>
      </c>
      <c s="7">
        <v>547</v>
      </c>
      <c s="3">
        <v>249</v>
      </c>
      <c s="3">
        <v>241</v>
      </c>
      <c s="7">
        <v>490</v>
      </c>
      <c s="3">
        <v>236</v>
      </c>
      <c s="3">
        <v>228</v>
      </c>
      <c s="7">
        <v>464</v>
      </c>
      <c s="3">
        <v>101</v>
      </c>
      <c s="3">
        <v>212</v>
      </c>
      <c s="7">
        <v>313</v>
      </c>
      <c s="3">
        <v>35</v>
      </c>
      <c s="3">
        <v>91</v>
      </c>
      <c s="7">
        <v>126</v>
      </c>
      <c s="3">
        <v>2721</v>
      </c>
      <c s="3">
        <v>2978</v>
      </c>
      <c s="7">
        <v>5699</v>
      </c>
    </row>
    <row>
      <c s="28" t="s">
        <v>97</v>
      </c>
      <c s="3">
        <v>1196</v>
      </c>
      <c s="3">
        <v>692</v>
      </c>
      <c s="7">
        <v>1888</v>
      </c>
      <c s="3">
        <v>574</v>
      </c>
      <c s="3">
        <v>551</v>
      </c>
      <c s="7">
        <v>1125</v>
      </c>
      <c s="3">
        <v>436</v>
      </c>
      <c s="3">
        <v>376</v>
      </c>
      <c s="7">
        <v>812</v>
      </c>
      <c s="3">
        <v>421</v>
      </c>
      <c s="3">
        <v>295</v>
      </c>
      <c s="7">
        <v>716</v>
      </c>
      <c s="3">
        <v>353</v>
      </c>
      <c s="3">
        <v>230</v>
      </c>
      <c s="7">
        <v>583</v>
      </c>
      <c s="3">
        <v>361</v>
      </c>
      <c s="3">
        <v>218</v>
      </c>
      <c s="7">
        <v>579</v>
      </c>
      <c s="3">
        <v>403</v>
      </c>
      <c s="3">
        <v>247</v>
      </c>
      <c s="7">
        <v>650</v>
      </c>
      <c s="3">
        <v>198</v>
      </c>
      <c s="3">
        <v>281</v>
      </c>
      <c s="7">
        <v>479</v>
      </c>
      <c s="3">
        <v>39</v>
      </c>
      <c s="3">
        <v>71</v>
      </c>
      <c s="7">
        <v>110</v>
      </c>
      <c s="3">
        <v>3981</v>
      </c>
      <c s="3">
        <v>2961</v>
      </c>
      <c s="7">
        <v>6942</v>
      </c>
    </row>
    <row>
      <c s="28" t="s">
        <v>56</v>
      </c>
      <c s="3">
        <v>518</v>
      </c>
      <c s="3">
        <v>259</v>
      </c>
      <c s="7">
        <v>777</v>
      </c>
      <c s="3">
        <v>287</v>
      </c>
      <c s="3">
        <v>157</v>
      </c>
      <c s="7">
        <v>444</v>
      </c>
      <c s="3">
        <v>227</v>
      </c>
      <c s="3">
        <v>151</v>
      </c>
      <c s="7">
        <v>378</v>
      </c>
      <c s="3">
        <v>217</v>
      </c>
      <c s="3">
        <v>124</v>
      </c>
      <c s="7">
        <v>341</v>
      </c>
      <c s="3">
        <v>219</v>
      </c>
      <c s="3">
        <v>86</v>
      </c>
      <c s="7">
        <v>305</v>
      </c>
      <c s="3">
        <v>156</v>
      </c>
      <c s="3">
        <v>91</v>
      </c>
      <c s="7">
        <v>247</v>
      </c>
      <c s="3">
        <v>139</v>
      </c>
      <c s="3">
        <v>77</v>
      </c>
      <c s="7">
        <v>216</v>
      </c>
      <c s="3">
        <v>75</v>
      </c>
      <c s="3">
        <v>119</v>
      </c>
      <c s="7">
        <v>194</v>
      </c>
      <c s="3">
        <v>18</v>
      </c>
      <c s="3">
        <v>44</v>
      </c>
      <c s="7">
        <v>62</v>
      </c>
      <c s="3">
        <v>1856</v>
      </c>
      <c s="3">
        <v>1108</v>
      </c>
      <c s="7">
        <v>2964</v>
      </c>
    </row>
    <row>
      <c s="28" t="s">
        <v>39</v>
      </c>
      <c s="3">
        <v>460</v>
      </c>
      <c s="3">
        <v>273</v>
      </c>
      <c s="7">
        <v>733</v>
      </c>
      <c s="3">
        <v>249</v>
      </c>
      <c s="3">
        <v>195</v>
      </c>
      <c s="7">
        <v>444</v>
      </c>
      <c s="3">
        <v>187</v>
      </c>
      <c s="3">
        <v>94</v>
      </c>
      <c s="7">
        <v>281</v>
      </c>
      <c s="3">
        <v>155</v>
      </c>
      <c s="3">
        <v>87</v>
      </c>
      <c s="7">
        <v>242</v>
      </c>
      <c s="3">
        <v>140</v>
      </c>
      <c s="3">
        <v>68</v>
      </c>
      <c s="7">
        <v>208</v>
      </c>
      <c s="3">
        <v>114</v>
      </c>
      <c s="3">
        <v>75</v>
      </c>
      <c s="7">
        <v>189</v>
      </c>
      <c s="3">
        <v>115</v>
      </c>
      <c s="3">
        <v>74</v>
      </c>
      <c s="7">
        <v>189</v>
      </c>
      <c s="3">
        <v>55</v>
      </c>
      <c s="3">
        <v>90</v>
      </c>
      <c s="7">
        <v>145</v>
      </c>
      <c s="3">
        <v>9</v>
      </c>
      <c s="3">
        <v>15</v>
      </c>
      <c s="7">
        <v>24</v>
      </c>
      <c s="3">
        <v>1484</v>
      </c>
      <c s="3">
        <v>971</v>
      </c>
      <c s="7">
        <v>2455</v>
      </c>
    </row>
    <row>
      <c s="28" t="s">
        <v>96</v>
      </c>
      <c s="3">
        <v>529</v>
      </c>
      <c s="3">
        <v>263</v>
      </c>
      <c s="7">
        <v>792</v>
      </c>
      <c s="3">
        <v>198</v>
      </c>
      <c s="3">
        <v>143</v>
      </c>
      <c s="7">
        <v>341</v>
      </c>
      <c s="3">
        <v>170</v>
      </c>
      <c s="3">
        <v>169</v>
      </c>
      <c s="7">
        <v>339</v>
      </c>
      <c s="3">
        <v>161</v>
      </c>
      <c s="3">
        <v>140</v>
      </c>
      <c s="7">
        <v>301</v>
      </c>
      <c s="3">
        <v>185</v>
      </c>
      <c s="3">
        <v>143</v>
      </c>
      <c s="7">
        <v>328</v>
      </c>
      <c s="3">
        <v>147</v>
      </c>
      <c s="3">
        <v>125</v>
      </c>
      <c s="7">
        <v>272</v>
      </c>
      <c s="3">
        <v>167</v>
      </c>
      <c s="3">
        <v>167</v>
      </c>
      <c s="7">
        <v>334</v>
      </c>
      <c s="3">
        <v>89</v>
      </c>
      <c s="3">
        <v>112</v>
      </c>
      <c s="7">
        <v>201</v>
      </c>
      <c s="3">
        <v>24</v>
      </c>
      <c s="3">
        <v>49</v>
      </c>
      <c s="7">
        <v>73</v>
      </c>
      <c s="3">
        <v>1670</v>
      </c>
      <c s="3">
        <v>1311</v>
      </c>
      <c s="7">
        <v>2981</v>
      </c>
    </row>
    <row>
      <c s="28" t="s">
        <v>101</v>
      </c>
      <c s="3">
        <v>812</v>
      </c>
      <c s="3">
        <v>1588</v>
      </c>
      <c s="7">
        <v>2400</v>
      </c>
      <c s="3">
        <v>302</v>
      </c>
      <c s="3">
        <v>666</v>
      </c>
      <c s="7">
        <v>968</v>
      </c>
      <c s="3">
        <v>192</v>
      </c>
      <c s="3">
        <v>389</v>
      </c>
      <c s="7">
        <v>581</v>
      </c>
      <c s="3">
        <v>197</v>
      </c>
      <c s="3">
        <v>309</v>
      </c>
      <c s="7">
        <v>506</v>
      </c>
      <c s="3">
        <v>168</v>
      </c>
      <c s="3">
        <v>229</v>
      </c>
      <c s="7">
        <v>397</v>
      </c>
      <c s="3">
        <v>163</v>
      </c>
      <c s="3">
        <v>216</v>
      </c>
      <c s="7">
        <v>379</v>
      </c>
      <c s="3">
        <v>177</v>
      </c>
      <c s="3">
        <v>248</v>
      </c>
      <c s="7">
        <v>425</v>
      </c>
      <c s="3">
        <v>75</v>
      </c>
      <c s="3">
        <v>216</v>
      </c>
      <c s="7">
        <v>291</v>
      </c>
      <c s="3">
        <v>12</v>
      </c>
      <c s="3">
        <v>71</v>
      </c>
      <c s="7">
        <v>83</v>
      </c>
      <c s="3">
        <v>2098</v>
      </c>
      <c s="3">
        <v>3932</v>
      </c>
      <c s="7">
        <v>6030</v>
      </c>
    </row>
    <row>
      <c s="28" t="s">
        <v>63</v>
      </c>
      <c s="3">
        <v>472</v>
      </c>
      <c s="3">
        <v>1044</v>
      </c>
      <c s="7">
        <v>1516</v>
      </c>
      <c s="3">
        <v>171</v>
      </c>
      <c s="3">
        <v>418</v>
      </c>
      <c s="7">
        <v>589</v>
      </c>
      <c s="3">
        <v>116</v>
      </c>
      <c s="3">
        <v>254</v>
      </c>
      <c s="7">
        <v>370</v>
      </c>
      <c s="3">
        <v>139</v>
      </c>
      <c s="3">
        <v>199</v>
      </c>
      <c s="7">
        <v>338</v>
      </c>
      <c s="3">
        <v>94</v>
      </c>
      <c s="3">
        <v>170</v>
      </c>
      <c s="7">
        <v>264</v>
      </c>
      <c s="3">
        <v>132</v>
      </c>
      <c s="3">
        <v>150</v>
      </c>
      <c s="7">
        <v>282</v>
      </c>
      <c s="3">
        <v>113</v>
      </c>
      <c s="3">
        <v>145</v>
      </c>
      <c s="7">
        <v>258</v>
      </c>
      <c s="3">
        <v>42</v>
      </c>
      <c s="3">
        <v>119</v>
      </c>
      <c s="7">
        <v>161</v>
      </c>
      <c s="3">
        <v>5</v>
      </c>
      <c s="3">
        <v>49</v>
      </c>
      <c s="7">
        <v>54</v>
      </c>
      <c s="3">
        <v>1284</v>
      </c>
      <c s="3">
        <v>2548</v>
      </c>
      <c s="7">
        <v>3832</v>
      </c>
    </row>
    <row>
      <c s="28" t="s">
        <v>46</v>
      </c>
      <c s="3">
        <v>192</v>
      </c>
      <c s="3">
        <v>314</v>
      </c>
      <c s="7">
        <v>506</v>
      </c>
      <c s="3">
        <v>88</v>
      </c>
      <c s="3">
        <v>160</v>
      </c>
      <c s="7">
        <v>248</v>
      </c>
      <c s="3">
        <v>56</v>
      </c>
      <c s="3">
        <v>83</v>
      </c>
      <c s="7">
        <v>139</v>
      </c>
      <c s="3">
        <v>55</v>
      </c>
      <c s="3">
        <v>76</v>
      </c>
      <c s="7">
        <v>131</v>
      </c>
      <c s="3">
        <v>26</v>
      </c>
      <c s="3">
        <v>63</v>
      </c>
      <c s="7">
        <v>89</v>
      </c>
      <c s="3">
        <v>39</v>
      </c>
      <c s="3">
        <v>53</v>
      </c>
      <c s="7">
        <v>92</v>
      </c>
      <c s="3">
        <v>41</v>
      </c>
      <c s="3">
        <v>73</v>
      </c>
      <c s="7">
        <v>114</v>
      </c>
      <c s="3">
        <v>14</v>
      </c>
      <c s="3">
        <v>60</v>
      </c>
      <c s="7">
        <v>74</v>
      </c>
      <c s="3">
        <v>1</v>
      </c>
      <c s="3">
        <v>39</v>
      </c>
      <c s="7">
        <v>40</v>
      </c>
      <c s="3">
        <v>512</v>
      </c>
      <c s="3">
        <v>921</v>
      </c>
      <c s="7">
        <v>1433</v>
      </c>
    </row>
    <row>
      <c s="28" t="s">
        <v>95</v>
      </c>
      <c s="3">
        <v>525</v>
      </c>
      <c s="3">
        <v>375</v>
      </c>
      <c s="7">
        <v>900</v>
      </c>
      <c s="3">
        <v>216</v>
      </c>
      <c s="3">
        <v>269</v>
      </c>
      <c s="7">
        <v>485</v>
      </c>
      <c s="3">
        <v>177</v>
      </c>
      <c s="3">
        <v>202</v>
      </c>
      <c s="7">
        <v>379</v>
      </c>
      <c s="3">
        <v>154</v>
      </c>
      <c s="3">
        <v>184</v>
      </c>
      <c s="7">
        <v>338</v>
      </c>
      <c s="3">
        <v>134</v>
      </c>
      <c s="3">
        <v>126</v>
      </c>
      <c s="7">
        <v>260</v>
      </c>
      <c s="3">
        <v>148</v>
      </c>
      <c s="3">
        <v>155</v>
      </c>
      <c s="7">
        <v>303</v>
      </c>
      <c s="3">
        <v>152</v>
      </c>
      <c s="3">
        <v>154</v>
      </c>
      <c s="7">
        <v>306</v>
      </c>
      <c s="3">
        <v>56</v>
      </c>
      <c s="3">
        <v>148</v>
      </c>
      <c s="7">
        <v>204</v>
      </c>
      <c s="3">
        <v>14</v>
      </c>
      <c s="3">
        <v>56</v>
      </c>
      <c s="7">
        <v>70</v>
      </c>
      <c s="3">
        <v>1576</v>
      </c>
      <c s="3">
        <v>1669</v>
      </c>
      <c s="7">
        <v>3245</v>
      </c>
    </row>
    <row>
      <c s="28" t="s">
        <v>45</v>
      </c>
      <c s="3">
        <v>252</v>
      </c>
      <c s="3">
        <v>87</v>
      </c>
      <c s="7">
        <v>339</v>
      </c>
      <c s="3">
        <v>140</v>
      </c>
      <c s="3">
        <v>54</v>
      </c>
      <c s="7">
        <v>194</v>
      </c>
      <c s="3">
        <v>129</v>
      </c>
      <c s="3">
        <v>60</v>
      </c>
      <c s="7">
        <v>189</v>
      </c>
      <c s="3">
        <v>146</v>
      </c>
      <c s="3">
        <v>59</v>
      </c>
      <c s="7">
        <v>205</v>
      </c>
      <c s="3">
        <v>103</v>
      </c>
      <c s="3">
        <v>40</v>
      </c>
      <c s="7">
        <v>143</v>
      </c>
      <c s="3">
        <v>107</v>
      </c>
      <c s="3">
        <v>50</v>
      </c>
      <c s="7">
        <v>157</v>
      </c>
      <c s="3">
        <v>86</v>
      </c>
      <c s="3">
        <v>52</v>
      </c>
      <c s="7">
        <v>138</v>
      </c>
      <c s="3">
        <v>35</v>
      </c>
      <c s="3">
        <v>65</v>
      </c>
      <c s="7">
        <v>100</v>
      </c>
      <c s="3">
        <v>2</v>
      </c>
      <c s="3">
        <v>10</v>
      </c>
      <c s="7">
        <v>12</v>
      </c>
      <c s="3">
        <v>1000</v>
      </c>
      <c s="3">
        <v>477</v>
      </c>
      <c s="7">
        <v>1477</v>
      </c>
    </row>
    <row>
      <c s="28" t="s">
        <v>3</v>
      </c>
      <c s="3">
        <v>469</v>
      </c>
      <c s="3">
        <v>419</v>
      </c>
      <c s="7">
        <v>888</v>
      </c>
      <c s="3">
        <v>197</v>
      </c>
      <c s="3">
        <v>228</v>
      </c>
      <c s="7">
        <v>425</v>
      </c>
      <c s="3">
        <v>167</v>
      </c>
      <c s="3">
        <v>145</v>
      </c>
      <c s="7">
        <v>312</v>
      </c>
      <c s="3">
        <v>185</v>
      </c>
      <c s="3">
        <v>133</v>
      </c>
      <c s="7">
        <v>318</v>
      </c>
      <c s="3">
        <v>137</v>
      </c>
      <c s="3">
        <v>122</v>
      </c>
      <c s="7">
        <v>259</v>
      </c>
      <c s="3">
        <v>108</v>
      </c>
      <c s="3">
        <v>102</v>
      </c>
      <c s="7">
        <v>210</v>
      </c>
      <c s="3">
        <v>110</v>
      </c>
      <c s="3">
        <v>98</v>
      </c>
      <c s="7">
        <v>208</v>
      </c>
      <c s="3">
        <v>54</v>
      </c>
      <c s="3">
        <v>64</v>
      </c>
      <c s="7">
        <v>118</v>
      </c>
      <c s="3">
        <v>8</v>
      </c>
      <c s="3">
        <v>41</v>
      </c>
      <c s="7">
        <v>49</v>
      </c>
      <c s="3">
        <v>1435</v>
      </c>
      <c s="3">
        <v>1352</v>
      </c>
      <c s="7">
        <v>2787</v>
      </c>
    </row>
    <row>
      <c s="28" t="s">
        <v>94</v>
      </c>
      <c s="3">
        <v>688</v>
      </c>
      <c s="3">
        <v>739</v>
      </c>
      <c s="7">
        <v>1427</v>
      </c>
      <c s="3">
        <v>281</v>
      </c>
      <c s="3">
        <v>319</v>
      </c>
      <c s="7">
        <v>600</v>
      </c>
      <c s="3">
        <v>219</v>
      </c>
      <c s="3">
        <v>267</v>
      </c>
      <c s="7">
        <v>486</v>
      </c>
      <c s="3">
        <v>223</v>
      </c>
      <c s="3">
        <v>255</v>
      </c>
      <c s="7">
        <v>478</v>
      </c>
      <c s="3">
        <v>184</v>
      </c>
      <c s="3">
        <v>172</v>
      </c>
      <c s="7">
        <v>356</v>
      </c>
      <c s="3">
        <v>174</v>
      </c>
      <c s="3">
        <v>192</v>
      </c>
      <c s="7">
        <v>366</v>
      </c>
      <c s="3">
        <v>156</v>
      </c>
      <c s="3">
        <v>166</v>
      </c>
      <c s="7">
        <v>322</v>
      </c>
      <c s="3">
        <v>47</v>
      </c>
      <c s="3">
        <v>137</v>
      </c>
      <c s="7">
        <v>184</v>
      </c>
      <c s="3">
        <v>21</v>
      </c>
      <c s="3">
        <v>81</v>
      </c>
      <c s="7">
        <v>102</v>
      </c>
      <c s="3">
        <v>1993</v>
      </c>
      <c s="3">
        <v>2328</v>
      </c>
      <c s="7">
        <v>4321</v>
      </c>
    </row>
    <row>
      <c s="28" t="s">
        <v>26</v>
      </c>
      <c s="3">
        <v>277</v>
      </c>
      <c s="3">
        <v>146</v>
      </c>
      <c s="7">
        <v>423</v>
      </c>
      <c s="3">
        <v>111</v>
      </c>
      <c s="3">
        <v>82</v>
      </c>
      <c s="7">
        <v>193</v>
      </c>
      <c s="3">
        <v>127</v>
      </c>
      <c s="3">
        <v>92</v>
      </c>
      <c s="7">
        <v>219</v>
      </c>
      <c s="3">
        <v>128</v>
      </c>
      <c s="3">
        <v>92</v>
      </c>
      <c s="7">
        <v>220</v>
      </c>
      <c s="3">
        <v>92</v>
      </c>
      <c s="3">
        <v>80</v>
      </c>
      <c s="7">
        <v>172</v>
      </c>
      <c s="3">
        <v>119</v>
      </c>
      <c s="3">
        <v>70</v>
      </c>
      <c s="7">
        <v>189</v>
      </c>
      <c s="3">
        <v>101</v>
      </c>
      <c s="3">
        <v>69</v>
      </c>
      <c s="7">
        <v>170</v>
      </c>
      <c s="3">
        <v>44</v>
      </c>
      <c s="3">
        <v>37</v>
      </c>
      <c s="7">
        <v>81</v>
      </c>
      <c s="3">
        <v>15</v>
      </c>
      <c s="3">
        <v>64</v>
      </c>
      <c s="7">
        <v>79</v>
      </c>
      <c s="3">
        <v>1014</v>
      </c>
      <c s="3">
        <v>732</v>
      </c>
      <c s="7">
        <v>1746</v>
      </c>
    </row>
    <row>
      <c s="28" t="s">
        <v>18</v>
      </c>
      <c s="3">
        <v>85</v>
      </c>
      <c s="3">
        <v>61</v>
      </c>
      <c s="7">
        <v>146</v>
      </c>
      <c s="3">
        <v>72</v>
      </c>
      <c s="3">
        <v>40</v>
      </c>
      <c s="7">
        <v>112</v>
      </c>
      <c s="3">
        <v>73</v>
      </c>
      <c s="3">
        <v>42</v>
      </c>
      <c s="7">
        <v>115</v>
      </c>
      <c s="3">
        <v>109</v>
      </c>
      <c s="3">
        <v>57</v>
      </c>
      <c s="7">
        <v>166</v>
      </c>
      <c s="3">
        <v>90</v>
      </c>
      <c s="3">
        <v>51</v>
      </c>
      <c s="7">
        <v>141</v>
      </c>
      <c s="3">
        <v>65</v>
      </c>
      <c s="3">
        <v>45</v>
      </c>
      <c s="7">
        <v>110</v>
      </c>
      <c s="3">
        <v>62</v>
      </c>
      <c s="3">
        <v>55</v>
      </c>
      <c s="7">
        <v>117</v>
      </c>
      <c s="3">
        <v>47</v>
      </c>
      <c s="3">
        <v>44</v>
      </c>
      <c s="7">
        <v>91</v>
      </c>
      <c s="3">
        <v>10</v>
      </c>
      <c s="3">
        <v>16</v>
      </c>
      <c s="7">
        <v>26</v>
      </c>
      <c s="3">
        <v>613</v>
      </c>
      <c s="3">
        <v>411</v>
      </c>
      <c s="7">
        <v>1024</v>
      </c>
    </row>
    <row>
      <c s="28" t="s">
        <v>12</v>
      </c>
      <c s="3">
        <v>70</v>
      </c>
      <c s="3">
        <v>45</v>
      </c>
      <c s="7">
        <v>115</v>
      </c>
      <c s="3">
        <v>84</v>
      </c>
      <c s="3">
        <v>77</v>
      </c>
      <c s="7">
        <v>161</v>
      </c>
      <c s="3">
        <v>91</v>
      </c>
      <c s="3">
        <v>78</v>
      </c>
      <c s="7">
        <v>169</v>
      </c>
      <c s="3">
        <v>114</v>
      </c>
      <c s="3">
        <v>104</v>
      </c>
      <c s="7">
        <v>218</v>
      </c>
      <c s="3">
        <v>98</v>
      </c>
      <c s="3">
        <v>92</v>
      </c>
      <c s="7">
        <v>190</v>
      </c>
      <c s="3">
        <v>111</v>
      </c>
      <c s="3">
        <v>120</v>
      </c>
      <c s="7">
        <v>231</v>
      </c>
      <c s="3">
        <v>115</v>
      </c>
      <c s="3">
        <v>109</v>
      </c>
      <c s="7">
        <v>224</v>
      </c>
      <c s="3">
        <v>73</v>
      </c>
      <c s="3">
        <v>129</v>
      </c>
      <c s="7">
        <v>202</v>
      </c>
      <c s="3">
        <v>18</v>
      </c>
      <c s="3">
        <v>42</v>
      </c>
      <c s="7">
        <v>60</v>
      </c>
      <c s="3">
        <v>774</v>
      </c>
      <c s="3">
        <v>796</v>
      </c>
      <c s="7">
        <v>1570</v>
      </c>
    </row>
    <row>
      <c s="28" t="s">
        <v>25</v>
      </c>
      <c s="3">
        <v>103</v>
      </c>
      <c s="3">
        <v>59</v>
      </c>
      <c s="7">
        <v>162</v>
      </c>
      <c s="3">
        <v>47</v>
      </c>
      <c s="3">
        <v>34</v>
      </c>
      <c s="7">
        <v>81</v>
      </c>
      <c s="3">
        <v>54</v>
      </c>
      <c s="3">
        <v>39</v>
      </c>
      <c s="7">
        <v>93</v>
      </c>
      <c s="3">
        <v>65</v>
      </c>
      <c s="3">
        <v>58</v>
      </c>
      <c s="7">
        <v>123</v>
      </c>
      <c s="3">
        <v>58</v>
      </c>
      <c s="3">
        <v>36</v>
      </c>
      <c s="7">
        <v>94</v>
      </c>
      <c s="3">
        <v>50</v>
      </c>
      <c s="3">
        <v>59</v>
      </c>
      <c s="7">
        <v>109</v>
      </c>
      <c s="3">
        <v>53</v>
      </c>
      <c s="3">
        <v>66</v>
      </c>
      <c s="7">
        <v>119</v>
      </c>
      <c s="3">
        <v>36</v>
      </c>
      <c s="3">
        <v>60</v>
      </c>
      <c s="7">
        <v>96</v>
      </c>
      <c s="3">
        <v>15</v>
      </c>
      <c s="3">
        <v>33</v>
      </c>
      <c s="7">
        <v>48</v>
      </c>
      <c s="3">
        <v>481</v>
      </c>
      <c s="3">
        <v>444</v>
      </c>
      <c s="7">
        <v>925</v>
      </c>
    </row>
    <row>
      <c s="28" t="s">
        <v>84</v>
      </c>
      <c s="3">
        <v>56</v>
      </c>
      <c s="3">
        <v>43</v>
      </c>
      <c s="7">
        <v>99</v>
      </c>
      <c s="3">
        <v>34</v>
      </c>
      <c s="3">
        <v>30</v>
      </c>
      <c s="7">
        <v>64</v>
      </c>
      <c s="3">
        <v>54</v>
      </c>
      <c s="3">
        <v>41</v>
      </c>
      <c s="7">
        <v>95</v>
      </c>
      <c s="3">
        <v>43</v>
      </c>
      <c s="3">
        <v>55</v>
      </c>
      <c s="7">
        <v>98</v>
      </c>
      <c s="3">
        <v>56</v>
      </c>
      <c s="3">
        <v>56</v>
      </c>
      <c s="7">
        <v>112</v>
      </c>
      <c s="3">
        <v>47</v>
      </c>
      <c s="3">
        <v>58</v>
      </c>
      <c s="7">
        <v>105</v>
      </c>
      <c s="3">
        <v>63</v>
      </c>
      <c s="3">
        <v>76</v>
      </c>
      <c s="7">
        <v>139</v>
      </c>
      <c s="3">
        <v>27</v>
      </c>
      <c s="3">
        <v>63</v>
      </c>
      <c s="7">
        <v>90</v>
      </c>
      <c s="3">
        <v>3</v>
      </c>
      <c s="3">
        <v>16</v>
      </c>
      <c s="7">
        <v>19</v>
      </c>
      <c s="3">
        <v>383</v>
      </c>
      <c s="3">
        <v>438</v>
      </c>
      <c s="7">
        <v>821</v>
      </c>
    </row>
    <row>
      <c s="28" t="s">
        <v>68</v>
      </c>
      <c s="3">
        <v>82</v>
      </c>
      <c s="3">
        <v>32</v>
      </c>
      <c s="7">
        <v>114</v>
      </c>
      <c s="3">
        <v>53</v>
      </c>
      <c s="3">
        <v>20</v>
      </c>
      <c s="7">
        <v>73</v>
      </c>
      <c s="3">
        <v>61</v>
      </c>
      <c s="3">
        <v>41</v>
      </c>
      <c s="7">
        <v>102</v>
      </c>
      <c s="3">
        <v>65</v>
      </c>
      <c s="3">
        <v>44</v>
      </c>
      <c s="7">
        <v>109</v>
      </c>
      <c s="3">
        <v>41</v>
      </c>
      <c s="3">
        <v>30</v>
      </c>
      <c s="7">
        <v>71</v>
      </c>
      <c s="3">
        <v>43</v>
      </c>
      <c s="3">
        <v>30</v>
      </c>
      <c s="7">
        <v>73</v>
      </c>
      <c s="3">
        <v>35</v>
      </c>
      <c s="3">
        <v>46</v>
      </c>
      <c s="7">
        <v>81</v>
      </c>
      <c s="3">
        <v>18</v>
      </c>
      <c s="3">
        <v>25</v>
      </c>
      <c s="7">
        <v>43</v>
      </c>
      <c s="3">
        <v>4</v>
      </c>
      <c s="3">
        <v>5</v>
      </c>
      <c s="7">
        <v>9</v>
      </c>
      <c s="3">
        <v>402</v>
      </c>
      <c s="3">
        <v>273</v>
      </c>
      <c s="7">
        <v>675</v>
      </c>
    </row>
    <row>
      <c s="28" t="s">
        <v>76</v>
      </c>
      <c s="3">
        <v>47</v>
      </c>
      <c s="3">
        <v>10</v>
      </c>
      <c s="7">
        <v>57</v>
      </c>
      <c s="3">
        <v>42</v>
      </c>
      <c s="3">
        <v>17</v>
      </c>
      <c s="7">
        <v>59</v>
      </c>
      <c s="3">
        <v>47</v>
      </c>
      <c s="3">
        <v>22</v>
      </c>
      <c s="7">
        <v>69</v>
      </c>
      <c s="3">
        <v>65</v>
      </c>
      <c s="3">
        <v>22</v>
      </c>
      <c s="7">
        <v>87</v>
      </c>
      <c s="3">
        <v>48</v>
      </c>
      <c s="3">
        <v>28</v>
      </c>
      <c s="7">
        <v>76</v>
      </c>
      <c s="3">
        <v>46</v>
      </c>
      <c s="3">
        <v>20</v>
      </c>
      <c s="7">
        <v>66</v>
      </c>
      <c s="3">
        <v>52</v>
      </c>
      <c s="3">
        <v>34</v>
      </c>
      <c s="7">
        <v>86</v>
      </c>
      <c s="3">
        <v>27</v>
      </c>
      <c s="3">
        <v>34</v>
      </c>
      <c s="7">
        <v>61</v>
      </c>
      <c s="3">
        <v>6</v>
      </c>
      <c s="3">
        <v>7</v>
      </c>
      <c s="7">
        <v>13</v>
      </c>
      <c s="3">
        <v>380</v>
      </c>
      <c s="3">
        <v>194</v>
      </c>
      <c s="7">
        <v>574</v>
      </c>
    </row>
    <row>
      <c s="28" t="s">
        <v>49</v>
      </c>
      <c s="3">
        <v>57</v>
      </c>
      <c s="3">
        <v>29</v>
      </c>
      <c s="7">
        <v>86</v>
      </c>
      <c s="3">
        <v>69</v>
      </c>
      <c s="3">
        <v>42</v>
      </c>
      <c s="7">
        <v>111</v>
      </c>
      <c s="3">
        <v>102</v>
      </c>
      <c s="3">
        <v>54</v>
      </c>
      <c s="7">
        <v>156</v>
      </c>
      <c s="3">
        <v>119</v>
      </c>
      <c s="3">
        <v>89</v>
      </c>
      <c s="7">
        <v>208</v>
      </c>
      <c s="3">
        <v>128</v>
      </c>
      <c s="3">
        <v>98</v>
      </c>
      <c s="7">
        <v>226</v>
      </c>
      <c s="3">
        <v>106</v>
      </c>
      <c s="3">
        <v>97</v>
      </c>
      <c s="7">
        <v>203</v>
      </c>
      <c s="3">
        <v>103</v>
      </c>
      <c s="3">
        <v>112</v>
      </c>
      <c s="7">
        <v>215</v>
      </c>
      <c s="3">
        <v>55</v>
      </c>
      <c s="3">
        <v>85</v>
      </c>
      <c s="7">
        <v>140</v>
      </c>
      <c s="3">
        <v>29</v>
      </c>
      <c s="3">
        <v>77</v>
      </c>
      <c s="7">
        <v>106</v>
      </c>
      <c s="3">
        <v>768</v>
      </c>
      <c s="3">
        <v>683</v>
      </c>
      <c s="7">
        <v>1451</v>
      </c>
    </row>
    <row>
      <c s="28" t="s">
        <v>23</v>
      </c>
      <c s="3">
        <v>10850</v>
      </c>
      <c s="3">
        <v>9354</v>
      </c>
      <c s="7">
        <v>20204</v>
      </c>
      <c s="3">
        <v>4769</v>
      </c>
      <c s="3">
        <v>5066</v>
      </c>
      <c s="7">
        <v>9835</v>
      </c>
      <c s="3">
        <v>3984</v>
      </c>
      <c s="3">
        <v>3779</v>
      </c>
      <c s="7">
        <v>7763</v>
      </c>
      <c s="3">
        <v>4036</v>
      </c>
      <c s="3">
        <v>3519</v>
      </c>
      <c s="7">
        <v>7555</v>
      </c>
      <c s="3">
        <v>3426</v>
      </c>
      <c s="3">
        <v>2841</v>
      </c>
      <c s="7">
        <v>6267</v>
      </c>
      <c s="3">
        <v>3251</v>
      </c>
      <c s="3">
        <v>2790</v>
      </c>
      <c s="7">
        <v>6041</v>
      </c>
      <c s="3">
        <v>3206</v>
      </c>
      <c s="3">
        <v>3008</v>
      </c>
      <c s="7">
        <v>6214</v>
      </c>
      <c s="3">
        <v>1554</v>
      </c>
      <c s="3">
        <v>2636</v>
      </c>
      <c s="7">
        <v>4190</v>
      </c>
      <c s="3">
        <v>408</v>
      </c>
      <c s="3">
        <v>1268</v>
      </c>
      <c s="7">
        <v>1676</v>
      </c>
      <c s="3">
        <v>35484</v>
      </c>
      <c s="3">
        <v>34261</v>
      </c>
      <c s="7">
        <v>69745</v>
      </c>
    </row>
    <row>
      <c/>
    </row>
    <row>
      <c s="55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2"/>
      <c s="2"/>
      <c s="2"/>
      <c s="2"/>
      <c s="2"/>
      <c s="2"/>
      <c s="2"/>
      <c s="2"/>
      <c s="2"/>
      <c s="2"/>
      <c s="2"/>
    </row>
    <row>
      <c s="2"/>
      <c s="2"/>
      <c s="2"/>
      <c s="2"/>
      <c s="2"/>
      <c s="2"/>
      <c s="2"/>
      <c s="2"/>
      <c s="2"/>
      <c s="2"/>
      <c s="2"/>
    </row>
    <row>
      <c s="2"/>
      <c s="2"/>
      <c s="2"/>
      <c s="2"/>
      <c s="2"/>
      <c s="2"/>
      <c s="2"/>
      <c s="2"/>
      <c s="2"/>
      <c s="2"/>
      <c s="2"/>
    </row>
    <row>
      <c s="42"/>
      <c s="8"/>
      <c s="8"/>
      <c s="8"/>
      <c s="8"/>
      <c s="8"/>
      <c s="8"/>
      <c s="8"/>
      <c s="8"/>
      <c s="8"/>
      <c s="2"/>
    </row>
    <row>
      <c s="2"/>
      <c s="2"/>
      <c s="2"/>
      <c s="2"/>
      <c s="2"/>
      <c s="2"/>
      <c s="2"/>
      <c s="2"/>
      <c s="2"/>
      <c s="2"/>
      <c s="2"/>
    </row>
    <row>
      <c s="2"/>
      <c s="2"/>
      <c s="2"/>
      <c s="2"/>
      <c s="2"/>
      <c s="2"/>
      <c s="2"/>
      <c s="2"/>
      <c s="2"/>
      <c s="2"/>
      <c s="2"/>
    </row>
    <row>
      <c s="2"/>
      <c s="2"/>
      <c s="2"/>
      <c s="2"/>
      <c s="2"/>
      <c s="2"/>
      <c s="2"/>
      <c s="2"/>
      <c s="2"/>
      <c s="2"/>
      <c s="2"/>
    </row>
    <row>
      <c s="2"/>
      <c s="2"/>
      <c s="2"/>
      <c s="2"/>
      <c s="2"/>
      <c s="2"/>
      <c s="2"/>
      <c s="2"/>
      <c s="2"/>
      <c s="2"/>
      <c s="2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15">
    <mergeCell ref="A3:Q3"/>
    <mergeCell ref="A4:Q4"/>
    <mergeCell ref="A5:Q5"/>
    <mergeCell ref="A6:Q6"/>
    <mergeCell ref="B18:AE18"/>
    <mergeCell ref="B19:D19"/>
    <mergeCell ref="E19:G19"/>
    <mergeCell ref="H19:J19"/>
    <mergeCell ref="K19:M19"/>
    <mergeCell ref="N19:P19"/>
    <mergeCell ref="Q19:S19"/>
    <mergeCell ref="T19:V19"/>
    <mergeCell ref="W19:Y19"/>
    <mergeCell ref="Z19:AB19"/>
    <mergeCell ref="AC19:AE19"/>
  </mergeCells>
  <pageMargins left="0.70866141732283472" right="0.70866141732283472" top="0.78740157480314965" bottom="0.78740157480314965" header="0.31496062992125984" footer="0.31496062992125984"/>
  <pageSetup paperSize="9" scale="35" orientation="landscape"/>
  <headerFooter>
    <oddHeader>&amp;L&amp;"Tahoma,Standard"&amp;10unidata.gv.at&amp;R&amp;"Tahoma,Standard"&amp;10&amp;D</oddHeader>
    <oddFooter>&amp;R&amp;"Tahoma,Standard"&amp;10&amp;P/&amp;N</oddFooter>
  </headerFooter>
  <colBreaks count="2" manualBreakCount="2">
    <brk id="13" max="45" man="1"/>
    <brk id="25" max="45" man="1"/>
  </colBreaks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9"/>
  <sheetViews>
    <sheetView workbookViewId="0">
      <selection activeCell="E39" sqref="E39"/>
    </sheetView>
  </sheetViews>
  <sheetFormatPr defaultColWidth="9.140625" defaultRowHeight="13.6"/>
  <cols>
    <col min="1" max="1" width="13.5703125" style="21" customWidth="1"/>
    <col min="2" max="2" width="40.85546875" style="21" customWidth="1"/>
    <col min="3" max="3" width="28.140625" style="21" customWidth="1"/>
    <col min="4" max="4" width="16.28515625" style="21" customWidth="1"/>
    <col min="5" max="5" width="19.42578125" style="21" customWidth="1"/>
    <col min="6" max="6" width="11.140625" style="21" customWidth="1"/>
    <col min="7" max="7" width="9.140625" style="21" customWidth="1"/>
    <col min="8" max="8" width="17.28515625" style="21" customWidth="1"/>
    <col min="9" max="9" width="19.5703125" style="21" customWidth="1"/>
    <col min="10" max="12" width="12.42578125" style="21" customWidth="1"/>
    <col min="13" max="13" width="16" style="21" customWidth="1"/>
    <col min="14" max="14" width="14.28515625" style="21" customWidth="1"/>
    <col min="15" max="15" width="18.28515625" style="21" customWidth="1"/>
    <col min="16" max="25" width="9.140625" style="21" customWidth="1"/>
    <col min="26" max="26" width="9.140625" style="21" hidden="1" customWidth="1"/>
    <col min="27" max="27" width="9.140625" style="21" customWidth="1"/>
    <col min="28" max="16384" width="9.140625" style="21"/>
  </cols>
  <sheetData>
    <row>
      <c s="35"/>
      <c r="H1" s="47">
        <v>129806172700000000</v>
      </c>
      <c r="Z1" s="45" t="b">
        <f>0=1</f>
        <v>0</v>
      </c>
    </row>
    <row>
      <c r="Z2" s="45" t="b">
        <f>1=1</f>
        <v>1</v>
      </c>
    </row>
    <row>
      <c r="Z3" s="45"/>
    </row>
    <row>
      <c r="I4" s="21" t="s">
        <v>41</v>
      </c>
      <c s="29" t="s">
        <v>77</v>
      </c>
      <c s="12"/>
      <c s="12"/>
      <c s="12"/>
      <c s="12"/>
      <c s="12"/>
    </row>
    <row>
      <c r="J5" s="26" t="s">
        <v>30</v>
      </c>
      <c s="17" t="s">
        <v>58</v>
      </c>
      <c s="17" t="s">
        <v>69</v>
      </c>
      <c s="26" t="s">
        <v>104</v>
      </c>
      <c s="54" t="s">
        <v>86</v>
      </c>
      <c s="17" t="s">
        <v>6</v>
      </c>
    </row>
    <row>
      <c r="B6" s="23" t="s">
        <v>87</v>
      </c>
      <c s="20" t="s">
        <v>98</v>
      </c>
      <c s="43" t="s">
        <v>13</v>
      </c>
      <c s="11" t="s">
        <v>59</v>
      </c>
    </row>
    <row>
      <c r="C7" s="19"/>
      <c s="27" t="s">
        <v>14</v>
      </c>
      <c s="11" t="s">
        <v>64</v>
      </c>
    </row>
    <row>
      <c r="C8" s="27" t="s">
        <v>7</v>
      </c>
      <c s="19"/>
    </row>
    <row>
      <c r="C9" s="19"/>
      <c s="20" t="s">
        <v>31</v>
      </c>
      <c s="36"/>
    </row>
    <row>
      <c r="C10" s="20" t="s">
        <v>50</v>
      </c>
      <c s="60" t="s">
        <v>70</v>
      </c>
      <c s="11" t="s">
        <v>20</v>
      </c>
    </row>
    <row>
      <c r="B11" s="23" t="s">
        <v>60</v>
      </c>
      <c s="41" t="s">
        <v>51</v>
      </c>
      <c s="38">
        <v>60398</v>
      </c>
      <c s="11" t="s">
        <v>32</v>
      </c>
    </row>
    <row>
      <c r="B12" s="23"/>
      <c s="51"/>
      <c s="64"/>
      <c s="32" t="s">
        <v>78</v>
      </c>
    </row>
    <row>
      <c r="B13" s="23" t="s">
        <v>52</v>
      </c>
      <c s="48" t="s">
        <v>27</v>
      </c>
      <c s="39">
        <v>1212</v>
      </c>
      <c s="21" t="b">
        <v>0</v>
      </c>
      <c s="11" t="s">
        <v>71</v>
      </c>
    </row>
    <row ht="12.75" hidden="1">
      <c r="B14" s="23"/>
      <c s="48"/>
      <c s="61"/>
      <c s="21" t="b">
        <v>0</v>
      </c>
    </row>
    <row>
      <c r="B15" s="23" t="s">
        <v>99</v>
      </c>
      <c s="21" t="s">
        <v>102</v>
      </c>
      <c s="40">
        <v>1212</v>
      </c>
      <c s="21" t="b">
        <v>0</v>
      </c>
      <c s="11" t="s">
        <v>28</v>
      </c>
    </row>
    <row ht="12.75" hidden="1">
      <c r="B16" s="23"/>
      <c r="D16" s="18"/>
      <c s="21" t="b">
        <v>0</v>
      </c>
      <c s="11"/>
    </row>
    <row>
      <c r="B17" s="23"/>
      <c s="21" t="s">
        <v>33</v>
      </c>
      <c s="33">
        <v>3434</v>
      </c>
      <c s="21" t="b">
        <v>0</v>
      </c>
      <c s="11" t="s">
        <v>72</v>
      </c>
    </row>
    <row>
      <c r="B18" s="23"/>
      <c r="D18" s="18"/>
      <c s="21" t="b">
        <v>0</v>
      </c>
      <c s="11"/>
    </row>
    <row>
      <c r="B19" s="23"/>
      <c s="21" t="s">
        <v>8</v>
      </c>
      <c s="34">
        <v>3434</v>
      </c>
      <c s="21" t="b">
        <v>0</v>
      </c>
      <c s="11" t="s">
        <v>88</v>
      </c>
    </row>
    <row>
      <c r="B20" s="23"/>
      <c r="D20" s="18"/>
      <c s="21" t="b">
        <v>0</v>
      </c>
      <c s="11"/>
    </row>
    <row>
      <c r="B21" s="23"/>
      <c s="21" t="s">
        <v>89</v>
      </c>
      <c s="63">
        <v>5656</v>
      </c>
      <c s="21" t="b">
        <v>0</v>
      </c>
      <c s="11" t="s">
        <v>105</v>
      </c>
    </row>
    <row>
      <c r="B22" s="23"/>
      <c r="E22" s="11"/>
      <c r="I22" s="44"/>
    </row>
    <row>
      <c r="B23" s="22" t="s">
        <v>9</v>
      </c>
      <c s="22"/>
    </row>
    <row>
      <c r="B24" s="10" t="s">
        <v>61</v>
      </c>
      <c s="10" t="s">
        <v>34</v>
      </c>
      <c s="10" t="s">
        <v>15</v>
      </c>
      <c s="10" t="s">
        <v>90</v>
      </c>
      <c s="10"/>
      <c s="10"/>
      <c s="10" t="s">
        <v>106</v>
      </c>
    </row>
    <row>
      <c s="21" t="s">
        <v>65</v>
      </c>
      <c r="C25" s="49" t="s">
        <v>62</v>
      </c>
      <c s="24" t="s">
        <v>74</v>
      </c>
      <c s="24">
        <v>1234.5599999999999</v>
      </c>
      <c s="11" t="s">
        <v>79</v>
      </c>
      <c r="H25" s="21" t="s">
        <v>91</v>
      </c>
    </row>
    <row>
      <c s="21" t="s">
        <v>100</v>
      </c>
      <c r="C26" s="49" t="s">
        <v>62</v>
      </c>
      <c s="24" t="s">
        <v>74</v>
      </c>
      <c s="24">
        <v>1234.5599999999999</v>
      </c>
      <c s="11" t="s">
        <v>66</v>
      </c>
      <c r="H26" s="21" t="s">
        <v>107</v>
      </c>
    </row>
    <row>
      <c r="C27" s="49" t="s">
        <v>62</v>
      </c>
      <c s="37" t="s">
        <v>74</v>
      </c>
      <c s="24">
        <v>1234.5599999999999</v>
      </c>
      <c r="H27" s="21" t="s">
        <v>67</v>
      </c>
    </row>
    <row>
      <c r="C28" s="58" t="s">
        <v>53</v>
      </c>
      <c s="37" t="s">
        <v>37</v>
      </c>
      <c s="24">
        <v>1234.5599999999999</v>
      </c>
      <c r="H28" s="21" t="s">
        <v>35</v>
      </c>
    </row>
    <row>
      <c r="C29" s="58" t="s">
        <v>53</v>
      </c>
      <c s="37" t="s">
        <v>38</v>
      </c>
      <c s="24">
        <v>1234.5599999999999</v>
      </c>
      <c r="H29" s="21" t="s">
        <v>108</v>
      </c>
    </row>
    <row>
      <c r="C30" s="58" t="s">
        <v>53</v>
      </c>
      <c s="37" t="s">
        <v>2</v>
      </c>
      <c s="24">
        <v>1234.5599999999999</v>
      </c>
    </row>
    <row>
      <c r="C31" s="58" t="s">
        <v>53</v>
      </c>
      <c s="37" t="s">
        <v>75</v>
      </c>
      <c s="24">
        <v>1234.5599999999999</v>
      </c>
    </row>
    <row>
      <c r="C32" s="58" t="s">
        <v>53</v>
      </c>
      <c s="37" t="s">
        <v>44</v>
      </c>
      <c s="24">
        <v>1234.5599999999999</v>
      </c>
    </row>
    <row>
      <c r="C33" s="58" t="s">
        <v>53</v>
      </c>
      <c s="37" t="s">
        <v>11</v>
      </c>
      <c s="24">
        <v>1234.5599999999999</v>
      </c>
    </row>
    <row>
      <c r="C34" s="58" t="s">
        <v>53</v>
      </c>
      <c s="37" t="s">
        <v>83</v>
      </c>
      <c s="24">
        <v>1234.5599999999999</v>
      </c>
    </row>
    <row>
      <c r="C35" s="58" t="s">
        <v>53</v>
      </c>
      <c s="37" t="s">
        <v>48</v>
      </c>
      <c s="24">
        <v>1234.5599999999999</v>
      </c>
    </row>
    <row>
      <c r="C36" s="58" t="s">
        <v>53</v>
      </c>
      <c s="37" t="s">
        <v>24</v>
      </c>
      <c s="24">
        <v>1234.5599999999999</v>
      </c>
    </row>
    <row>
      <c r="C37" s="58" t="s">
        <v>10</v>
      </c>
      <c s="37" t="s">
        <v>16</v>
      </c>
      <c s="24">
        <v>1234.5599999999999</v>
      </c>
    </row>
    <row>
      <c r="C38" s="58" t="s">
        <v>47</v>
      </c>
      <c s="56" t="s">
        <v>23</v>
      </c>
      <c s="53">
        <v>1234.5599999999999</v>
      </c>
    </row>
    <row>
      <c r="C39" s="58" t="s">
        <v>53</v>
      </c>
      <c s="30" t="s">
        <v>23</v>
      </c>
      <c s="59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
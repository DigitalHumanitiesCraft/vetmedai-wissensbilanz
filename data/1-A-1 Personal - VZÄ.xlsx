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3.25.102"/>
  <workbookPr defaultThemeVersion="124226"/>
  <bookViews>
    <workbookView xWindow="0" yWindow="0" windowWidth="18570" windowHeight="6570"/>
  </bookViews>
  <sheets>
    <sheet name="Tab" sheetId="1" r:id="rId1"/>
    <sheet name="Tabelle2" sheetId="2" state="hidden" r:id="rId2"/>
    <sheet name="XLCubedFormats" sheetId="3" state="hidden" r:id="rId3"/>
  </sheets>
  <definedNames>
    <definedName name="_xlnm.Print_Area" localSheetId="0">Tab!$A$1:$G$399</definedName>
    <definedName name="XL3DisableCameraObjects" hidden="1">XLCubedFormats!A1</definedName>
    <definedName name="XL3ObjLocationdd27cd48_fa11_45a9_998b_337c7fb051df">Tab!$A$14</definedName>
  </definedNames>
  <calcPr calcId="40001"/>
</workbook>
</file>

<file path=xl/sharedStrings.xml><?xml version="1.0" encoding="utf-8"?>
<sst xmlns="http://schemas.openxmlformats.org/spreadsheetml/2006/main" uniqueCount="619">
  <si>
    <t>Slicer Button Background</t>
  </si>
  <si>
    <t>Grid Title</t>
  </si>
  <si>
    <t>Oth Written Member</t>
  </si>
  <si>
    <t>Fill in Grid Name, Dimension or Both</t>
  </si>
  <si>
    <t>Semester und Datenstichtag</t>
  </si>
  <si>
    <t xml:space="preserve">   Allgemeines Personal</t>
  </si>
  <si>
    <t>Wirtschaftsuniversität Wien</t>
  </si>
  <si>
    <t xml:space="preserve">   UI</t>
  </si>
  <si>
    <t>Ohne ausgeschiedene Personen. Mit dem Beschäftigungsausmaß gewichtete Personen-Einheiten.</t>
  </si>
  <si>
    <t>Wintersemester 2018 (Stichtag: 31.12.2018)</t>
  </si>
  <si>
    <t xml:space="preserve">   Univ.f.Weiterbild.Krems</t>
  </si>
  <si>
    <t xml:space="preserve">   UM</t>
  </si>
  <si>
    <t>UA Wintersemester 2009 (Stichtag: 31.12.2009)</t>
  </si>
  <si>
    <t>UB Wintersemester 2007 (Stichtag: 31.12.2007)</t>
  </si>
  <si>
    <t>UC Wintersemester 2011 (Stichtag: 31.12.2011)</t>
  </si>
  <si>
    <t>UE Wintersemester 2008 (Stichtag: 31.12.2008)</t>
  </si>
  <si>
    <t>UF Wintersemester 2006 (Stichtag: 31.12.2006)</t>
  </si>
  <si>
    <t>UF Wintersemester 2012 (Stichtag: 31.12.2012)</t>
  </si>
  <si>
    <t>UG Wintersemester 2010 (Stichtag: 31.12.2010)</t>
  </si>
  <si>
    <t>UH Wintersemester 2009 (Stichtag: 31.12.2009)</t>
  </si>
  <si>
    <t>UI Wintersemester 2007 (Stichtag: 31.12.2007)</t>
  </si>
  <si>
    <t>UJ Wintersemester 2011 (Stichtag: 31.12.2011)</t>
  </si>
  <si>
    <t>UL Wintersemester 2008 (Stichtag: 31.12.2008)</t>
  </si>
  <si>
    <t>UM Wintersemester 2012 (Stichtag: 31.12.2012)</t>
  </si>
  <si>
    <t>UN Wintersemester 2010 (Stichtag: 31.12.2010)</t>
  </si>
  <si>
    <t>UO Wintersemester 2009 (Stichtag: 31.12.2009)</t>
  </si>
  <si>
    <t>US Wintersemester 2014 (Stichtag: 31.12.2014)</t>
  </si>
  <si>
    <t>UT Wintersemester 2012 (Stichtag: 31.12.2012)</t>
  </si>
  <si>
    <t>UV Wintersemester 2015 (Stichtag: 31.12.2015)</t>
  </si>
  <si>
    <t>UW Wintersemester 2013 (Stichtag: 31.12.2013)</t>
  </si>
  <si>
    <t>UC</t>
  </si>
  <si>
    <t>UG</t>
  </si>
  <si>
    <t>UB Wintersemester 2021 (Stichtag: 31.12.2021)</t>
  </si>
  <si>
    <t>WS2022</t>
  </si>
  <si>
    <t>UE Wintersemester 2022 (Stichtag: 31.12.2022)</t>
  </si>
  <si>
    <t>UA Wintersemester 2023 (Stichtag: 31.12.2023)</t>
  </si>
  <si>
    <t>UH Wintersemester 2023 (Stichtag: 31.12.2023)</t>
  </si>
  <si>
    <t>UO Wintersemester 2023 (Stichtag: 31.12.2023)</t>
  </si>
  <si>
    <t>UD Wintersemester 2024 (Stichtag: 31.12.2024)</t>
  </si>
  <si>
    <t>UK Wintersemester 2024 (Stichtag: 31.12.2024)</t>
  </si>
  <si>
    <t>UR Wintersemester 2024 (Stichtag: 31.12.2024)</t>
  </si>
  <si>
    <t>Universität</t>
  </si>
  <si>
    <t>All Marital Status</t>
  </si>
  <si>
    <t>Male</t>
  </si>
  <si>
    <t>Member1 Name</t>
  </si>
  <si>
    <t>Wintersemester 2011 (Stichtag: 31.12.2011)</t>
  </si>
  <si>
    <t>Universität für Musik und darstellende Kunst Wien</t>
  </si>
  <si>
    <t xml:space="preserve">   Techn.Universität Wien</t>
  </si>
  <si>
    <t xml:space="preserve">   UU</t>
  </si>
  <si>
    <t xml:space="preserve">   UQ</t>
  </si>
  <si>
    <t>Beschäftigungsausmaß</t>
  </si>
  <si>
    <t xml:space="preserve">         darunter Krankenpflege im Rahmen einer öff. Krankenanstalt und Tierpflege in med. Einrichtungen</t>
  </si>
  <si>
    <t xml:space="preserve">   Univ.f.Mus.u.darst.K.Graz</t>
  </si>
  <si>
    <t>UA Wintersemester 2017 (Stichtag: 31.12.2017)</t>
  </si>
  <si>
    <t>UB Wintersemester 2015 (Stichtag: 31.12.2015)</t>
  </si>
  <si>
    <t>UC Wintersemester 2013 (Stichtag: 31.12.2013)</t>
  </si>
  <si>
    <t>UD Wintersemester 2018 (Stichtag: 31.12.2018)</t>
  </si>
  <si>
    <t>UE Wintersemester 2016 (Stichtag: 31.12.2016)</t>
  </si>
  <si>
    <t>UF Wintersemester 2014 (Stichtag: 31.12.2014)</t>
  </si>
  <si>
    <t>UG Wintersemester 2019 (Stichtag: 31.12.2019)</t>
  </si>
  <si>
    <t>UH Wintersemester 2017 (Stichtag: 31.12.2017)</t>
  </si>
  <si>
    <t>UI Wintersemester 2015 (Stichtag: 31.12.2015)</t>
  </si>
  <si>
    <t>UK Wintersemester 2018 (Stichtag: 31.12.2018)</t>
  </si>
  <si>
    <t>UL Wintersemester 2016 (Stichtag: 31.12.2016)</t>
  </si>
  <si>
    <t>UM Wintersemester 2006 (Stichtag: 31.12.2006)</t>
  </si>
  <si>
    <t>UN Wintersemester 2019 (Stichtag: 31.12.2019)</t>
  </si>
  <si>
    <t>UO Wintersemester 2017 (Stichtag: 31.12.2017)</t>
  </si>
  <si>
    <t>UR Wintersemester 2018 (Stichtag: 31.12.2018)</t>
  </si>
  <si>
    <t>US Wintersemester 2008 (Stichtag: 31.12.2008)</t>
  </si>
  <si>
    <t>UT Wintersemester 2006 (Stichtag: 31.12.2006)</t>
  </si>
  <si>
    <t>UU Wintersemester 2010 (Stichtag: 31.12.2010)</t>
  </si>
  <si>
    <t>UU Wintersemester 2019 (Stichtag: 31.12.2019)</t>
  </si>
  <si>
    <t>UV Wintersemester 2009 (Stichtag: 31.12.2009)</t>
  </si>
  <si>
    <t>UW Wintersemester 2007 (Stichtag: 31.12.2007)</t>
  </si>
  <si>
    <t>UO</t>
  </si>
  <si>
    <t>UK</t>
  </si>
  <si>
    <t>US</t>
  </si>
  <si>
    <t>UF Wintersemester 2020 (Stichtag: 31.12.2020)</t>
  </si>
  <si>
    <t>UM Wintersemester 2020 (Stichtag: 31.12.2020)</t>
  </si>
  <si>
    <t>UT Wintersemester 2020 (Stichtag: 31.12.2020)</t>
  </si>
  <si>
    <t>UI Wintersemester 2021 (Stichtag: 31.12.2021)</t>
  </si>
  <si>
    <t>UW Wintersemester 2021 (Stichtag: 31.12.2021)</t>
  </si>
  <si>
    <t>UL Wintersemester 2022 (Stichtag: 31.12.2022)</t>
  </si>
  <si>
    <t>US Wintersemester 2022 (Stichtag: 31.12.2022)</t>
  </si>
  <si>
    <t>UV Wintersemester 2023 (Stichtag: 31.12.2023)</t>
  </si>
  <si>
    <t>Datenaufbereitung: bmfwf, Abt. I/10</t>
  </si>
  <si>
    <t>&lt;-- default Column Member Format</t>
  </si>
  <si>
    <t>[ALLG Universität].[Universität]</t>
  </si>
  <si>
    <t>Universität für angewandte Kunst Wien</t>
  </si>
  <si>
    <t xml:space="preserve">   Universität Mozarteum Salzburg</t>
  </si>
  <si>
    <t xml:space="preserve">   Technische Universität Graz</t>
  </si>
  <si>
    <t xml:space="preserve">   Medizinische Universität Graz</t>
  </si>
  <si>
    <t>UA Wintersemester 2010 (Stichtag: 31.12.2010)</t>
  </si>
  <si>
    <t>UB Wintersemester 2009 (Stichtag: 31.12.2009)</t>
  </si>
  <si>
    <t>UC Wintersemester 2007 (Stichtag: 31.12.2007)</t>
  </si>
  <si>
    <t>UD Wintersemester 2011 (Stichtag: 31.12.2011)</t>
  </si>
  <si>
    <t>UF Wintersemester 2008 (Stichtag: 31.12.2008)</t>
  </si>
  <si>
    <t>UG Wintersemester 2012 (Stichtag: 31.12.2012)</t>
  </si>
  <si>
    <t>UH Wintersemester 2010 (Stichtag: 31.12.2010)</t>
  </si>
  <si>
    <t>UI Wintersemester 2009 (Stichtag: 31.12.2009)</t>
  </si>
  <si>
    <t>UJ Wintersemester 2013 (Stichtag: 31.12.2013)</t>
  </si>
  <si>
    <t>UK Wintersemester 2011 (Stichtag: 31.12.2011)</t>
  </si>
  <si>
    <t>UM Wintersemester 2014 (Stichtag: 31.12.2014)</t>
  </si>
  <si>
    <t>UN Wintersemester 2012 (Stichtag: 31.12.2012)</t>
  </si>
  <si>
    <t>UQ Wintersemester 2013 (Stichtag: 31.12.2013)</t>
  </si>
  <si>
    <t>US Wintersemester 2016 (Stichtag: 31.12.2016)</t>
  </si>
  <si>
    <t>UT Wintersemester 2014 (Stichtag: 31.12.2014)</t>
  </si>
  <si>
    <t>UV Wintersemester 2017 (Stichtag: 31.12.2017)</t>
  </si>
  <si>
    <t>UW Wintersemester 2015 (Stichtag: 31.12.2015)</t>
  </si>
  <si>
    <t>UW</t>
  </si>
  <si>
    <t>UF Wintersemester 2022 (Stichtag: 31.12.2022)</t>
  </si>
  <si>
    <t>UB Wintersemester 2023 (Stichtag: 31.12.2023)</t>
  </si>
  <si>
    <t>UI Wintersemester 2023 (Stichtag: 31.12.2023)</t>
  </si>
  <si>
    <t>UE Wintersemester 2024 (Stichtag: 31.12.2024)</t>
  </si>
  <si>
    <t>UL Wintersemester 2024 (Stichtag: 31.12.2024)</t>
  </si>
  <si>
    <t>Alternate Rows</t>
  </si>
  <si>
    <t>&lt;--  writeable cell format</t>
  </si>
  <si>
    <t>Gesamt</t>
  </si>
  <si>
    <t>Universität Klagenfurt</t>
  </si>
  <si>
    <t>Universität Mozarteum Salzburg</t>
  </si>
  <si>
    <t xml:space="preserve">   Wirtschaftsuniv.Wien</t>
  </si>
  <si>
    <t xml:space="preserve">         darunter über F &amp; E-Projekte drittfinanzierte Mitarbeiterinnen und Mitarbeiter</t>
  </si>
  <si>
    <t>Wintersemester 2013 (Stichtag: 31.12.2013)</t>
  </si>
  <si>
    <t xml:space="preserve">   UF</t>
  </si>
  <si>
    <t xml:space="preserve">   Universität für Weiterbildung Krems</t>
  </si>
  <si>
    <t xml:space="preserve">         Assistenzprofessorinnen und Assistenzprofessoren (KV) (UG-Karrierepfad)</t>
  </si>
  <si>
    <t xml:space="preserve">      Äquivalente zu Professorinnen und Professoren</t>
  </si>
  <si>
    <t>UA Wintersemester 2019 (Stichtag: 31.12.2019)</t>
  </si>
  <si>
    <t>UB Wintersemester 2017 (Stichtag: 31.12.2017)</t>
  </si>
  <si>
    <t>UC Wintersemester 2015 (Stichtag: 31.12.2015)</t>
  </si>
  <si>
    <t>UE Wintersemester 2018 (Stichtag: 31.12.2018)</t>
  </si>
  <si>
    <t>UF Wintersemester 2016 (Stichtag: 31.12.2016)</t>
  </si>
  <si>
    <t>UG Wintersemester 2006 (Stichtag: 31.12.2006)</t>
  </si>
  <si>
    <t>UH Wintersemester 2019 (Stichtag: 31.12.2019)</t>
  </si>
  <si>
    <t>UI Wintersemester 2017 (Stichtag: 31.12.2017)</t>
  </si>
  <si>
    <t>UJ Wintersemester 2007 (Stichtag: 31.12.2007)</t>
  </si>
  <si>
    <t>UL Wintersemester 2018 (Stichtag: 31.12.2018)</t>
  </si>
  <si>
    <t>UM Wintersemester 2008 (Stichtag: 31.12.2008)</t>
  </si>
  <si>
    <t>UN Wintersemester 2006 (Stichtag: 31.12.2006)</t>
  </si>
  <si>
    <t>UO Wintersemester 2010 (Stichtag: 31.12.2010)</t>
  </si>
  <si>
    <t>UO Wintersemester 2019 (Stichtag: 31.12.2019)</t>
  </si>
  <si>
    <t>UQ Wintersemester 2007 (Stichtag: 31.12.2007)</t>
  </si>
  <si>
    <t>UR Wintersemester 2011 (Stichtag: 31.12.2011)</t>
  </si>
  <si>
    <t>UT Wintersemester 2008 (Stichtag: 31.12.2008)</t>
  </si>
  <si>
    <t>UU Wintersemester 2006 (Stichtag: 31.12.2006)</t>
  </si>
  <si>
    <t>UU Wintersemester 2012 (Stichtag: 31.12.2012)</t>
  </si>
  <si>
    <t>UV Wintersemester 2010 (Stichtag: 31.12.2010)</t>
  </si>
  <si>
    <t>UW Wintersemester 2009 (Stichtag: 31.12.2009)</t>
  </si>
  <si>
    <t>UG Wintersemester 2020 (Stichtag: 31.12.2020)</t>
  </si>
  <si>
    <t>UN Wintersemester 2020 (Stichtag: 31.12.2020)</t>
  </si>
  <si>
    <t>UC Wintersemester 2021 (Stichtag: 31.12.2021)</t>
  </si>
  <si>
    <t>UJ Wintersemester 2021 (Stichtag: 31.12.2021)</t>
  </si>
  <si>
    <t>UQ Wintersemester 2021 (Stichtag: 31.12.2021)</t>
  </si>
  <si>
    <t>UM Wintersemester 2022 (Stichtag: 31.12.2022)</t>
  </si>
  <si>
    <t>UT Wintersemester 2022 (Stichtag: 31.12.2022)</t>
  </si>
  <si>
    <t>UW Wintersemester 2023 (Stichtag: 31.12.2023)</t>
  </si>
  <si>
    <t>US Wintersemester 2024 (Stichtag: 31.12.2024)</t>
  </si>
  <si>
    <t xml:space="preserve">   UB</t>
  </si>
  <si>
    <t>Slicer Title</t>
  </si>
  <si>
    <t>Calendar Period</t>
  </si>
  <si>
    <t>&lt;-- default cell format</t>
  </si>
  <si>
    <t>Written Member</t>
  </si>
  <si>
    <t>Dimension/Column</t>
  </si>
  <si>
    <t>Kennzahl 1.A.1 - Gesamtübersicht</t>
  </si>
  <si>
    <t xml:space="preserve">   Medizinische Univ.Graz</t>
  </si>
  <si>
    <t xml:space="preserve">   UJ</t>
  </si>
  <si>
    <t xml:space="preserve">   UN</t>
  </si>
  <si>
    <t xml:space="preserve">         darunter Assistenzprofessorinnen und Assistenprofessoren (KV)</t>
  </si>
  <si>
    <t xml:space="preserve">      wissenschaftliche und künstlerische Mitarbeiterinnen und Mitarbeiter</t>
  </si>
  <si>
    <t>UA Wintersemester 2012 (Stichtag: 31.12.2012)</t>
  </si>
  <si>
    <t>UB Wintersemester 2010 (Stichtag: 31.12.2010)</t>
  </si>
  <si>
    <t>UD Wintersemester 2013 (Stichtag: 31.12.2013)</t>
  </si>
  <si>
    <t>UE Wintersemester 2011 (Stichtag: 31.12.2011)</t>
  </si>
  <si>
    <t>UG Wintersemester 2014 (Stichtag: 31.12.2014)</t>
  </si>
  <si>
    <t>UH Wintersemester 2012 (Stichtag: 31.12.2012)</t>
  </si>
  <si>
    <t>UJ Wintersemester 2015 (Stichtag: 31.12.2015)</t>
  </si>
  <si>
    <t>UK Wintersemester 2013 (Stichtag: 31.12.2013)</t>
  </si>
  <si>
    <t>UM Wintersemester 2016 (Stichtag: 31.12.2016)</t>
  </si>
  <si>
    <t>UN Wintersemester 2014 (Stichtag: 31.12.2014)</t>
  </si>
  <si>
    <t>UQ Wintersemester 2015 (Stichtag: 31.12.2015)</t>
  </si>
  <si>
    <t>US Wintersemester 2018 (Stichtag: 31.12.2018)</t>
  </si>
  <si>
    <t>UT Wintersemester 2016 (Stichtag: 31.12.2016)</t>
  </si>
  <si>
    <t>UU Wintersemester 2014 (Stichtag: 31.12.2014)</t>
  </si>
  <si>
    <t>UV Wintersemester 2019 (Stichtag: 31.12.2019)</t>
  </si>
  <si>
    <t>UW Wintersemester 2017 (Stichtag: 31.12.2017)</t>
  </si>
  <si>
    <t>UH</t>
  </si>
  <si>
    <t>UU Wintersemester 2020 (Stichtag: 31.12.2020)</t>
  </si>
  <si>
    <t>Wintersemester 2021 (Stichtag: 31.12.2021)</t>
  </si>
  <si>
    <t>UC Wintersemester 2023 (Stichtag: 31.12.2023)</t>
  </si>
  <si>
    <t>WS2023</t>
  </si>
  <si>
    <t>UF Wintersemester 2024 (Stichtag: 31.12.2024)</t>
  </si>
  <si>
    <t xml:space="preserve">   Universität Innsbruck</t>
  </si>
  <si>
    <t>Slice Name (Optional)</t>
  </si>
  <si>
    <t>Verwendungskategorien WBV</t>
  </si>
  <si>
    <t>[PU Person].[Semester_plus_Datenstichtag]</t>
  </si>
  <si>
    <t>Medizinische Universität Innsbruck</t>
  </si>
  <si>
    <t>Personal - Vollzeitäquivalente</t>
  </si>
  <si>
    <t>STICHTAG</t>
  </si>
  <si>
    <t xml:space="preserve">   Universität Linz</t>
  </si>
  <si>
    <t xml:space="preserve">   Universität Graz</t>
  </si>
  <si>
    <t xml:space="preserve">   UR</t>
  </si>
  <si>
    <t xml:space="preserve">         darunter über F&amp;E-Projekte drittfinanziertes allgemeines Personal</t>
  </si>
  <si>
    <t xml:space="preserve">   UV</t>
  </si>
  <si>
    <t>Wintersemester 2015 (Stichtag: 31.12.2015)</t>
  </si>
  <si>
    <t xml:space="preserve">   Medizinische Universität Innsbruck</t>
  </si>
  <si>
    <t xml:space="preserve">      Professorinnen und Professoren</t>
  </si>
  <si>
    <t xml:space="preserve">   Wissenschaftliches und künstlerisches Personal</t>
  </si>
  <si>
    <t>UA Wintersemester 2006 (Stichtag: 31.12.2006)</t>
  </si>
  <si>
    <t>UB Wintersemester 2019 (Stichtag: 31.12.2019)</t>
  </si>
  <si>
    <t>UC Wintersemester 2017 (Stichtag: 31.12.2017)</t>
  </si>
  <si>
    <t>UD Wintersemester 2007 (Stichtag: 31.12.2007)</t>
  </si>
  <si>
    <t>UF Wintersemester 2018 (Stichtag: 31.12.2018)</t>
  </si>
  <si>
    <t>UG Wintersemester 2008 (Stichtag: 31.12.2008)</t>
  </si>
  <si>
    <t>UH Wintersemester 2006 (Stichtag: 31.12.2006)</t>
  </si>
  <si>
    <t>UI Wintersemester 2010 (Stichtag: 31.12.2010)</t>
  </si>
  <si>
    <t>UI Wintersemester 2019 (Stichtag: 31.12.2019)</t>
  </si>
  <si>
    <t>UJ Wintersemester 2009 (Stichtag: 31.12.2009)</t>
  </si>
  <si>
    <t>UL Wintersemester 2011 (Stichtag: 31.12.2011)</t>
  </si>
  <si>
    <t>UN Wintersemester 2008 (Stichtag: 31.12.2008)</t>
  </si>
  <si>
    <t>UO Wintersemester 2006 (Stichtag: 31.12.2006)</t>
  </si>
  <si>
    <t>UO Wintersemester 2012 (Stichtag: 31.12.2012)</t>
  </si>
  <si>
    <t>UQ Wintersemester 2009 (Stichtag: 31.12.2009)</t>
  </si>
  <si>
    <t>UR Wintersemester 2007 (Stichtag: 31.12.2007)</t>
  </si>
  <si>
    <t>UR Wintersemester 2013 (Stichtag: 31.12.2013)</t>
  </si>
  <si>
    <t>US Wintersemester 2011 (Stichtag: 31.12.2011)</t>
  </si>
  <si>
    <t>UU Wintersemester 2008 (Stichtag: 31.12.2008)</t>
  </si>
  <si>
    <t>UV Wintersemester 2012 (Stichtag: 31.12.2012)</t>
  </si>
  <si>
    <t>UW Wintersemester 2010 (Stichtag: 31.12.2010)</t>
  </si>
  <si>
    <t>UL</t>
  </si>
  <si>
    <t>UA Wintersemester 2020 (Stichtag: 31.12.2020)</t>
  </si>
  <si>
    <t>UH Wintersemester 2020 (Stichtag: 31.12.2020)</t>
  </si>
  <si>
    <t>UD Wintersemester 2021 (Stichtag: 31.12.2021)</t>
  </si>
  <si>
    <t>UK Wintersemester 2021 (Stichtag: 31.12.2021)</t>
  </si>
  <si>
    <t>UG Wintersemester 2022 (Stichtag: 31.12.2022)</t>
  </si>
  <si>
    <t>UN Wintersemester 2022 (Stichtag: 31.12.2022)</t>
  </si>
  <si>
    <t>UJ Wintersemester 2023 (Stichtag: 31.12.2023)</t>
  </si>
  <si>
    <t>UQ Wintersemester 2023 (Stichtag: 31.12.2023)</t>
  </si>
  <si>
    <t>UM Wintersemester 2024 (Stichtag: 31.12.2024)</t>
  </si>
  <si>
    <t>UT Wintersemester 2024 (Stichtag: 31.12.2024)</t>
  </si>
  <si>
    <t>Measures</t>
  </si>
  <si>
    <t>Wintersemester 2009 (Stichtag: 31.12.2009)</t>
  </si>
  <si>
    <t>Vollzeitäquivalente ohne Karenzierungen</t>
  </si>
  <si>
    <t>Veterinärmedizinische Universität Wien</t>
  </si>
  <si>
    <t>Montanuniversität Leoben</t>
  </si>
  <si>
    <t>darunter Ärzt/inn/e/n mit ausschließlichen Aufgaben in öffentlichen Krankenanstalten</t>
  </si>
  <si>
    <t xml:space="preserve">         darunter Ärztinnen und Ärzte in Facharztausbildung</t>
  </si>
  <si>
    <t xml:space="preserve">         darunter Universitätsassistentinnen und -assistenten (KV) auf Laufbahnstelle gemäß § 13b Abs. 3 UG</t>
  </si>
  <si>
    <t xml:space="preserve">   Univ.f.Mus.u.darst.K.Wien</t>
  </si>
  <si>
    <t xml:space="preserve">   Veterinärmed.Univ.Wien</t>
  </si>
  <si>
    <t xml:space="preserve">   Universität Salzburg</t>
  </si>
  <si>
    <t>UA Wintersemester 2014 (Stichtag: 31.12.2014)</t>
  </si>
  <si>
    <t>UB Wintersemester 2012 (Stichtag: 31.12.2012)</t>
  </si>
  <si>
    <t>UD Wintersemester 2015 (Stichtag: 31.12.2015)</t>
  </si>
  <si>
    <t>UE Wintersemester 2013 (Stichtag: 31.12.2013)</t>
  </si>
  <si>
    <t>UG Wintersemester 2016 (Stichtag: 31.12.2016)</t>
  </si>
  <si>
    <t>UH Wintersemester 2014 (Stichtag: 31.12.2014)</t>
  </si>
  <si>
    <t>UJ Wintersemester 2017 (Stichtag: 31.12.2017)</t>
  </si>
  <si>
    <t>UK Wintersemester 2015 (Stichtag: 31.12.2015)</t>
  </si>
  <si>
    <t>UL Wintersemester 2013 (Stichtag: 31.12.2013)</t>
  </si>
  <si>
    <t>UM Wintersemester 2018 (Stichtag: 31.12.2018)</t>
  </si>
  <si>
    <t>UN Wintersemester 2016 (Stichtag: 31.12.2016)</t>
  </si>
  <si>
    <t>UO Wintersemester 2014 (Stichtag: 31.12.2014)</t>
  </si>
  <si>
    <t>UQ Wintersemester 2017 (Stichtag: 31.12.2017)</t>
  </si>
  <si>
    <t>UR Wintersemester 2015 (Stichtag: 31.12.2015)</t>
  </si>
  <si>
    <t>UT Wintersemester 2018 (Stichtag: 31.12.2018)</t>
  </si>
  <si>
    <t>UU Wintersemester 2016 (Stichtag: 31.12.2016)</t>
  </si>
  <si>
    <t>UV Wintersemester 2006 (Stichtag: 31.12.2006)</t>
  </si>
  <si>
    <t>UW Wintersemester 2019 (Stichtag: 31.12.2019)</t>
  </si>
  <si>
    <t>UT</t>
  </si>
  <si>
    <t>UO Wintersemester 2020 (Stichtag: 31.12.2020)</t>
  </si>
  <si>
    <t>UV Wintersemester 2020 (Stichtag: 31.12.2020)</t>
  </si>
  <si>
    <t>UR Wintersemester 2021 (Stichtag: 31.12.2021)</t>
  </si>
  <si>
    <t>UU Wintersemester 2022 (Stichtag: 31.12.2022)</t>
  </si>
  <si>
    <t>Wintersemester 2023 (Stichtag: 31.12.2023)</t>
  </si>
  <si>
    <t>Customer</t>
  </si>
  <si>
    <t>-All Customer</t>
  </si>
  <si>
    <t>Default Alternate Row Member Format --&gt;</t>
  </si>
  <si>
    <t>Universität für Weiterbildung Krems</t>
  </si>
  <si>
    <t xml:space="preserve">   Univ.f.Bodenkultur Wien</t>
  </si>
  <si>
    <t xml:space="preserve">   UG</t>
  </si>
  <si>
    <t xml:space="preserve">   Medizinische Universität Wien</t>
  </si>
  <si>
    <t xml:space="preserve">   UC</t>
  </si>
  <si>
    <t xml:space="preserve">   Universität für Musik und darstellende Kunst Graz</t>
  </si>
  <si>
    <t>Wintersemester 2017 (Stichtag: 31.12.2017)</t>
  </si>
  <si>
    <t xml:space="preserve">   Veterinärmedizinische Universität Wien</t>
  </si>
  <si>
    <t xml:space="preserve">   Technische Universität Wien</t>
  </si>
  <si>
    <t>UA</t>
  </si>
  <si>
    <t>UA Wintersemester 2008 (Stichtag: 31.12.2008)</t>
  </si>
  <si>
    <t>UB Wintersemester 2006 (Stichtag: 31.12.2006)</t>
  </si>
  <si>
    <t>UC Wintersemester 2010 (Stichtag: 31.12.2010)</t>
  </si>
  <si>
    <t>UC Wintersemester 2019 (Stichtag: 31.12.2019)</t>
  </si>
  <si>
    <t>UD Wintersemester 2009 (Stichtag: 31.12.2009)</t>
  </si>
  <si>
    <t>UE Wintersemester 2007 (Stichtag: 31.12.2007)</t>
  </si>
  <si>
    <t>UF Wintersemester 2011 (Stichtag: 31.12.2011)</t>
  </si>
  <si>
    <t>UH Wintersemester 2008 (Stichtag: 31.12.2008)</t>
  </si>
  <si>
    <t>UI Wintersemester 2006 (Stichtag: 31.12.2006)</t>
  </si>
  <si>
    <t>UI Wintersemester 2012 (Stichtag: 31.12.2012)</t>
  </si>
  <si>
    <t>UJ Wintersemester 2010 (Stichtag: 31.12.2010)</t>
  </si>
  <si>
    <t>UL Wintersemester 2007 (Stichtag: 31.12.2007)</t>
  </si>
  <si>
    <t>UM Wintersemester 2011 (Stichtag: 31.12.2011)</t>
  </si>
  <si>
    <t>UO Wintersemester 2008 (Stichtag: 31.12.2008)</t>
  </si>
  <si>
    <t>UQ Wintersemester 2010 (Stichtag: 31.12.2010)</t>
  </si>
  <si>
    <t>UR Wintersemester 2009 (Stichtag: 31.12.2009)</t>
  </si>
  <si>
    <t>US Wintersemester 2013 (Stichtag: 31.12.2013)</t>
  </si>
  <si>
    <t>UT Wintersemester 2011 (Stichtag: 31.12.2011)</t>
  </si>
  <si>
    <t>UV Wintersemester 2014 (Stichtag: 31.12.2014)</t>
  </si>
  <si>
    <t>UW Wintersemester 2012 (Stichtag: 31.12.2012)</t>
  </si>
  <si>
    <t>UB Wintersemester 2020 (Stichtag: 31.12.2020)</t>
  </si>
  <si>
    <t>UE Wintersemester 2021 (Stichtag: 31.12.2021)</t>
  </si>
  <si>
    <t>UA Wintersemester 2022 (Stichtag: 31.12.2022)</t>
  </si>
  <si>
    <t>UH Wintersemester 2022 (Stichtag: 31.12.2022)</t>
  </si>
  <si>
    <t>UD Wintersemester 2023 (Stichtag: 31.12.2023)</t>
  </si>
  <si>
    <t>UK Wintersemester 2023 (Stichtag: 31.12.2023)</t>
  </si>
  <si>
    <t>UR Wintersemester 2023 (Stichtag: 31.12.2023)</t>
  </si>
  <si>
    <t>UG Wintersemester 2024 (Stichtag: 31.12.2024)</t>
  </si>
  <si>
    <t>UN Wintersemester 2024 (Stichtag: 31.12.2024)</t>
  </si>
  <si>
    <t>UU Wintersemester 2024 (Stichtag: 31.12.2024)</t>
  </si>
  <si>
    <t>Slicer Item</t>
  </si>
  <si>
    <t>&lt;-- default Slicer Member Format</t>
  </si>
  <si>
    <t>Default Row Member Format --&gt;</t>
  </si>
  <si>
    <t>Grid/Table Name</t>
  </si>
  <si>
    <t>Wintersemester 2010 (Stichtag: 31.12.2010)</t>
  </si>
  <si>
    <t>[Measures]</t>
  </si>
  <si>
    <t>Medizinische Universität Graz</t>
  </si>
  <si>
    <t>Universität Innsbruck</t>
  </si>
  <si>
    <t xml:space="preserve">   UO</t>
  </si>
  <si>
    <t xml:space="preserve">   Univ.Mozarteum Salzburg</t>
  </si>
  <si>
    <t xml:space="preserve">   UK</t>
  </si>
  <si>
    <t xml:space="preserve">         darunter Ärzt/inn/e/n mit ausschließlichen Aufgaben in öffentlichen Krankenanstalten</t>
  </si>
  <si>
    <t xml:space="preserve">         Dozentinnen und Dozenten</t>
  </si>
  <si>
    <t>UA Wintersemester 2016 (Stichtag: 31.12.2016)</t>
  </si>
  <si>
    <t>UB Wintersemester 2014 (Stichtag: 31.12.2014)</t>
  </si>
  <si>
    <t>UD Wintersemester 2017 (Stichtag: 31.12.2017)</t>
  </si>
  <si>
    <t>UE Wintersemester 2015 (Stichtag: 31.12.2015)</t>
  </si>
  <si>
    <t>UF Wintersemester 2013 (Stichtag: 31.12.2013)</t>
  </si>
  <si>
    <t>UG Wintersemester 2018 (Stichtag: 31.12.2018)</t>
  </si>
  <si>
    <t>UH Wintersemester 2016 (Stichtag: 31.12.2016)</t>
  </si>
  <si>
    <t>UI Wintersemester 2014 (Stichtag: 31.12.2014)</t>
  </si>
  <si>
    <t>UJ Wintersemester 2019 (Stichtag: 31.12.2019)</t>
  </si>
  <si>
    <t>UK Wintersemester 2017 (Stichtag: 31.12.2017)</t>
  </si>
  <si>
    <t>UL Wintersemester 2015 (Stichtag: 31.12.2015)</t>
  </si>
  <si>
    <t>UN Wintersemester 2018 (Stichtag: 31.12.2018)</t>
  </si>
  <si>
    <t>UO Wintersemester 2016 (Stichtag: 31.12.2016)</t>
  </si>
  <si>
    <t>UQ Wintersemester 2019 (Stichtag: 31.12.2019)</t>
  </si>
  <si>
    <t>UR Wintersemester 2017 (Stichtag: 31.12.2017)</t>
  </si>
  <si>
    <t>US Wintersemester 2007 (Stichtag: 31.12.2007)</t>
  </si>
  <si>
    <t>UU Wintersemester 2018 (Stichtag: 31.12.2018)</t>
  </si>
  <si>
    <t>UV Wintersemester 2008 (Stichtag: 31.12.2008)</t>
  </si>
  <si>
    <t>UW Wintersemester 2006 (Stichtag: 31.12.2006)</t>
  </si>
  <si>
    <t>UE</t>
  </si>
  <si>
    <t>UI</t>
  </si>
  <si>
    <t>UI Wintersemester 2020 (Stichtag: 31.12.2020)</t>
  </si>
  <si>
    <t>UW Wintersemester 2020 (Stichtag: 31.12.2020)</t>
  </si>
  <si>
    <t>UL Wintersemester 2021 (Stichtag: 31.12.2021)</t>
  </si>
  <si>
    <t>US Wintersemester 2021 (Stichtag: 31.12.2021)</t>
  </si>
  <si>
    <t>UO Wintersemester 2022 (Stichtag: 31.12.2022)</t>
  </si>
  <si>
    <t>UV Wintersemester 2022 (Stichtag: 31.12.2022)</t>
  </si>
  <si>
    <t>WS2024</t>
  </si>
  <si>
    <t>&lt;-- writeable Slicer Member Format</t>
  </si>
  <si>
    <t>[PU Verwendung].[Verwendungskategorien WBV]</t>
  </si>
  <si>
    <t>Technische Universität Graz</t>
  </si>
  <si>
    <t>darunter Krankenpflege im Rahmen einer öffentlichen Krankenanstalt</t>
  </si>
  <si>
    <t xml:space="preserve">   US</t>
  </si>
  <si>
    <t xml:space="preserve">   Montanuniversität Leoben</t>
  </si>
  <si>
    <t xml:space="preserve">   Medizinische Univ.Wien</t>
  </si>
  <si>
    <t xml:space="preserve">   UW</t>
  </si>
  <si>
    <t>Wintersemester 2019 (Stichtag: 31.12.2019)</t>
  </si>
  <si>
    <t>UB Wintersemester 2008 (Stichtag: 31.12.2008)</t>
  </si>
  <si>
    <t>UC Wintersemester 2006 (Stichtag: 31.12.2006)</t>
  </si>
  <si>
    <t>UC Wintersemester 2012 (Stichtag: 31.12.2012)</t>
  </si>
  <si>
    <t>UD Wintersemester 2010 (Stichtag: 31.12.2010)</t>
  </si>
  <si>
    <t>UE Wintersemester 2009 (Stichtag: 31.12.2009)</t>
  </si>
  <si>
    <t>UF Wintersemester 2007 (Stichtag: 31.12.2007)</t>
  </si>
  <si>
    <t>UG Wintersemester 2011 (Stichtag: 31.12.2011)</t>
  </si>
  <si>
    <t>UI Wintersemester 2008 (Stichtag: 31.12.2008)</t>
  </si>
  <si>
    <t>UJ Wintersemester 2012 (Stichtag: 31.12.2012)</t>
  </si>
  <si>
    <t>UK Wintersemester 2010 (Stichtag: 31.12.2010)</t>
  </si>
  <si>
    <t>UL Wintersemester 2009 (Stichtag: 31.12.2009)</t>
  </si>
  <si>
    <t>UM Wintersemester 2013 (Stichtag: 31.12.2013)</t>
  </si>
  <si>
    <t>UN Wintersemester 2011 (Stichtag: 31.12.2011)</t>
  </si>
  <si>
    <t>UQ Wintersemester 2012 (Stichtag: 31.12.2012)</t>
  </si>
  <si>
    <t>US Wintersemester 2015 (Stichtag: 31.12.2015)</t>
  </si>
  <si>
    <t>UT Wintersemester 2013 (Stichtag: 31.12.2013)</t>
  </si>
  <si>
    <t>UV Wintersemester 2016 (Stichtag: 31.12.2016)</t>
  </si>
  <si>
    <t>UW Wintersemester 2014 (Stichtag: 31.12.2014)</t>
  </si>
  <si>
    <t>UQ</t>
  </si>
  <si>
    <t>UM</t>
  </si>
  <si>
    <t>UB Wintersemester 2022 (Stichtag: 31.12.2022)</t>
  </si>
  <si>
    <t>UE Wintersemester 2023 (Stichtag: 31.12.2023)</t>
  </si>
  <si>
    <t>UL Wintersemester 2023 (Stichtag: 31.12.2023)</t>
  </si>
  <si>
    <t>UA Wintersemester 2024 (Stichtag: 31.12.2024)</t>
  </si>
  <si>
    <t>UH Wintersemester 2024 (Stichtag: 31.12.2024)</t>
  </si>
  <si>
    <t>UO Wintersemester 2024 (Stichtag: 31.12.2024)</t>
  </si>
  <si>
    <t>Slicer Button</t>
  </si>
  <si>
    <t>+2009</t>
  </si>
  <si>
    <t>&lt;-- default alternate row cell format</t>
  </si>
  <si>
    <t>&lt;--  written cell format</t>
  </si>
  <si>
    <t>Wintersemester 2012 (Stichtag: 31.12.2012)</t>
  </si>
  <si>
    <t>Universität für künstlerische und industrielle Gestaltung Linz</t>
  </si>
  <si>
    <t>Anmerkung: Aufgrund von Änderungen in den Erhebungsmethoden sind die Indikatorwerte im zeitlichen Verlauf nicht immer direkt vergleichbar.</t>
  </si>
  <si>
    <t xml:space="preserve">   Universität Wien</t>
  </si>
  <si>
    <t xml:space="preserve">   Wirtschaftsuniversität Wien</t>
  </si>
  <si>
    <t>UA Wintersemester 2018 (Stichtag: 31.12.2018)</t>
  </si>
  <si>
    <t>UB Wintersemester 2016 (Stichtag: 31.12.2016)</t>
  </si>
  <si>
    <t>UC Wintersemester 2014 (Stichtag: 31.12.2014)</t>
  </si>
  <si>
    <t>UD Wintersemester 2019 (Stichtag: 31.12.2019)</t>
  </si>
  <si>
    <t>UE Wintersemester 2017 (Stichtag: 31.12.2017)</t>
  </si>
  <si>
    <t>UF Wintersemester 2015 (Stichtag: 31.12.2015)</t>
  </si>
  <si>
    <t>UH Wintersemester 2018 (Stichtag: 31.12.2018)</t>
  </si>
  <si>
    <t>UI Wintersemester 2016 (Stichtag: 31.12.2016)</t>
  </si>
  <si>
    <t>UJ Wintersemester 2006 (Stichtag: 31.12.2006)</t>
  </si>
  <si>
    <t>UK Wintersemester 2019 (Stichtag: 31.12.2019)</t>
  </si>
  <si>
    <t>UL Wintersemester 2017 (Stichtag: 31.12.2017)</t>
  </si>
  <si>
    <t>UM Wintersemester 2007 (Stichtag: 31.12.2007)</t>
  </si>
  <si>
    <t>UO Wintersemester 2018 (Stichtag: 31.12.2018)</t>
  </si>
  <si>
    <t>UQ Wintersemester 2006 (Stichtag: 31.12.2006)</t>
  </si>
  <si>
    <t>UR Wintersemester 2010 (Stichtag: 31.12.2010)</t>
  </si>
  <si>
    <t>UR Wintersemester 2019 (Stichtag: 31.12.2019)</t>
  </si>
  <si>
    <t>US Wintersemester 2009 (Stichtag: 31.12.2009)</t>
  </si>
  <si>
    <t>UT Wintersemester 2007 (Stichtag: 31.12.2007)</t>
  </si>
  <si>
    <t>UU Wintersemester 2011 (Stichtag: 31.12.2011)</t>
  </si>
  <si>
    <t>UW Wintersemester 2008 (Stichtag: 31.12.2008)</t>
  </si>
  <si>
    <t>UU</t>
  </si>
  <si>
    <t>UC Wintersemester 2020 (Stichtag: 31.12.2020)</t>
  </si>
  <si>
    <t>UJ Wintersemester 2020 (Stichtag: 31.12.2020)</t>
  </si>
  <si>
    <t>UQ Wintersemester 2020 (Stichtag: 31.12.2020)</t>
  </si>
  <si>
    <t>UF Wintersemester 2021 (Stichtag: 31.12.2021)</t>
  </si>
  <si>
    <t>UM Wintersemester 2021 (Stichtag: 31.12.2021)</t>
  </si>
  <si>
    <t>UT Wintersemester 2021 (Stichtag: 31.12.2021)</t>
  </si>
  <si>
    <t>UI Wintersemester 2022 (Stichtag: 31.12.2022)</t>
  </si>
  <si>
    <t>UW Wintersemester 2022 (Stichtag: 31.12.2022)</t>
  </si>
  <si>
    <t>US Wintersemester 2023 (Stichtag: 31.12.2023)</t>
  </si>
  <si>
    <t>UV Wintersemester 2024 (Stichtag: 31.12.2024)</t>
  </si>
  <si>
    <t>Display Formats For:</t>
  </si>
  <si>
    <t>Enabled?</t>
  </si>
  <si>
    <t>Akademie der bildenden Künste Wien</t>
  </si>
  <si>
    <t xml:space="preserve">   UD</t>
  </si>
  <si>
    <t xml:space="preserve">   Univ.f.angew.Kunst Wien</t>
  </si>
  <si>
    <t>UA Wintersemester 2011 (Stichtag: 31.12.2011)</t>
  </si>
  <si>
    <t>UC Wintersemester 2008 (Stichtag: 31.12.2008)</t>
  </si>
  <si>
    <t>UD Wintersemester 2012 (Stichtag: 31.12.2012)</t>
  </si>
  <si>
    <t>UE Wintersemester 2010 (Stichtag: 31.12.2010)</t>
  </si>
  <si>
    <t>UF Wintersemester 2009 (Stichtag: 31.12.2009)</t>
  </si>
  <si>
    <t>UG Wintersemester 2013 (Stichtag: 31.12.2013)</t>
  </si>
  <si>
    <t>UH Wintersemester 2011 (Stichtag: 31.12.2011)</t>
  </si>
  <si>
    <t>UJ Wintersemester 2014 (Stichtag: 31.12.2014)</t>
  </si>
  <si>
    <t>UK Wintersemester 2012 (Stichtag: 31.12.2012)</t>
  </si>
  <si>
    <t>UM Wintersemester 2015 (Stichtag: 31.12.2015)</t>
  </si>
  <si>
    <t>UN Wintersemester 2013 (Stichtag: 31.12.2013)</t>
  </si>
  <si>
    <t>UQ Wintersemester 2014 (Stichtag: 31.12.2014)</t>
  </si>
  <si>
    <t>US Wintersemester 2017 (Stichtag: 31.12.2017)</t>
  </si>
  <si>
    <t>UT Wintersemester 2015 (Stichtag: 31.12.2015)</t>
  </si>
  <si>
    <t>UV Wintersemester 2018 (Stichtag: 31.12.2018)</t>
  </si>
  <si>
    <t>UW Wintersemester 2016 (Stichtag: 31.12.2016)</t>
  </si>
  <si>
    <t>Alle Verwendungen gemäß Z 3.6 der Anlage 9 UHSBV</t>
  </si>
  <si>
    <t>Wintersemester 2020 (Stichtag: 31.12.2020)</t>
  </si>
  <si>
    <t>UC Wintersemester 2022 (Stichtag: 31.12.2022)</t>
  </si>
  <si>
    <t>UF Wintersemester 2023 (Stichtag: 31.12.2023)</t>
  </si>
  <si>
    <t>Datenprüfung: bmfwf, Abt. I/2</t>
  </si>
  <si>
    <t>UB Wintersemester 2024 (Stichtag: 31.12.2024)</t>
  </si>
  <si>
    <t>UI Wintersemester 2024 (Stichtag: 31.12.2024)</t>
  </si>
  <si>
    <t>Slicer Button Hover</t>
  </si>
  <si>
    <t>Label Format--&gt;</t>
  </si>
  <si>
    <t>&lt;--  written cell by another user cell format</t>
  </si>
  <si>
    <t>Summary Written Member</t>
  </si>
  <si>
    <t>Data Format</t>
  </si>
  <si>
    <t>Universität für Musik und darstellende Kunst Graz</t>
  </si>
  <si>
    <t>(Members of Beschäftigungsausmaß) - (0, Ausgeschieden, Keine Angabe, Unknown)</t>
  </si>
  <si>
    <t>KZIDF_II_1_1</t>
  </si>
  <si>
    <t>LIEFIDF_II_1_1</t>
  </si>
  <si>
    <t xml:space="preserve">   Universität für angewandte Kunst Wien</t>
  </si>
  <si>
    <t xml:space="preserve">   Techn.Universität Graz</t>
  </si>
  <si>
    <t xml:space="preserve">   UL</t>
  </si>
  <si>
    <t>Wintersemester 2014 (Stichtag: 31.12.2014)</t>
  </si>
  <si>
    <t xml:space="preserve">   UH</t>
  </si>
  <si>
    <t xml:space="preserve">   Akademie der bildenden Künste Wien</t>
  </si>
  <si>
    <t>UB Wintersemester 2018 (Stichtag: 31.12.2018)</t>
  </si>
  <si>
    <t>UC Wintersemester 2016 (Stichtag: 31.12.2016)</t>
  </si>
  <si>
    <t>UD Wintersemester 2006 (Stichtag: 31.12.2006)</t>
  </si>
  <si>
    <t>UE Wintersemester 2019 (Stichtag: 31.12.2019)</t>
  </si>
  <si>
    <t>UF Wintersemester 2017 (Stichtag: 31.12.2017)</t>
  </si>
  <si>
    <t>UG Wintersemester 2007 (Stichtag: 31.12.2007)</t>
  </si>
  <si>
    <t>UI Wintersemester 2018 (Stichtag: 31.12.2018)</t>
  </si>
  <si>
    <t>UJ Wintersemester 2008 (Stichtag: 31.12.2008)</t>
  </si>
  <si>
    <t>UL Wintersemester 2010 (Stichtag: 31.12.2010)</t>
  </si>
  <si>
    <t>UL Wintersemester 2019 (Stichtag: 31.12.2019)</t>
  </si>
  <si>
    <t>UM Wintersemester 2009 (Stichtag: 31.12.2009)</t>
  </si>
  <si>
    <t>UN Wintersemester 2007 (Stichtag: 31.12.2007)</t>
  </si>
  <si>
    <t>UO Wintersemester 2011 (Stichtag: 31.12.2011)</t>
  </si>
  <si>
    <t>UQ Wintersemester 2008 (Stichtag: 31.12.2008)</t>
  </si>
  <si>
    <t>UR Wintersemester 2006 (Stichtag: 31.12.2006)</t>
  </si>
  <si>
    <t>UR Wintersemester 2012 (Stichtag: 31.12.2012)</t>
  </si>
  <si>
    <t>US Wintersemester 2010 (Stichtag: 31.12.2010)</t>
  </si>
  <si>
    <t>UT Wintersemester 2009 (Stichtag: 31.12.2009)</t>
  </si>
  <si>
    <t>UU Wintersemester 2007 (Stichtag: 31.12.2007)</t>
  </si>
  <si>
    <t>UU Wintersemester 2013 (Stichtag: 31.12.2013)</t>
  </si>
  <si>
    <t>UV Wintersemester 2011 (Stichtag: 31.12.2011)</t>
  </si>
  <si>
    <t>UB</t>
  </si>
  <si>
    <t>UF</t>
  </si>
  <si>
    <t>UJ</t>
  </si>
  <si>
    <t>UD Wintersemester 2020 (Stichtag: 31.12.2020)</t>
  </si>
  <si>
    <t>UK Wintersemester 2020 (Stichtag: 31.12.2020)</t>
  </si>
  <si>
    <t>Universität (Langtext)</t>
  </si>
  <si>
    <t>UG Wintersemester 2021 (Stichtag: 31.12.2021)</t>
  </si>
  <si>
    <t>UN Wintersemester 2021 (Stichtag: 31.12.2021)</t>
  </si>
  <si>
    <t>UJ Wintersemester 2022 (Stichtag: 31.12.2022)</t>
  </si>
  <si>
    <t>UQ Wintersemester 2022 (Stichtag: 31.12.2022)</t>
  </si>
  <si>
    <t>UM Wintersemester 2023 (Stichtag: 31.12.2023)</t>
  </si>
  <si>
    <t>UT Wintersemester 2023 (Stichtag: 31.12.2023)</t>
  </si>
  <si>
    <t>UW Wintersemester 2024 (Stichtag: 31.12.2024)</t>
  </si>
  <si>
    <t>Marital Status</t>
  </si>
  <si>
    <t>Default Writeable Member Format --&gt;</t>
  </si>
  <si>
    <t>Universität für Bodenkultur Wien</t>
  </si>
  <si>
    <t>Medizinische Universität Wien</t>
  </si>
  <si>
    <t>Universität Salzburg</t>
  </si>
  <si>
    <t>Universität (Codex)</t>
  </si>
  <si>
    <t xml:space="preserve">         Assoziierte Professorinnen und Professoren (KV)</t>
  </si>
  <si>
    <t xml:space="preserve">   Akad.d.bild.Künste Wien</t>
  </si>
  <si>
    <t xml:space="preserve">   UT</t>
  </si>
  <si>
    <t xml:space="preserve">   Universität für Musik und darstellende Kunst Wien</t>
  </si>
  <si>
    <t xml:space="preserve">   Universität für Bodenkultur Wien</t>
  </si>
  <si>
    <t xml:space="preserve">   Universität für künstlerische und industrielle Gestaltung Linz</t>
  </si>
  <si>
    <t>UA Wintersemester 2013 (Stichtag: 31.12.2013)</t>
  </si>
  <si>
    <t>UB Wintersemester 2011 (Stichtag: 31.12.2011)</t>
  </si>
  <si>
    <t>UD Wintersemester 2014 (Stichtag: 31.12.2014)</t>
  </si>
  <si>
    <t>UE Wintersemester 2012 (Stichtag: 31.12.2012)</t>
  </si>
  <si>
    <t>UG Wintersemester 2015 (Stichtag: 31.12.2015)</t>
  </si>
  <si>
    <t>UH Wintersemester 2013 (Stichtag: 31.12.2013)</t>
  </si>
  <si>
    <t>UJ Wintersemester 2016 (Stichtag: 31.12.2016)</t>
  </si>
  <si>
    <t>UK Wintersemester 2014 (Stichtag: 31.12.2014)</t>
  </si>
  <si>
    <t>UM Wintersemester 2017 (Stichtag: 31.12.2017)</t>
  </si>
  <si>
    <t>UN Wintersemester 2015 (Stichtag: 31.12.2015)</t>
  </si>
  <si>
    <t>UO Wintersemester 2013 (Stichtag: 31.12.2013)</t>
  </si>
  <si>
    <t>UQ Wintersemester 2016 (Stichtag: 31.12.2016)</t>
  </si>
  <si>
    <t>UR Wintersemester 2014 (Stichtag: 31.12.2014)</t>
  </si>
  <si>
    <t>US Wintersemester 2019 (Stichtag: 31.12.2019)</t>
  </si>
  <si>
    <t>UT Wintersemester 2017 (Stichtag: 31.12.2017)</t>
  </si>
  <si>
    <t>UU Wintersemester 2015 (Stichtag: 31.12.2015)</t>
  </si>
  <si>
    <t>UW Wintersemester 2018 (Stichtag: 31.12.2018)</t>
  </si>
  <si>
    <t>UN</t>
  </si>
  <si>
    <t>UR</t>
  </si>
  <si>
    <t>UR Wintersemester 2020 (Stichtag: 31.12.2020)</t>
  </si>
  <si>
    <t>Quelle: Datenmeldungen der Universitäten auf Basis UHSBV zum jeweiligen Stichtag</t>
  </si>
  <si>
    <t>UU Wintersemester 2021 (Stichtag: 31.12.2021)</t>
  </si>
  <si>
    <t>Wintersemester 2022 (Stichtag: 31.12.2022)</t>
  </si>
  <si>
    <t>UC Wintersemester 2024 (Stichtag: 31.12.2024)</t>
  </si>
  <si>
    <t>Writeable Member</t>
  </si>
  <si>
    <t>Technische Universität Wien</t>
  </si>
  <si>
    <t>Wissensbilanz</t>
  </si>
  <si>
    <t>darunter über F&amp;E-Projekte drittfinanziertes allgemeines Personal</t>
  </si>
  <si>
    <t xml:space="preserve">   Universität Klagenfurt</t>
  </si>
  <si>
    <t>Wintersemester 2016 (Stichtag: 31.12.2016)</t>
  </si>
  <si>
    <t>Vollzeitäquivalente</t>
  </si>
  <si>
    <t>UA Wintersemester 2007 (Stichtag: 31.12.2007)</t>
  </si>
  <si>
    <t>UC Wintersemester 2018 (Stichtag: 31.12.2018)</t>
  </si>
  <si>
    <t>UD Wintersemester 2008 (Stichtag: 31.12.2008)</t>
  </si>
  <si>
    <t>UE Wintersemester 2006 (Stichtag: 31.12.2006)</t>
  </si>
  <si>
    <t>UF Wintersemester 2010 (Stichtag: 31.12.2010)</t>
  </si>
  <si>
    <t>UF Wintersemester 2019 (Stichtag: 31.12.2019)</t>
  </si>
  <si>
    <t>UG Wintersemester 2009 (Stichtag: 31.12.2009)</t>
  </si>
  <si>
    <t>UH Wintersemester 2007 (Stichtag: 31.12.2007)</t>
  </si>
  <si>
    <t>UI Wintersemester 2011 (Stichtag: 31.12.2011)</t>
  </si>
  <si>
    <t>UL Wintersemester 2006 (Stichtag: 31.12.2006)</t>
  </si>
  <si>
    <t>UL Wintersemester 2012 (Stichtag: 31.12.2012)</t>
  </si>
  <si>
    <t>UM Wintersemester 2010 (Stichtag: 31.12.2010)</t>
  </si>
  <si>
    <t>UN Wintersemester 2009 (Stichtag: 31.12.2009)</t>
  </si>
  <si>
    <t>UO Wintersemester 2007 (Stichtag: 31.12.2007)</t>
  </si>
  <si>
    <t>UR Wintersemester 2008 (Stichtag: 31.12.2008)</t>
  </si>
  <si>
    <t>US Wintersemester 2012 (Stichtag: 31.12.2012)</t>
  </si>
  <si>
    <t>UT Wintersemester 2010 (Stichtag: 31.12.2010)</t>
  </si>
  <si>
    <t>UU Wintersemester 2009 (Stichtag: 31.12.2009)</t>
  </si>
  <si>
    <t>UV Wintersemester 2013 (Stichtag: 31.12.2013)</t>
  </si>
  <si>
    <t>UW Wintersemester 2011 (Stichtag: 31.12.2011)</t>
  </si>
  <si>
    <t>UV</t>
  </si>
  <si>
    <t>UE Wintersemester 2020 (Stichtag: 31.12.2020)</t>
  </si>
  <si>
    <t>UA Wintersemester 2021 (Stichtag: 31.12.2021)</t>
  </si>
  <si>
    <t>UH Wintersemester 2021 (Stichtag: 31.12.2021)</t>
  </si>
  <si>
    <t>UD Wintersemester 2022 (Stichtag: 31.12.2022)</t>
  </si>
  <si>
    <t>UK Wintersemester 2022 (Stichtag: 31.12.2022)</t>
  </si>
  <si>
    <t>UG Wintersemester 2023 (Stichtag: 31.12.2023)</t>
  </si>
  <si>
    <t>UN Wintersemester 2023 (Stichtag: 31.12.2023)</t>
  </si>
  <si>
    <t>UU Wintersemester 2023 (Stichtag: 31.12.2023)</t>
  </si>
  <si>
    <t>UJ Wintersemester 2024 (Stichtag: 31.12.2024)</t>
  </si>
  <si>
    <t>UQ Wintersemester 2024 (Stichtag: 31.12.2024)</t>
  </si>
  <si>
    <t>Slicer Button Selected</t>
  </si>
  <si>
    <t>&lt;--  summary written cell</t>
  </si>
  <si>
    <t>Formatierungsrichtlinien</t>
  </si>
  <si>
    <t>Geschlecht</t>
  </si>
  <si>
    <t>Interpretation</t>
  </si>
  <si>
    <t xml:space="preserve">   UE</t>
  </si>
  <si>
    <t xml:space="preserve">   UA</t>
  </si>
  <si>
    <t>Nähere Informationen zu den Kennzahlen bzw. deren Definition finden sich in der aktuellen Ausgabe des Arbeitsbehelfs zur Wissensbilanz-Verordnung.</t>
  </si>
  <si>
    <t xml:space="preserve">   Univ.künst.u.i.Gest.Linz</t>
  </si>
  <si>
    <t xml:space="preserve">   Medizin.Univ.Innsbruck</t>
  </si>
  <si>
    <t>UA Wintersemester 2015 (Stichtag: 31.12.2015)</t>
  </si>
  <si>
    <t>UB Wintersemester 2013 (Stichtag: 31.12.2013)</t>
  </si>
  <si>
    <t>UD Wintersemester 2016 (Stichtag: 31.12.2016)</t>
  </si>
  <si>
    <t>UE Wintersemester 2014 (Stichtag: 31.12.2014)</t>
  </si>
  <si>
    <t>UG Wintersemester 2017 (Stichtag: 31.12.2017)</t>
  </si>
  <si>
    <t>UH Wintersemester 2015 (Stichtag: 31.12.2015)</t>
  </si>
  <si>
    <t>UI Wintersemester 2013 (Stichtag: 31.12.2013)</t>
  </si>
  <si>
    <t>UJ Wintersemester 2018 (Stichtag: 31.12.2018)</t>
  </si>
  <si>
    <t>UK Wintersemester 2016 (Stichtag: 31.12.2016)</t>
  </si>
  <si>
    <t>UL Wintersemester 2014 (Stichtag: 31.12.2014)</t>
  </si>
  <si>
    <t>UM Wintersemester 2019 (Stichtag: 31.12.2019)</t>
  </si>
  <si>
    <t>UN Wintersemester 2017 (Stichtag: 31.12.2017)</t>
  </si>
  <si>
    <t>UO Wintersemester 2015 (Stichtag: 31.12.2015)</t>
  </si>
  <si>
    <t>UQ Wintersemester 2018 (Stichtag: 31.12.2018)</t>
  </si>
  <si>
    <t>UR Wintersemester 2016 (Stichtag: 31.12.2016)</t>
  </si>
  <si>
    <t>US Wintersemester 2006 (Stichtag: 31.12.2006)</t>
  </si>
  <si>
    <t>UT Wintersemester 2019 (Stichtag: 31.12.2019)</t>
  </si>
  <si>
    <t>UU Wintersemester 2017 (Stichtag: 31.12.2017)</t>
  </si>
  <si>
    <t>UV Wintersemester 2007 (Stichtag: 31.12.2007)</t>
  </si>
  <si>
    <t>UL Wintersemester 2020 (Stichtag: 31.12.2020)</t>
  </si>
  <si>
    <t>US Wintersemester 2020 (Stichtag: 31.12.2020)</t>
  </si>
  <si>
    <t>UO Wintersemester 2021 (Stichtag: 31.12.2021)</t>
  </si>
  <si>
    <t>UV Wintersemester 2021 (Stichtag: 31.12.2021)</t>
  </si>
  <si>
    <t>UR Wintersemester 2022 (Stichtag: 31.12.2022)</t>
  </si>
  <si>
    <t>Wintersemester 2024 (Stichtag: 31.12.2024)</t>
  </si>
</sst>
</file>

<file path=xl/styles.xml><?xml version="1.0" encoding="utf-8"?>
<styleSheet xmlns="http://schemas.openxmlformats.org/spreadsheetml/2006/main">
  <numFmts count="2">
    <numFmt numFmtId="164" formatCode=";;;"/>
    <numFmt numFmtId="165" formatCode="#,##0.0"/>
  </numFmts>
  <fonts count="33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rgb="FF262626"/>
      <name val="Tahoma"/>
      <family val="2"/>
    </font>
    <font>
      <sz val="10"/>
      <color rgb="FF000000"/>
      <name val="Tahoma"/>
      <family val="2"/>
    </font>
    <font>
      <b/>
      <sz val="10"/>
      <name val="Tahoma"/>
      <family val="2"/>
    </font>
    <font>
      <sz val="10"/>
      <color rgb="FF595959"/>
      <name val="Tahoma"/>
      <family val="2"/>
    </font>
    <font>
      <b/>
      <sz val="8"/>
      <color indexed="23"/>
      <name val="Tahoma"/>
      <family val="2"/>
    </font>
    <font>
      <sz val="11"/>
      <color rgb="FF000000"/>
      <name val="Tahoma"/>
      <family val="2"/>
    </font>
    <font>
      <b/>
      <sz val="11"/>
      <color rgb="FF000000"/>
      <name val="Tahoma"/>
      <family val="2"/>
    </font>
    <font>
      <sz val="9"/>
      <name val="Tahoma"/>
      <family val="2"/>
    </font>
    <font>
      <sz val="10"/>
      <name val="Tahoma"/>
      <family val="2"/>
    </font>
    <font>
      <sz val="10"/>
      <color theme="1" tint="0.0499893185216834"/>
      <name val="Tahoma"/>
      <family val="2"/>
    </font>
    <font>
      <sz val="8"/>
      <name val="Tahoma"/>
      <family val="2"/>
    </font>
    <font>
      <sz val="10"/>
      <color theme="1" tint="0.34998626667073579"/>
      <name val="Tahoma"/>
      <family val="2"/>
    </font>
    <font>
      <sz val="10"/>
      <color theme="1" tint="0.14999847407452621"/>
      <name val="Tahoma"/>
      <family val="2"/>
    </font>
    <font>
      <b/>
      <sz val="11"/>
      <color theme="1"/>
      <name val="Calibri"/>
      <family val="2"/>
      <scheme val="minor"/>
    </font>
    <font>
      <b/>
      <sz val="8"/>
      <color rgb="FFFF0000"/>
      <name val="Tahoma"/>
      <family val="2"/>
    </font>
    <font>
      <sz val="10"/>
      <color rgb="FFFF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rgb="FF3F3F3F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3"/>
      <color theme="3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DDDDD"/>
        <bgColor rgb="FFFFFFFF"/>
      </patternFill>
    </fill>
    <fill>
      <patternFill patternType="solid">
        <fgColor rgb="FFC6D9F1"/>
        <bgColor rgb="FFFFFFFF"/>
      </patternFill>
    </fill>
    <fill>
      <patternFill patternType="solid">
        <fgColor indexed="2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indexed="42"/>
        <bgColor indexed="64"/>
      </patternFill>
    </fill>
  </fills>
  <borders count="10">
    <border>
      <left/>
      <right/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/>
      <right style="hair">
        <color rgb="FFC0C0C0"/>
      </right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/>
      <diagonal/>
    </border>
    <border>
      <left style="hair">
        <color rgb="FFC0C0C0"/>
      </left>
      <right/>
      <top style="hair">
        <color rgb="FFC0C0C0"/>
      </top>
      <bottom/>
      <diagonal/>
    </border>
    <border>
      <left style="hair">
        <color rgb="FFC0C0C0"/>
      </left>
      <right/>
      <top style="hair">
        <color rgb="FFC0C0C0"/>
      </top>
      <bottom style="hair">
        <color rgb="FFC0C0C0"/>
      </bottom>
      <diagonal/>
    </border>
    <border>
      <left style="hair">
        <color rgb="FFC0C0C0"/>
      </left>
      <right/>
      <top/>
      <bottom/>
      <diagonal/>
    </border>
    <border>
      <left style="hair">
        <color rgb="FFC0C0C0"/>
      </left>
      <right style="hair">
        <color rgb="FFC0C0C0"/>
      </right>
      <top/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thin">
        <color indexed="23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xfId="0"/>
    <xf numFmtId="165" fontId="2" fillId="0" borderId="1" xfId="0" quotePrefix="1" applyNumberFormat="1" applyFont="1" applyFill="1" applyBorder="1" applyAlignment="1" applyProtection="1">
      <alignment horizontal="right" vertical="center" wrapText="1"/>
    </xf>
    <xf numFmtId="165" fontId="2" fillId="0" borderId="1" xfId="0" applyNumberFormat="1" applyFont="1" applyFill="1" applyBorder="1" applyAlignment="1" applyProtection="1">
      <alignment horizontal="right" vertical="center" wrapText="1"/>
    </xf>
    <xf numFmtId="165" fontId="2" fillId="2" borderId="1" xfId="0" applyNumberFormat="1" applyFont="1" applyFill="1" applyBorder="1" applyAlignment="1" applyProtection="1">
      <alignment horizontal="right" vertical="center" wrapText="1"/>
    </xf>
    <xf numFmtId="0" fontId="2" fillId="0" borderId="1" xfId="0" applyFont="1" applyFill="1" applyBorder="1" applyAlignment="1" applyProtection="1">
      <alignment horizontal="left" vertical="center"/>
    </xf>
    <xf numFmtId="0" fontId="2" fillId="2" borderId="1" xfId="0" applyFont="1" applyFill="1" applyBorder="1" applyAlignment="1" applyProtection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/>
    <xf numFmtId="0" fontId="5" fillId="3" borderId="2" xfId="0" quotePrefix="1" applyFont="1" applyFill="1" applyBorder="1" applyAlignment="1" applyProtection="1"/>
    <xf numFmtId="0" fontId="6" fillId="0" borderId="0" xfId="0" applyFont="1"/>
    <xf numFmtId="0" fontId="7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top"/>
    </xf>
    <xf numFmtId="0" fontId="9" fillId="4" borderId="0" xfId="1" applyFont="1" applyFill="1" applyBorder="1" applyAlignment="1">
      <alignment horizontal="center"/>
    </xf>
    <xf numFmtId="0" fontId="2" fillId="0" borderId="3" xfId="0" applyFont="1" applyBorder="1" applyAlignment="1" applyProtection="1">
      <alignment horizontal="right" vertical="center" wrapText="1"/>
    </xf>
    <xf numFmtId="0" fontId="3" fillId="0" borderId="0" xfId="0" applyFont="1" applyAlignment="1">
      <alignment horizontal="left"/>
    </xf>
    <xf numFmtId="0" fontId="2" fillId="0" borderId="4" xfId="0" applyFont="1" applyBorder="1" applyAlignment="1" applyProtection="1">
      <alignment horizontal="center" wrapText="1"/>
    </xf>
    <xf numFmtId="0" fontId="10" fillId="0" borderId="0" xfId="0" quotePrefix="1" applyFont="1" applyFill="1"/>
    <xf numFmtId="0" fontId="10" fillId="0" borderId="0" xfId="0" applyNumberFormat="1" applyFont="1" applyAlignment="1"/>
    <xf numFmtId="0" fontId="11" fillId="0" borderId="0" xfId="0" applyFont="1"/>
    <xf numFmtId="0" fontId="2" fillId="0" borderId="1" xfId="0" applyFont="1" applyBorder="1" applyAlignment="1" applyProtection="1">
      <alignment horizontal="right" vertical="center" wrapText="1"/>
    </xf>
    <xf numFmtId="0" fontId="2" fillId="0" borderId="4" xfId="0" applyFont="1" applyBorder="1" applyAlignment="1" applyProtection="1">
      <alignment vertical="center"/>
    </xf>
    <xf numFmtId="0" fontId="12" fillId="0" borderId="0" xfId="1" applyFont="1"/>
    <xf numFmtId="0" fontId="10" fillId="0" borderId="0" xfId="0" quotePrefix="1" applyFont="1"/>
    <xf numFmtId="165" fontId="2" fillId="0" borderId="1" xfId="0" quotePrefix="1" applyNumberFormat="1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 wrapText="1"/>
    </xf>
    <xf numFmtId="0" fontId="2" fillId="0" borderId="1" xfId="0" quotePrefix="1" applyFont="1" applyFill="1" applyBorder="1" applyAlignment="1" applyProtection="1">
      <alignment horizontal="left" vertical="center"/>
    </xf>
    <xf numFmtId="0" fontId="13" fillId="5" borderId="0" xfId="0" applyFont="1" applyFill="1" applyAlignment="1"/>
    <xf numFmtId="0" fontId="2" fillId="0" borderId="3" xfId="0" applyFont="1" applyBorder="1" applyAlignment="1" applyProtection="1">
      <alignment horizontal="right" wrapText="1"/>
    </xf>
    <xf numFmtId="3" fontId="2" fillId="0" borderId="3" xfId="0" applyNumberFormat="1" applyFont="1" applyBorder="1" applyAlignment="1" applyProtection="1">
      <alignment horizontal="right"/>
    </xf>
    <xf numFmtId="0" fontId="6" fillId="0" borderId="0" xfId="0" applyFont="1" applyAlignment="1">
      <alignment horizontal="right"/>
    </xf>
    <xf numFmtId="0" fontId="14" fillId="0" borderId="0" xfId="0" applyFont="1"/>
    <xf numFmtId="165" fontId="2" fillId="0" borderId="5" xfId="0" applyNumberFormat="1" applyFont="1" applyBorder="1" applyAlignment="1" applyProtection="1">
      <alignment horizontal="center" vertical="center"/>
    </xf>
    <xf numFmtId="3" fontId="2" fillId="0" borderId="1" xfId="0" applyNumberFormat="1" applyFont="1" applyBorder="1" applyAlignment="1" applyProtection="1">
      <alignment horizontal="right"/>
    </xf>
    <xf numFmtId="0" fontId="2" fillId="0" borderId="5" xfId="0" applyFont="1" applyBorder="1" applyAlignment="1" applyProtection="1">
      <alignment horizontal="center" vertical="center" wrapText="1"/>
    </xf>
    <xf numFmtId="0" fontId="12" fillId="5" borderId="0" xfId="1" applyFont="1" applyFill="1"/>
    <xf numFmtId="0" fontId="2" fillId="0" borderId="6" xfId="0" applyFont="1" applyBorder="1" applyAlignment="1" applyProtection="1">
      <alignment horizontal="center" wrapText="1"/>
    </xf>
    <xf numFmtId="0" fontId="2" fillId="0" borderId="5" xfId="0" applyFont="1" applyBorder="1" applyAlignment="1" applyProtection="1">
      <alignment horizontal="center" wrapText="1"/>
    </xf>
    <xf numFmtId="0" fontId="2" fillId="0" borderId="4" xfId="0" applyFont="1" applyBorder="1" applyAlignment="1" applyProtection="1">
      <alignment horizontal="center" vertical="center" wrapText="1"/>
    </xf>
    <xf numFmtId="0" fontId="10" fillId="0" borderId="0" xfId="0" applyFont="1"/>
    <xf numFmtId="0" fontId="2" fillId="0" borderId="7" xfId="0" applyFont="1" applyBorder="1" applyAlignment="1" applyProtection="1">
      <alignment horizontal="right" vertical="center" wrapText="1"/>
    </xf>
    <xf numFmtId="0" fontId="2" fillId="0" borderId="3" xfId="0" applyFont="1" applyBorder="1" applyAlignment="1" applyProtection="1">
      <alignment vertical="center" wrapText="1"/>
    </xf>
    <xf numFmtId="0" fontId="10" fillId="0" borderId="0" xfId="0" applyFont="1" applyAlignment="1">
      <alignment horizontal="center"/>
    </xf>
    <xf numFmtId="164" fontId="10" fillId="0" borderId="0" xfId="0" applyNumberFormat="1" applyFont="1"/>
    <xf numFmtId="0" fontId="0" fillId="0" borderId="0" xfId="0" applyFill="1" applyBorder="1" applyAlignment="1"/>
    <xf numFmtId="165" fontId="2" fillId="0" borderId="3" xfId="0" applyNumberFormat="1" applyFont="1" applyBorder="1" applyAlignment="1" applyProtection="1">
      <alignment horizontal="right" wrapText="1"/>
    </xf>
    <xf numFmtId="3" fontId="4" fillId="0" borderId="0" xfId="0" applyNumberFormat="1" applyFont="1" applyFill="1" applyAlignment="1"/>
    <xf numFmtId="3" fontId="10" fillId="6" borderId="0" xfId="0" applyNumberFormat="1" applyFont="1" applyFill="1" applyAlignment="1"/>
    <xf numFmtId="0" fontId="15" fillId="0" borderId="0" xfId="0" applyFont="1" applyFill="1" applyBorder="1" applyAlignment="1"/>
    <xf numFmtId="3" fontId="10" fillId="7" borderId="0" xfId="0" applyNumberFormat="1" applyFont="1" applyFill="1" applyAlignment="1"/>
    <xf numFmtId="2" fontId="10" fillId="0" borderId="0" xfId="0" applyNumberFormat="1" applyFont="1"/>
    <xf numFmtId="165" fontId="2" fillId="0" borderId="6" xfId="0" applyNumberFormat="1" applyFont="1" applyBorder="1" applyAlignment="1" applyProtection="1">
      <alignment horizontal="center" wrapText="1"/>
    </xf>
    <xf numFmtId="3" fontId="0" fillId="0" borderId="0" xfId="0" applyNumberFormat="1"/>
    <xf numFmtId="0" fontId="2" fillId="0" borderId="6" xfId="0" applyFont="1" applyBorder="1" applyAlignment="1" applyProtection="1">
      <alignment horizontal="center" vertical="center" wrapText="1"/>
    </xf>
    <xf numFmtId="0" fontId="2" fillId="0" borderId="7" xfId="0" applyFont="1" applyBorder="1" applyAlignment="1" applyProtection="1">
      <alignment horizontal="right" wrapText="1"/>
    </xf>
    <xf numFmtId="0" fontId="2" fillId="0" borderId="3" xfId="0" applyFont="1" applyBorder="1" applyAlignment="1" applyProtection="1">
      <alignment horizontal="right"/>
    </xf>
    <xf numFmtId="0" fontId="2" fillId="8" borderId="4" xfId="0" applyFont="1" applyFill="1" applyBorder="1" applyAlignment="1" applyProtection="1">
      <alignment vertical="center"/>
    </xf>
    <xf numFmtId="0" fontId="10" fillId="0" borderId="0" xfId="0" applyFont="1" applyAlignment="1">
      <alignment horizontal="right"/>
    </xf>
    <xf numFmtId="0" fontId="2" fillId="0" borderId="5" xfId="0" applyFont="1" applyBorder="1" applyAlignment="1" applyProtection="1">
      <alignment vertical="center"/>
    </xf>
    <xf numFmtId="0" fontId="10" fillId="0" borderId="0" xfId="0" applyNumberFormat="1" applyFont="1"/>
    <xf numFmtId="0" fontId="16" fillId="0" borderId="0" xfId="0" applyFont="1"/>
    <xf numFmtId="0" fontId="2" fillId="0" borderId="4" xfId="0" applyFont="1" applyBorder="1" applyAlignment="1" applyProtection="1">
      <alignment horizontal="right"/>
    </xf>
    <xf numFmtId="0" fontId="17" fillId="0" borderId="0" xfId="0" applyFont="1"/>
    <xf numFmtId="0" fontId="10" fillId="7" borderId="0" xfId="0" applyNumberFormat="1" applyFont="1" applyFill="1" applyAlignment="1"/>
    <xf numFmtId="0" fontId="14" fillId="0" borderId="8" xfId="0" quotePrefix="1" applyFont="1" applyFill="1" applyBorder="1" applyAlignment="1">
      <alignment horizontal="right"/>
    </xf>
    <xf numFmtId="0" fontId="2" fillId="0" borderId="1" xfId="0" quotePrefix="1" applyFont="1" applyBorder="1" applyAlignment="1" applyProtection="1">
      <alignment horizontal="left" vertical="center"/>
    </xf>
    <xf numFmtId="3" fontId="10" fillId="9" borderId="0" xfId="0" applyNumberFormat="1" applyFont="1" applyFill="1" applyAlignment="1"/>
    <xf numFmtId="0" fontId="0" fillId="0" borderId="0" xfId="0" quotePrefix="1"/>
    <xf numFmtId="0" fontId="2" fillId="0" borderId="1" xfId="0" applyFont="1" applyBorder="1" applyAlignment="1" applyProtection="1">
      <alignment vertical="center"/>
    </xf>
    <xf numFmtId="0" fontId="10" fillId="7" borderId="0" xfId="0" applyFont="1" applyFill="1"/>
    <xf numFmtId="0" fontId="9" fillId="4" borderId="9" xfId="1" applyFont="1" applyFill="1" applyBorder="1" applyAlignment="1">
      <alignment horizontal="center"/>
    </xf>
    <xf numFmtId="0" fontId="10" fillId="0" borderId="0" xfId="0" applyFont="1" applyFill="1" applyBorder="1" applyAlignment="1">
      <alignment vertical="center"/>
    </xf>
    <xf numFmtId="0" fontId="2" fillId="8" borderId="3" xfId="0" applyFont="1" applyFill="1" applyBorder="1" applyAlignment="1" applyProtection="1">
      <alignment vertical="center"/>
    </xf>
    <xf numFmtId="0" fontId="15" fillId="0" borderId="0" xfId="0" applyFont="1"/>
    <xf numFmtId="165" fontId="2" fillId="0" borderId="4" xfId="0" applyNumberFormat="1" applyFont="1" applyBorder="1" applyAlignment="1" applyProtection="1">
      <alignment horizontal="center" wrapText="1"/>
    </xf>
    <xf numFmtId="165" fontId="2" fillId="0" borderId="7" xfId="0" applyNumberFormat="1" applyFont="1" applyBorder="1" applyAlignment="1" applyProtection="1">
      <alignment horizontal="right" wrapText="1"/>
    </xf>
    <xf numFmtId="3" fontId="2" fillId="0" borderId="1" xfId="0" quotePrefix="1" applyNumberFormat="1" applyFont="1" applyBorder="1" applyAlignment="1" applyProtection="1">
      <alignment horizontal="right"/>
    </xf>
    <xf numFmtId="3" fontId="10" fillId="0" borderId="0" xfId="0" applyNumberFormat="1" applyFont="1" applyAlignment="1"/>
    <xf numFmtId="0" fontId="10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14" fillId="0" borderId="8" xfId="0" quotePrefix="1" applyFont="1" applyFill="1" applyBorder="1" applyAlignment="1"/>
    <xf numFmtId="0" fontId="0" fillId="0" borderId="0" xfId="0" applyNumberFormat="1"/>
    <xf numFmtId="0" fontId="0" fillId="0" borderId="0" xfId="0" applyFill="1" applyBorder="1" applyAlignment="1">
      <alignment vertical="center"/>
    </xf>
    <xf numFmtId="3" fontId="2" fillId="0" borderId="3" xfId="0" quotePrefix="1" applyNumberFormat="1" applyFont="1" applyBorder="1" applyAlignment="1" applyProtection="1">
      <alignment horizontal="right"/>
    </xf>
    <xf numFmtId="0" fontId="12" fillId="7" borderId="0" xfId="1" applyFont="1" applyFill="1"/>
    <xf numFmtId="3" fontId="14" fillId="0" borderId="8" xfId="0" applyNumberFormat="1" applyFont="1" applyFill="1" applyBorder="1" applyAlignment="1"/>
    <xf numFmtId="0" fontId="14" fillId="0" borderId="8" xfId="0" applyFont="1" applyFill="1" applyBorder="1" applyAlignment="1">
      <alignment vertical="center"/>
    </xf>
    <xf numFmtId="0" fontId="0" fillId="0" borderId="0" xfId="0" applyFont="1"/>
    <xf numFmtId="0" fontId="10" fillId="0" borderId="0" xfId="0" applyNumberFormat="1" applyFont="1" applyFill="1" applyBorder="1" applyAlignment="1"/>
  </cellXfs>
  <cellStyles count="2">
    <cellStyle name="Normal" xfId="0" builtinId="0"/>
    <cellStyle name="Normal_Sheet1" xfId="1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3</xdr:col>
      <xdr:colOff>31251</xdr:colOff>
      <xdr:row>12</xdr:row>
      <xdr:rowOff>180975</xdr:rowOff>
    </xdr:from>
    <xdr:to>
      <xdr:col>3</xdr:col>
      <xdr:colOff>2083387</xdr:colOff>
      <xdr:row>14</xdr:row>
      <xdr:rowOff>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85449" y="2564765"/>
          <a:ext cx="2052136" cy="18986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absolute">
    <xdr:from>
      <xdr:col>9</xdr:col>
      <xdr:colOff>114300</xdr:colOff>
      <xdr:row>3</xdr:row>
      <xdr:rowOff>109220</xdr:rowOff>
    </xdr:from>
    <xdr:to>
      <xdr:col>10</xdr:col>
      <xdr:colOff>305497</xdr:colOff>
      <xdr:row>7</xdr:row>
      <xdr:rowOff>104140</xdr:rowOff>
    </xdr:to>
    <xdr:sp macro="" textlink="">
      <xdr:nvSpPr>
        <xdr:cNvPr id="2" name="Comment 1" hidden="1"/>
        <xdr:cNvSpPr txBox="1"/>
      </xdr:nvSpPr>
      <xdr:spPr>
        <a:xfrm>
          <a:off x="12905418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XLCubed:</a:t>
          </a:r>
        </a:p>
        <a:p>
          <a:pPr algn="l"/>
          <a:r>
            <a:rPr/>
            <a:t>Blank name gives the default format.</a:t>
          </a:r>
        </a:p>
        <a:p>
          <a:pPr algn="l"/>
          <a:r>
            <a:rPr/>
            <a:t>Specify slicer name for slicer specific formats</a:t>
          </a:r>
        </a:p>
      </xdr:txBody>
    </xdr:sp>
    <xdr:clientData/>
  </xdr:twoCellAnchor>
  <xdr:twoCellAnchor editAs="absolute">
    <xdr:from>
      <xdr:col>10</xdr:col>
      <xdr:colOff>114300</xdr:colOff>
      <xdr:row>3</xdr:row>
      <xdr:rowOff>109220</xdr:rowOff>
    </xdr:from>
    <xdr:to>
      <xdr:col>11</xdr:col>
      <xdr:colOff>305497</xdr:colOff>
      <xdr:row>7</xdr:row>
      <xdr:rowOff>104140</xdr:rowOff>
    </xdr:to>
    <xdr:sp macro="" textlink="">
      <xdr:nvSpPr>
        <xdr:cNvPr id="3" name="Comment 2" hidden="1"/>
        <xdr:cNvSpPr txBox="1"/>
      </xdr:nvSpPr>
      <xdr:spPr>
        <a:xfrm>
          <a:off x="13811500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slicer title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  <xdr:twoCellAnchor editAs="absolute">
    <xdr:from>
      <xdr:col>11</xdr:col>
      <xdr:colOff>114300</xdr:colOff>
      <xdr:row>3</xdr:row>
      <xdr:rowOff>109220</xdr:rowOff>
    </xdr:from>
    <xdr:to>
      <xdr:col>12</xdr:col>
      <xdr:colOff>305497</xdr:colOff>
      <xdr:row>7</xdr:row>
      <xdr:rowOff>104140</xdr:rowOff>
    </xdr:to>
    <xdr:sp macro="" textlink="">
      <xdr:nvSpPr>
        <xdr:cNvPr id="4" name="Comment 3" hidden="1"/>
        <xdr:cNvSpPr txBox="1"/>
      </xdr:nvSpPr>
      <xdr:spPr>
        <a:xfrm>
          <a:off x="14717583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Format for non-button slicer text</a:t>
          </a:r>
        </a:p>
        <a:p>
          <a:pPr algn="l"/>
          <a:endParaRPr/>
        </a:p>
      </xdr:txBody>
    </xdr:sp>
    <xdr:clientData/>
  </xdr:twoCellAnchor>
  <xdr:twoCellAnchor editAs="absolute">
    <xdr:from>
      <xdr:col>12</xdr:col>
      <xdr:colOff>114300</xdr:colOff>
      <xdr:row>3</xdr:row>
      <xdr:rowOff>109220</xdr:rowOff>
    </xdr:from>
    <xdr:to>
      <xdr:col>13</xdr:col>
      <xdr:colOff>44867</xdr:colOff>
      <xdr:row>7</xdr:row>
      <xdr:rowOff>104140</xdr:rowOff>
    </xdr:to>
    <xdr:sp macro="" textlink="">
      <xdr:nvSpPr>
        <xdr:cNvPr id="5" name="Comment 4" hidden="1"/>
        <xdr:cNvSpPr txBox="1"/>
      </xdr:nvSpPr>
      <xdr:spPr>
        <a:xfrm>
          <a:off x="15623665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Default format for slicer buttons</a:t>
          </a:r>
        </a:p>
      </xdr:txBody>
    </xdr:sp>
    <xdr:clientData/>
  </xdr:twoCellAnchor>
  <xdr:twoCellAnchor editAs="absolute">
    <xdr:from>
      <xdr:col>13</xdr:col>
      <xdr:colOff>114300</xdr:colOff>
      <xdr:row>3</xdr:row>
      <xdr:rowOff>109220</xdr:rowOff>
    </xdr:from>
    <xdr:to>
      <xdr:col>14</xdr:col>
      <xdr:colOff>169913</xdr:colOff>
      <xdr:row>7</xdr:row>
      <xdr:rowOff>104140</xdr:rowOff>
    </xdr:to>
    <xdr:sp macro="" textlink="">
      <xdr:nvSpPr>
        <xdr:cNvPr id="6" name="Comment 5" hidden="1"/>
        <xdr:cNvSpPr txBox="1"/>
      </xdr:nvSpPr>
      <xdr:spPr>
        <a:xfrm>
          <a:off x="16790379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selected button</a:t>
          </a:r>
        </a:p>
      </xdr:txBody>
    </xdr:sp>
    <xdr:clientData/>
  </xdr:twoCellAnchor>
  <xdr:twoCellAnchor editAs="absolute">
    <xdr:from>
      <xdr:col>14</xdr:col>
      <xdr:colOff>114300</xdr:colOff>
      <xdr:row>3</xdr:row>
      <xdr:rowOff>109220</xdr:rowOff>
    </xdr:from>
    <xdr:to>
      <xdr:col>14</xdr:col>
      <xdr:colOff>1211580</xdr:colOff>
      <xdr:row>7</xdr:row>
      <xdr:rowOff>104140</xdr:rowOff>
    </xdr:to>
    <xdr:sp macro="" textlink="">
      <xdr:nvSpPr>
        <xdr:cNvPr id="7" name="Comment 6" hidden="1"/>
        <xdr:cNvSpPr txBox="1"/>
      </xdr:nvSpPr>
      <xdr:spPr>
        <a:xfrm>
          <a:off x="17832046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button when hovered over</a:t>
          </a:r>
        </a:p>
        <a:p>
          <a:pPr algn="l"/>
          <a:endParaRPr/>
        </a:p>
      </xdr:txBody>
    </xdr:sp>
    <xdr:clientData/>
  </xdr:twoCellAnchor>
  <xdr:twoCellAnchor editAs="absolute">
    <xdr:from>
      <xdr:col>15</xdr:col>
      <xdr:colOff>114300</xdr:colOff>
      <xdr:row>3</xdr:row>
      <xdr:rowOff>109220</xdr:rowOff>
    </xdr:from>
    <xdr:to>
      <xdr:col>16</xdr:col>
      <xdr:colOff>545050</xdr:colOff>
      <xdr:row>7</xdr:row>
      <xdr:rowOff>104140</xdr:rowOff>
    </xdr:to>
    <xdr:sp macro="" textlink="">
      <xdr:nvSpPr>
        <xdr:cNvPr id="8" name="Comment 7" hidden="1"/>
        <xdr:cNvSpPr txBox="1"/>
      </xdr:nvSpPr>
      <xdr:spPr>
        <a:xfrm>
          <a:off x="19165392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Background between the slicer buttons.</a:t>
          </a:r>
        </a:p>
      </xdr:txBody>
    </xdr:sp>
    <xdr:clientData/>
  </xdr:twoCellAnchor>
  <xdr:twoCellAnchor editAs="absolute">
    <xdr:from>
      <xdr:col>4</xdr:col>
      <xdr:colOff>114300</xdr:colOff>
      <xdr:row>22</xdr:row>
      <xdr:rowOff>109220</xdr:rowOff>
    </xdr:from>
    <xdr:to>
      <xdr:col>4</xdr:col>
      <xdr:colOff>1211580</xdr:colOff>
      <xdr:row>26</xdr:row>
      <xdr:rowOff>104140</xdr:rowOff>
    </xdr:to>
    <xdr:sp macro="" textlink="">
      <xdr:nvSpPr>
        <xdr:cNvPr id="9" name="Comment 8" hidden="1"/>
        <xdr:cNvSpPr txBox="1"/>
      </xdr:nvSpPr>
      <xdr:spPr>
        <a:xfrm>
          <a:off x="7322513" y="356362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Can use wildcard character - '*'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399"/>
  <sheetViews>
    <sheetView tabSelected="1" workbookViewId="0"/>
  </sheetViews>
  <sheetFormatPr defaultColWidth="11.42578125" defaultRowHeight="14.95" outlineLevelRow="1" outlineLevelCol="1"/>
  <cols>
    <col min="1" max="1" width="52.85546875" style="88" customWidth="1"/>
    <col min="2" max="3" width="25.7109375" hidden="1" customWidth="1" outlineLevel="1"/>
    <col min="4" max="4" width="79.5703125" customWidth="1" collapsed="1"/>
    <col min="5" max="5" width="21.42578125" customWidth="1"/>
    <col min="6" max="6" width="23.5703125" customWidth="1"/>
    <col min="7" max="7" width="21.42578125" customWidth="1"/>
    <col min="8" max="8" width="13.28515625" customWidth="1"/>
    <col min="9" max="9" width="21.28515625" customWidth="1"/>
    <col min="10" max="10" width="12.7109375" customWidth="1"/>
    <col min="11" max="11" width="11.28515625" bestFit="1" customWidth="1"/>
    <col min="12" max="12" width="9.85546875" bestFit="1" customWidth="1"/>
    <col min="13" max="13" width="7.28515625" bestFit="1" customWidth="1"/>
    <col min="14" max="14" width="11.28515625" bestFit="1" customWidth="1"/>
    <col min="15" max="15" width="9.85546875" bestFit="1" customWidth="1"/>
    <col min="16" max="16" width="7.28515625" bestFit="1" customWidth="1"/>
    <col min="17" max="17" width="11.28515625" bestFit="1" customWidth="1"/>
    <col min="18" max="18" width="7.28515625" bestFit="1" customWidth="1"/>
    <col min="19" max="19" width="11.28515625" bestFit="1" customWidth="1"/>
    <col min="20" max="20" width="9.85546875" bestFit="1" customWidth="1"/>
    <col min="21" max="21" width="7.28515625" bestFit="1" customWidth="1"/>
    <col min="22" max="22" width="11.28515625" bestFit="1" customWidth="1"/>
    <col min="23" max="23" width="9.85546875" bestFit="1" customWidth="1"/>
    <col min="24" max="24" width="7.28515625" bestFit="1" customWidth="1"/>
    <col min="25" max="25" width="11.28515625" bestFit="1" customWidth="1"/>
    <col min="26" max="26" width="17.140625" bestFit="1" customWidth="1"/>
    <col min="27" max="27" width="6.7109375" bestFit="1" customWidth="1"/>
    <col min="28" max="28" width="7.140625" bestFit="1" customWidth="1"/>
    <col min="29" max="29" width="17.140625" bestFit="1" customWidth="1"/>
    <col min="30" max="30" width="6.7109375" bestFit="1" customWidth="1"/>
    <col min="31" max="31" width="7.140625" bestFit="1" customWidth="1"/>
    <col min="32" max="32" width="17.140625" bestFit="1" customWidth="1"/>
    <col min="33" max="33" width="6.7109375" bestFit="1" customWidth="1"/>
    <col min="34" max="34" width="7.140625" bestFit="1" customWidth="1"/>
  </cols>
  <sheetData>
    <row>
      <c s="12" t="s">
        <v>548</v>
      </c>
      <c s="12"/>
      <c s="12"/>
      <c s="12"/>
      <c s="12"/>
      <c s="45"/>
    </row>
    <row>
      <c s="11" t="s">
        <v>163</v>
      </c>
      <c s="11"/>
      <c s="11"/>
      <c s="11"/>
      <c s="11"/>
      <c s="45"/>
    </row>
    <row ht="23.25" customHeight="1" s="74" customFormat="1">
      <c s="13" t="s">
        <v>196</v>
      </c>
      <c s="13"/>
      <c s="13"/>
      <c s="13"/>
      <c s="13"/>
      <c s="49"/>
    </row>
    <row>
      <c s="7" t="s">
        <v>454</v>
      </c>
      <c s="7"/>
      <c s="7"/>
      <c s="7"/>
      <c s="7"/>
      <c s="7"/>
    </row>
    <row>
      <c s="16" t="s">
        <v>8</v>
      </c>
      <c s="16"/>
      <c s="16"/>
      <c s="16"/>
      <c s="6"/>
      <c s="6"/>
    </row>
    <row>
      <c s="6"/>
      <c s="6"/>
      <c s="6"/>
      <c s="6"/>
      <c s="6"/>
      <c s="6"/>
    </row>
    <row>
      <c s="6" t="s">
        <v>542</v>
      </c>
      <c s="6"/>
      <c s="6"/>
      <c s="6"/>
      <c s="7"/>
      <c s="7"/>
    </row>
    <row>
      <c s="7" t="s">
        <v>458</v>
      </c>
      <c s="7"/>
      <c s="7"/>
      <c s="7"/>
      <c s="7"/>
      <c s="6"/>
    </row>
    <row>
      <c s="7" t="s">
        <v>85</v>
      </c>
      <c s="7"/>
      <c s="7"/>
      <c s="7"/>
      <c s="7"/>
      <c s="83"/>
    </row>
    <row>
      <c s="6"/>
      <c s="6"/>
      <c s="6"/>
      <c s="6"/>
      <c s="6"/>
      <c s="83"/>
    </row>
    <row>
      <c s="6" t="s">
        <v>399</v>
      </c>
      <c s="6"/>
      <c s="6"/>
      <c s="6"/>
      <c s="6"/>
      <c s="83"/>
    </row>
    <row>
      <c s="6" t="s">
        <v>591</v>
      </c>
      <c s="6"/>
      <c s="6"/>
      <c s="6"/>
      <c s="6"/>
      <c s="83"/>
    </row>
    <row ht="14.25" customHeight="1"/>
    <row>
      <c s="9" t="s">
        <v>587</v>
      </c>
      <c s="66" t="s">
        <v>117</v>
      </c>
    </row>
    <row ht="15" hidden="1" outlineLevel="1">
      <c s="9" t="s">
        <v>50</v>
      </c>
      <c s="66" t="s">
        <v>467</v>
      </c>
    </row>
    <row collapsed="1">
      <c/>
    </row>
    <row>
      <c/>
    </row>
    <row ht="15" hidden="1" customHeight="1" outlineLevel="1">
      <c/>
      <c r="E18" s="9" t="s">
        <v>239</v>
      </c>
      <c s="9" t="s">
        <v>4</v>
      </c>
    </row>
    <row ht="15" customHeight="1" collapsed="1">
      <c/>
      <c r="E19" s="25" t="s">
        <v>552</v>
      </c>
      <c s="25"/>
      <c s="25"/>
    </row>
    <row ht="26.45" customHeight="1">
      <c s="9" t="s">
        <v>41</v>
      </c>
      <c s="9" t="s">
        <v>515</v>
      </c>
      <c s="9" t="s">
        <v>502</v>
      </c>
      <c s="9" t="s">
        <v>193</v>
      </c>
      <c s="26" t="s">
        <v>618</v>
      </c>
      <c s="26" t="s">
        <v>273</v>
      </c>
      <c s="26" t="s">
        <v>544</v>
      </c>
    </row>
    <row>
      <c s="27" t="s">
        <v>400</v>
      </c>
      <c s="27" t="s">
        <v>590</v>
      </c>
      <c s="27" t="s">
        <v>400</v>
      </c>
      <c s="4" t="s">
        <v>206</v>
      </c>
      <c s="2">
        <v>4282.501699999998</v>
      </c>
      <c s="2">
        <v>4182.5321999999987</v>
      </c>
      <c s="2">
        <v>4172.3928000000005</v>
      </c>
    </row>
    <row>
      <c s="27"/>
      <c s="27"/>
      <c s="27"/>
      <c s="4" t="s">
        <v>205</v>
      </c>
      <c s="2">
        <v>560.22500000000002</v>
      </c>
      <c s="2">
        <v>542.49999999999989</v>
      </c>
      <c s="2">
        <v>541.65009999999995</v>
      </c>
    </row>
    <row>
      <c s="27"/>
      <c s="27"/>
      <c s="27"/>
      <c s="4" t="s">
        <v>126</v>
      </c>
      <c s="2">
        <v>255.5</v>
      </c>
      <c s="2">
        <v>283.32499999999999</v>
      </c>
      <c s="2">
        <v>192.60000000000002</v>
      </c>
    </row>
    <row>
      <c s="27"/>
      <c s="27"/>
      <c s="27"/>
      <c s="4" t="s">
        <v>329</v>
      </c>
      <c s="2">
        <v>109.75</v>
      </c>
      <c s="2">
        <v>125</v>
      </c>
      <c s="2">
        <v>144.15000000000001</v>
      </c>
    </row>
    <row>
      <c s="27"/>
      <c s="27"/>
      <c s="27"/>
      <c s="4" t="s">
        <v>516</v>
      </c>
      <c s="2">
        <v>47.149999999999999</v>
      </c>
      <c s="2">
        <v>48.449999999999996</v>
      </c>
      <c s="2">
        <v>48.449999999999996</v>
      </c>
    </row>
    <row>
      <c s="27"/>
      <c s="27"/>
      <c s="27"/>
      <c s="4" t="s">
        <v>125</v>
      </c>
      <c s="2">
        <v>98.600000000000009</v>
      </c>
      <c s="2">
        <v>109.875</v>
      </c>
      <c s="2">
        <v>0</v>
      </c>
    </row>
    <row>
      <c s="27"/>
      <c s="27"/>
      <c s="27"/>
      <c s="4" t="s">
        <v>168</v>
      </c>
      <c s="2">
        <v>3466.7766999999994</v>
      </c>
      <c s="2">
        <v>3356.7071999999985</v>
      </c>
      <c s="2">
        <v>3438.1427000000017</v>
      </c>
    </row>
    <row>
      <c s="27"/>
      <c s="27"/>
      <c s="27"/>
      <c s="4" t="s">
        <v>167</v>
      </c>
      <c s="2">
        <v>0</v>
      </c>
      <c s="2">
        <v>0</v>
      </c>
      <c s="2">
        <v>103.9251</v>
      </c>
    </row>
    <row>
      <c s="27"/>
      <c s="27"/>
      <c s="27"/>
      <c s="4" t="s">
        <v>246</v>
      </c>
      <c s="2">
        <v>0</v>
      </c>
      <c s="2">
        <v>0</v>
      </c>
      <c s="2">
        <v>0</v>
      </c>
    </row>
    <row>
      <c s="27"/>
      <c s="27"/>
      <c s="27"/>
      <c s="4" t="s">
        <v>121</v>
      </c>
      <c s="2">
        <v>1339.2748999999999</v>
      </c>
      <c s="2">
        <v>1237.2374999999997</v>
      </c>
      <c s="2">
        <v>1250.3751</v>
      </c>
    </row>
    <row>
      <c s="27"/>
      <c s="27"/>
      <c s="27"/>
      <c s="4" t="s">
        <v>245</v>
      </c>
      <c s="2">
        <v>0</v>
      </c>
      <c s="2">
        <v>0</v>
      </c>
      <c s="2">
        <v>0</v>
      </c>
    </row>
    <row>
      <c s="27"/>
      <c s="27"/>
      <c s="27"/>
      <c s="4" t="s">
        <v>5</v>
      </c>
      <c s="2">
        <v>2274.1826000000005</v>
      </c>
      <c s="2">
        <v>2196.0147000000006</v>
      </c>
      <c s="2">
        <v>2152.9842000000003</v>
      </c>
    </row>
    <row>
      <c s="27"/>
      <c s="27"/>
      <c s="27"/>
      <c s="4" t="s">
        <v>201</v>
      </c>
      <c s="2">
        <v>138.94999999999999</v>
      </c>
      <c s="2">
        <v>114.05</v>
      </c>
      <c s="2">
        <v>109.8126</v>
      </c>
    </row>
    <row>
      <c s="27"/>
      <c s="27"/>
      <c s="27"/>
      <c s="4" t="s">
        <v>328</v>
      </c>
      <c s="2">
        <v>0</v>
      </c>
      <c s="2">
        <v>0</v>
      </c>
      <c s="2">
        <v>0</v>
      </c>
    </row>
    <row>
      <c s="27"/>
      <c s="27"/>
      <c s="27"/>
      <c s="4" t="s">
        <v>51</v>
      </c>
      <c s="2">
        <v>0</v>
      </c>
      <c s="2">
        <v>0</v>
      </c>
      <c s="2">
        <v>0</v>
      </c>
    </row>
    <row>
      <c s="27"/>
      <c s="27"/>
      <c s="27"/>
      <c s="5" t="s">
        <v>117</v>
      </c>
      <c s="3">
        <v>6556.6842999999981</v>
      </c>
      <c s="3">
        <v>6378.5469000000003</v>
      </c>
      <c s="3">
        <v>6325.3770000000022</v>
      </c>
    </row>
    <row>
      <c s="27"/>
      <c s="27"/>
      <c s="27"/>
      <c s="4" t="s">
        <v>588</v>
      </c>
      <c s="1" t="s">
        <v>588</v>
      </c>
      <c s="1" t="s">
        <v>588</v>
      </c>
      <c s="1" t="s">
        <v>588</v>
      </c>
    </row>
    <row>
      <c s="27" t="s">
        <v>199</v>
      </c>
      <c s="27" t="s">
        <v>157</v>
      </c>
      <c s="27" t="s">
        <v>199</v>
      </c>
      <c s="4" t="s">
        <v>206</v>
      </c>
      <c s="2">
        <v>1566.9783</v>
      </c>
      <c s="2">
        <v>1570.5494000000003</v>
      </c>
      <c s="2">
        <v>1573.0934999999999</v>
      </c>
    </row>
    <row>
      <c s="27"/>
      <c s="27"/>
      <c s="27"/>
      <c s="4" t="s">
        <v>205</v>
      </c>
      <c s="2">
        <v>229.05000000000001</v>
      </c>
      <c s="2">
        <v>219.20000000000002</v>
      </c>
      <c s="2">
        <v>210.125</v>
      </c>
    </row>
    <row>
      <c s="27"/>
      <c s="27"/>
      <c s="27"/>
      <c s="4" t="s">
        <v>126</v>
      </c>
      <c s="2">
        <v>169.97499999999999</v>
      </c>
      <c s="2">
        <v>191.42500000000001</v>
      </c>
      <c s="2">
        <v>166.59999999999999</v>
      </c>
    </row>
    <row>
      <c s="27"/>
      <c s="27"/>
      <c s="27"/>
      <c s="4" t="s">
        <v>329</v>
      </c>
      <c s="2">
        <v>76.75</v>
      </c>
      <c s="2">
        <v>89.25</v>
      </c>
      <c s="2">
        <v>98.25</v>
      </c>
    </row>
    <row>
      <c s="27"/>
      <c s="27"/>
      <c s="27"/>
      <c s="4" t="s">
        <v>516</v>
      </c>
      <c s="2">
        <v>63.225000000000001</v>
      </c>
      <c s="2">
        <v>64.424999999999997</v>
      </c>
      <c s="2">
        <v>68.349999999999994</v>
      </c>
    </row>
    <row>
      <c s="27"/>
      <c s="27"/>
      <c s="27"/>
      <c s="4" t="s">
        <v>125</v>
      </c>
      <c s="2">
        <v>30</v>
      </c>
      <c s="2">
        <v>37.75</v>
      </c>
      <c s="2">
        <v>0</v>
      </c>
    </row>
    <row>
      <c s="27"/>
      <c s="27"/>
      <c s="27"/>
      <c s="4" t="s">
        <v>168</v>
      </c>
      <c s="2">
        <v>1167.9533000000001</v>
      </c>
      <c s="2">
        <v>1159.9244000000003</v>
      </c>
      <c s="2">
        <v>1196.3684999999998</v>
      </c>
    </row>
    <row>
      <c s="27"/>
      <c s="27"/>
      <c s="27"/>
      <c s="4" t="s">
        <v>167</v>
      </c>
      <c s="2">
        <v>0</v>
      </c>
      <c s="2">
        <v>1</v>
      </c>
      <c s="2">
        <v>37.25</v>
      </c>
    </row>
    <row>
      <c s="27"/>
      <c s="27"/>
      <c s="27"/>
      <c s="4" t="s">
        <v>246</v>
      </c>
      <c s="2">
        <v>0</v>
      </c>
      <c s="2">
        <v>0</v>
      </c>
      <c s="2">
        <v>0</v>
      </c>
    </row>
    <row>
      <c s="27"/>
      <c s="27"/>
      <c s="27"/>
      <c s="4" t="s">
        <v>121</v>
      </c>
      <c s="2">
        <v>385.73750000000001</v>
      </c>
      <c s="2">
        <v>343.61249999999995</v>
      </c>
      <c s="2">
        <v>362.49069999999995</v>
      </c>
    </row>
    <row>
      <c s="27"/>
      <c s="27"/>
      <c s="27"/>
      <c s="4" t="s">
        <v>245</v>
      </c>
      <c s="2">
        <v>0</v>
      </c>
      <c s="2">
        <v>0</v>
      </c>
      <c s="2">
        <v>0</v>
      </c>
    </row>
    <row>
      <c s="27"/>
      <c s="27"/>
      <c s="27"/>
      <c s="4" t="s">
        <v>5</v>
      </c>
      <c s="2">
        <v>1155.625</v>
      </c>
      <c s="2">
        <v>1168.2375000000002</v>
      </c>
      <c s="2">
        <v>1090.5593999999999</v>
      </c>
    </row>
    <row>
      <c s="27"/>
      <c s="27"/>
      <c s="27"/>
      <c s="4" t="s">
        <v>201</v>
      </c>
      <c s="2">
        <v>31.425000000000001</v>
      </c>
      <c s="2">
        <v>34.475000000000001</v>
      </c>
      <c s="2">
        <v>34.950000000000003</v>
      </c>
    </row>
    <row>
      <c s="27"/>
      <c s="27"/>
      <c s="27"/>
      <c s="4" t="s">
        <v>328</v>
      </c>
      <c s="2">
        <v>0</v>
      </c>
      <c s="2">
        <v>0</v>
      </c>
      <c s="2">
        <v>0</v>
      </c>
    </row>
    <row>
      <c s="27"/>
      <c s="27"/>
      <c s="27"/>
      <c s="4" t="s">
        <v>51</v>
      </c>
      <c s="2">
        <v>0</v>
      </c>
      <c s="2">
        <v>0</v>
      </c>
      <c s="2">
        <v>0</v>
      </c>
    </row>
    <row>
      <c s="27"/>
      <c s="27"/>
      <c s="27"/>
      <c s="5" t="s">
        <v>117</v>
      </c>
      <c s="3">
        <v>2722.6033000000007</v>
      </c>
      <c s="3">
        <v>2738.7869000000001</v>
      </c>
      <c s="3">
        <v>2663.6528999999996</v>
      </c>
    </row>
    <row>
      <c s="27"/>
      <c s="27"/>
      <c s="27"/>
      <c s="4" t="s">
        <v>588</v>
      </c>
      <c s="1" t="s">
        <v>588</v>
      </c>
      <c s="1" t="s">
        <v>588</v>
      </c>
      <c s="1" t="s">
        <v>588</v>
      </c>
    </row>
    <row>
      <c s="27" t="s">
        <v>191</v>
      </c>
      <c s="27" t="s">
        <v>281</v>
      </c>
      <c s="27" t="s">
        <v>191</v>
      </c>
      <c s="4" t="s">
        <v>206</v>
      </c>
      <c s="2">
        <v>2038.6460999999999</v>
      </c>
      <c s="2">
        <v>2023.2238999999995</v>
      </c>
      <c s="2">
        <v>2027.9431999999997</v>
      </c>
    </row>
    <row>
      <c s="27"/>
      <c s="27"/>
      <c s="27"/>
      <c s="4" t="s">
        <v>205</v>
      </c>
      <c s="2">
        <v>303.52499999999998</v>
      </c>
      <c s="2">
        <v>286.41250000000002</v>
      </c>
      <c s="2">
        <v>293.57500000000005</v>
      </c>
    </row>
    <row>
      <c s="27"/>
      <c s="27"/>
      <c s="27"/>
      <c s="4" t="s">
        <v>126</v>
      </c>
      <c s="2">
        <v>260.99999999999994</v>
      </c>
      <c s="2">
        <v>283.34999999999997</v>
      </c>
      <c s="2">
        <v>161.20000000000002</v>
      </c>
    </row>
    <row>
      <c s="27"/>
      <c s="27"/>
      <c s="27"/>
      <c s="4" t="s">
        <v>329</v>
      </c>
      <c s="2">
        <v>55.75</v>
      </c>
      <c s="2">
        <v>61.524999999999999</v>
      </c>
      <c s="2">
        <v>63.524999999999999</v>
      </c>
    </row>
    <row>
      <c s="27"/>
      <c s="27"/>
      <c s="27"/>
      <c s="4" t="s">
        <v>516</v>
      </c>
      <c s="2">
        <v>87.174999999999997</v>
      </c>
      <c s="2">
        <v>90.950000000000003</v>
      </c>
      <c s="2">
        <v>97.675000000000011</v>
      </c>
    </row>
    <row>
      <c s="27"/>
      <c s="27"/>
      <c s="27"/>
      <c s="4" t="s">
        <v>125</v>
      </c>
      <c s="2">
        <v>118.07500000000002</v>
      </c>
      <c s="2">
        <v>130.875</v>
      </c>
      <c s="2">
        <v>0</v>
      </c>
    </row>
    <row>
      <c s="27"/>
      <c s="27"/>
      <c s="27"/>
      <c s="4" t="s">
        <v>168</v>
      </c>
      <c s="2">
        <v>1474.1210999999996</v>
      </c>
      <c s="2">
        <v>1453.4613999999995</v>
      </c>
      <c s="2">
        <v>1573.1681999999996</v>
      </c>
    </row>
    <row>
      <c s="27"/>
      <c s="27"/>
      <c s="27"/>
      <c s="4" t="s">
        <v>167</v>
      </c>
      <c s="2">
        <v>2.5</v>
      </c>
      <c s="2">
        <v>2.5499999999999998</v>
      </c>
      <c s="2">
        <v>125.2</v>
      </c>
    </row>
    <row>
      <c s="27"/>
      <c s="27"/>
      <c s="27"/>
      <c s="4" t="s">
        <v>246</v>
      </c>
      <c s="2">
        <v>3</v>
      </c>
      <c s="2">
        <v>7.75</v>
      </c>
      <c s="2">
        <v>11</v>
      </c>
    </row>
    <row>
      <c s="27"/>
      <c s="27"/>
      <c s="27"/>
      <c s="4" t="s">
        <v>121</v>
      </c>
      <c s="2">
        <v>582.42500000000018</v>
      </c>
      <c s="2">
        <v>596.37500000000011</v>
      </c>
      <c s="2">
        <v>602.00000000000011</v>
      </c>
    </row>
    <row>
      <c s="27"/>
      <c s="27"/>
      <c s="27"/>
      <c s="4" t="s">
        <v>245</v>
      </c>
      <c s="2">
        <v>0</v>
      </c>
      <c s="2">
        <v>0</v>
      </c>
      <c s="2">
        <v>0</v>
      </c>
    </row>
    <row>
      <c s="27"/>
      <c s="27"/>
      <c s="27"/>
      <c s="4" t="s">
        <v>5</v>
      </c>
      <c s="2">
        <v>1121.1655000000001</v>
      </c>
      <c s="2">
        <v>1099.4621</v>
      </c>
      <c s="2">
        <v>1075.7978000000001</v>
      </c>
    </row>
    <row>
      <c s="27"/>
      <c s="27"/>
      <c s="27"/>
      <c s="4" t="s">
        <v>201</v>
      </c>
      <c s="2">
        <v>38</v>
      </c>
      <c s="2">
        <v>43.574999999999996</v>
      </c>
      <c s="2">
        <v>42.549999999999997</v>
      </c>
    </row>
    <row>
      <c s="27"/>
      <c s="27"/>
      <c s="27"/>
      <c s="4" t="s">
        <v>328</v>
      </c>
      <c s="2">
        <v>0</v>
      </c>
      <c s="2">
        <v>0</v>
      </c>
      <c s="2">
        <v>0</v>
      </c>
    </row>
    <row>
      <c s="27"/>
      <c s="27"/>
      <c s="27"/>
      <c s="4" t="s">
        <v>51</v>
      </c>
      <c s="2">
        <v>0</v>
      </c>
      <c s="2">
        <v>0</v>
      </c>
      <c s="2">
        <v>0</v>
      </c>
    </row>
    <row>
      <c s="27"/>
      <c s="27"/>
      <c s="27"/>
      <c s="5" t="s">
        <v>117</v>
      </c>
      <c s="3">
        <v>3159.8115999999991</v>
      </c>
      <c s="3">
        <v>3122.6859999999997</v>
      </c>
      <c s="3">
        <v>3103.7410000000004</v>
      </c>
    </row>
    <row>
      <c s="27"/>
      <c s="27"/>
      <c s="27"/>
      <c s="4" t="s">
        <v>588</v>
      </c>
      <c s="1" t="s">
        <v>588</v>
      </c>
      <c s="1" t="s">
        <v>588</v>
      </c>
      <c s="1" t="s">
        <v>588</v>
      </c>
    </row>
    <row>
      <c s="27" t="s">
        <v>280</v>
      </c>
      <c s="27" t="s">
        <v>166</v>
      </c>
      <c s="27" t="s">
        <v>364</v>
      </c>
      <c s="4" t="s">
        <v>206</v>
      </c>
      <c s="2">
        <v>3216.9000000000005</v>
      </c>
      <c s="2">
        <v>3099.8200000000002</v>
      </c>
      <c s="2">
        <v>2999.0400000000004</v>
      </c>
    </row>
    <row>
      <c s="27"/>
      <c s="27"/>
      <c s="27"/>
      <c s="4" t="s">
        <v>205</v>
      </c>
      <c s="2">
        <v>135.34999999999999</v>
      </c>
      <c s="2">
        <v>124.65000000000001</v>
      </c>
      <c s="2">
        <v>118.5</v>
      </c>
    </row>
    <row>
      <c s="27"/>
      <c s="27"/>
      <c s="27"/>
      <c s="4" t="s">
        <v>126</v>
      </c>
      <c s="2">
        <v>523.2299999999999</v>
      </c>
      <c s="2">
        <v>551.79999999999995</v>
      </c>
      <c s="2">
        <v>590.19999999999993</v>
      </c>
    </row>
    <row>
      <c s="27"/>
      <c s="27"/>
      <c s="27"/>
      <c s="4" t="s">
        <v>329</v>
      </c>
      <c s="2">
        <v>269.78000000000003</v>
      </c>
      <c s="2">
        <v>289.78000000000003</v>
      </c>
      <c s="2">
        <v>322.92999999999995</v>
      </c>
    </row>
    <row>
      <c s="27"/>
      <c s="27"/>
      <c s="27"/>
      <c s="4" t="s">
        <v>516</v>
      </c>
      <c s="2">
        <v>241.26999999999998</v>
      </c>
      <c s="2">
        <v>252.22</v>
      </c>
      <c s="2">
        <v>267.27000000000004</v>
      </c>
    </row>
    <row>
      <c s="27"/>
      <c s="27"/>
      <c s="27"/>
      <c s="4" t="s">
        <v>125</v>
      </c>
      <c s="2">
        <v>12.180000000000001</v>
      </c>
      <c s="2">
        <v>9.8000000000000007</v>
      </c>
      <c s="2">
        <v>0</v>
      </c>
    </row>
    <row>
      <c s="27"/>
      <c s="27"/>
      <c s="27"/>
      <c s="4" t="s">
        <v>168</v>
      </c>
      <c s="2">
        <v>2558.3200000000002</v>
      </c>
      <c s="2">
        <v>2423.3699999999999</v>
      </c>
      <c s="2">
        <v>2290.3400000000001</v>
      </c>
    </row>
    <row>
      <c s="27"/>
      <c s="27"/>
      <c s="27"/>
      <c s="4" t="s">
        <v>167</v>
      </c>
      <c s="2">
        <v>0</v>
      </c>
      <c s="2">
        <v>0</v>
      </c>
      <c s="2">
        <v>0.75</v>
      </c>
    </row>
    <row>
      <c s="27"/>
      <c s="27"/>
      <c s="27"/>
      <c s="4" t="s">
        <v>246</v>
      </c>
      <c s="2">
        <v>0</v>
      </c>
      <c s="2">
        <v>0</v>
      </c>
      <c s="2">
        <v>7.7000000000000002</v>
      </c>
    </row>
    <row>
      <c s="27"/>
      <c s="27"/>
      <c s="27"/>
      <c s="4" t="s">
        <v>121</v>
      </c>
      <c s="2">
        <v>803.40999999999997</v>
      </c>
      <c s="2">
        <v>750.56999999999994</v>
      </c>
      <c s="2">
        <v>677.25999999999999</v>
      </c>
    </row>
    <row>
      <c s="27"/>
      <c s="27"/>
      <c s="27"/>
      <c s="4" t="s">
        <v>245</v>
      </c>
      <c s="2">
        <v>625.66999999999996</v>
      </c>
      <c s="2">
        <v>585.89999999999998</v>
      </c>
      <c s="2">
        <v>592.91999999999996</v>
      </c>
    </row>
    <row>
      <c s="27"/>
      <c s="27"/>
      <c s="27"/>
      <c s="4" t="s">
        <v>5</v>
      </c>
      <c s="2">
        <v>1812.1100000000001</v>
      </c>
      <c s="2">
        <v>1742.0399999999995</v>
      </c>
      <c s="2">
        <v>1744.7199999999998</v>
      </c>
    </row>
    <row>
      <c s="27"/>
      <c s="27"/>
      <c s="27"/>
      <c s="4" t="s">
        <v>201</v>
      </c>
      <c s="2">
        <v>544.52999999999986</v>
      </c>
      <c s="2">
        <v>522.75</v>
      </c>
      <c s="2">
        <v>543.93999999999994</v>
      </c>
    </row>
    <row>
      <c s="27"/>
      <c s="27"/>
      <c s="27"/>
      <c s="4" t="s">
        <v>328</v>
      </c>
      <c s="2">
        <v>0</v>
      </c>
      <c s="2">
        <v>0</v>
      </c>
      <c s="2">
        <v>0</v>
      </c>
    </row>
    <row>
      <c s="27"/>
      <c s="27"/>
      <c s="27"/>
      <c s="4" t="s">
        <v>51</v>
      </c>
      <c s="2">
        <v>230.96000000000001</v>
      </c>
      <c s="2">
        <v>231.72000000000003</v>
      </c>
      <c s="2">
        <v>236.37</v>
      </c>
    </row>
    <row>
      <c s="27"/>
      <c s="27"/>
      <c s="27"/>
      <c s="5" t="s">
        <v>117</v>
      </c>
      <c s="3">
        <v>5029.0100000000011</v>
      </c>
      <c s="3">
        <v>4841.8599999999997</v>
      </c>
      <c s="3">
        <v>4743.7600000000011</v>
      </c>
    </row>
    <row>
      <c s="27"/>
      <c s="27"/>
      <c s="27"/>
      <c s="4" t="s">
        <v>588</v>
      </c>
      <c s="1" t="s">
        <v>588</v>
      </c>
      <c s="1" t="s">
        <v>588</v>
      </c>
      <c s="1" t="s">
        <v>588</v>
      </c>
    </row>
    <row>
      <c s="27" t="s">
        <v>91</v>
      </c>
      <c s="27" t="s">
        <v>325</v>
      </c>
      <c s="27" t="s">
        <v>164</v>
      </c>
      <c s="4" t="s">
        <v>206</v>
      </c>
      <c s="2">
        <v>1079.9052000000001</v>
      </c>
      <c s="2">
        <v>1102.9327000000003</v>
      </c>
      <c s="2">
        <v>1045.2567000000001</v>
      </c>
    </row>
    <row>
      <c s="27"/>
      <c s="27"/>
      <c s="27"/>
      <c s="4" t="s">
        <v>205</v>
      </c>
      <c s="2">
        <v>91.149999999999991</v>
      </c>
      <c s="2">
        <v>92.599999999999994</v>
      </c>
      <c s="2">
        <v>89.349999999999994</v>
      </c>
    </row>
    <row>
      <c s="27"/>
      <c s="27"/>
      <c s="27"/>
      <c s="4" t="s">
        <v>126</v>
      </c>
      <c s="2">
        <v>141.95090000000002</v>
      </c>
      <c s="2">
        <v>163.80500000000001</v>
      </c>
      <c s="2">
        <v>153.43000000000001</v>
      </c>
    </row>
    <row>
      <c s="27"/>
      <c s="27"/>
      <c s="27"/>
      <c s="4" t="s">
        <v>329</v>
      </c>
      <c s="2">
        <v>68.600000000000009</v>
      </c>
      <c s="2">
        <v>83.400000000000006</v>
      </c>
      <c s="2">
        <v>94.400000000000006</v>
      </c>
    </row>
    <row>
      <c s="27"/>
      <c s="27"/>
      <c s="27"/>
      <c s="4" t="s">
        <v>516</v>
      </c>
      <c s="2">
        <v>42.725899999999996</v>
      </c>
      <c s="2">
        <v>54.405000000000001</v>
      </c>
      <c s="2">
        <v>59.030000000000001</v>
      </c>
    </row>
    <row>
      <c s="27"/>
      <c s="27"/>
      <c s="27"/>
      <c s="4" t="s">
        <v>125</v>
      </c>
      <c s="2">
        <v>30.625</v>
      </c>
      <c s="2">
        <v>26</v>
      </c>
      <c s="2">
        <v>0</v>
      </c>
    </row>
    <row>
      <c s="27"/>
      <c s="27"/>
      <c s="27"/>
      <c s="4" t="s">
        <v>168</v>
      </c>
      <c s="2">
        <v>846.80430000000001</v>
      </c>
      <c s="2">
        <v>846.52770000000021</v>
      </c>
      <c s="2">
        <v>802.47670000000005</v>
      </c>
    </row>
    <row>
      <c s="27"/>
      <c s="27"/>
      <c s="27"/>
      <c s="4" t="s">
        <v>167</v>
      </c>
      <c s="2">
        <v>0</v>
      </c>
      <c s="2">
        <v>0</v>
      </c>
      <c s="2">
        <v>17.5</v>
      </c>
    </row>
    <row>
      <c s="27"/>
      <c s="27"/>
      <c s="27"/>
      <c s="4" t="s">
        <v>246</v>
      </c>
      <c s="2">
        <v>0</v>
      </c>
      <c s="2">
        <v>0</v>
      </c>
      <c s="2">
        <v>0</v>
      </c>
    </row>
    <row>
      <c s="27"/>
      <c s="27"/>
      <c s="27"/>
      <c s="4" t="s">
        <v>121</v>
      </c>
      <c s="2">
        <v>146.88750000000002</v>
      </c>
      <c s="2">
        <v>164.65000000000001</v>
      </c>
      <c s="2">
        <v>143.86250000000001</v>
      </c>
    </row>
    <row>
      <c s="27"/>
      <c s="27"/>
      <c s="27"/>
      <c s="4" t="s">
        <v>245</v>
      </c>
      <c s="2">
        <v>201.50000000000003</v>
      </c>
      <c s="2">
        <v>206.00000000000003</v>
      </c>
      <c s="2">
        <v>199.75</v>
      </c>
    </row>
    <row>
      <c s="27"/>
      <c s="27"/>
      <c s="27"/>
      <c s="4" t="s">
        <v>5</v>
      </c>
      <c s="2">
        <v>1023.3342999999998</v>
      </c>
      <c s="2">
        <v>971.66499999999985</v>
      </c>
      <c s="2">
        <v>935.56499999999994</v>
      </c>
    </row>
    <row>
      <c s="27"/>
      <c s="27"/>
      <c s="27"/>
      <c s="4" t="s">
        <v>201</v>
      </c>
      <c s="2">
        <v>99.924999999999983</v>
      </c>
      <c s="2">
        <v>82.300000000000011</v>
      </c>
      <c s="2">
        <v>81.700000000000003</v>
      </c>
    </row>
    <row>
      <c s="27"/>
      <c s="27"/>
      <c s="27"/>
      <c s="4" t="s">
        <v>328</v>
      </c>
      <c s="2">
        <v>0</v>
      </c>
      <c s="2">
        <v>0</v>
      </c>
      <c s="2">
        <v>0</v>
      </c>
    </row>
    <row>
      <c s="27"/>
      <c s="27"/>
      <c s="27"/>
      <c s="4" t="s">
        <v>51</v>
      </c>
      <c s="2">
        <v>230.53749999999999</v>
      </c>
      <c s="2">
        <v>222.60999999999996</v>
      </c>
      <c s="2">
        <v>217.22499999999997</v>
      </c>
    </row>
    <row>
      <c s="27"/>
      <c s="27"/>
      <c s="27"/>
      <c s="5" t="s">
        <v>117</v>
      </c>
      <c s="3">
        <v>2103.2395000000001</v>
      </c>
      <c s="3">
        <v>2074.5977000000007</v>
      </c>
      <c s="3">
        <v>1980.8217000000002</v>
      </c>
    </row>
    <row>
      <c s="27"/>
      <c s="27"/>
      <c s="27"/>
      <c s="4" t="s">
        <v>588</v>
      </c>
      <c s="1" t="s">
        <v>588</v>
      </c>
      <c s="1" t="s">
        <v>588</v>
      </c>
      <c s="1" t="s">
        <v>588</v>
      </c>
    </row>
    <row>
      <c s="27" t="s">
        <v>204</v>
      </c>
      <c s="27" t="s">
        <v>49</v>
      </c>
      <c s="27" t="s">
        <v>593</v>
      </c>
      <c s="4" t="s">
        <v>206</v>
      </c>
      <c s="2">
        <v>1037.5824</v>
      </c>
      <c s="2">
        <v>1001.5402</v>
      </c>
      <c s="2">
        <v>963.52239999999995</v>
      </c>
    </row>
    <row>
      <c s="27"/>
      <c s="27"/>
      <c s="27"/>
      <c s="4" t="s">
        <v>205</v>
      </c>
      <c s="2">
        <v>98.613</v>
      </c>
      <c s="2">
        <v>92.349999999999994</v>
      </c>
      <c s="2">
        <v>80.5</v>
      </c>
    </row>
    <row>
      <c s="27"/>
      <c s="27"/>
      <c s="27"/>
      <c s="4" t="s">
        <v>126</v>
      </c>
      <c s="2">
        <v>154.04999999999998</v>
      </c>
      <c s="2">
        <v>158.59999999999999</v>
      </c>
      <c s="2">
        <v>141.80000000000001</v>
      </c>
    </row>
    <row>
      <c s="27"/>
      <c s="27"/>
      <c s="27"/>
      <c s="4" t="s">
        <v>329</v>
      </c>
      <c s="2">
        <v>77.349999999999994</v>
      </c>
      <c s="2">
        <v>86.349999999999994</v>
      </c>
      <c s="2">
        <v>96.400000000000006</v>
      </c>
    </row>
    <row>
      <c s="27"/>
      <c s="27"/>
      <c s="27"/>
      <c s="4" t="s">
        <v>516</v>
      </c>
      <c s="2">
        <v>37.149999999999999</v>
      </c>
      <c s="2">
        <v>40.850000000000001</v>
      </c>
      <c s="2">
        <v>45.399999999999999</v>
      </c>
    </row>
    <row>
      <c s="27"/>
      <c s="27"/>
      <c s="27"/>
      <c s="4" t="s">
        <v>125</v>
      </c>
      <c s="2">
        <v>39.549999999999997</v>
      </c>
      <c s="2">
        <v>31.399999999999999</v>
      </c>
      <c s="2">
        <v>0</v>
      </c>
    </row>
    <row>
      <c s="27"/>
      <c s="27"/>
      <c s="27"/>
      <c s="4" t="s">
        <v>168</v>
      </c>
      <c s="2">
        <v>784.91939999999988</v>
      </c>
      <c s="2">
        <v>750.5902000000001</v>
      </c>
      <c s="2">
        <v>741.22239999999999</v>
      </c>
    </row>
    <row>
      <c s="27"/>
      <c s="27"/>
      <c s="27"/>
      <c s="4" t="s">
        <v>167</v>
      </c>
      <c s="2">
        <v>1</v>
      </c>
      <c s="2">
        <v>1</v>
      </c>
      <c s="2">
        <v>22.699999999999999</v>
      </c>
    </row>
    <row>
      <c s="27"/>
      <c s="27"/>
      <c s="27"/>
      <c s="4" t="s">
        <v>246</v>
      </c>
      <c s="2">
        <v>9</v>
      </c>
      <c s="2">
        <v>7</v>
      </c>
      <c s="2">
        <v>8</v>
      </c>
    </row>
    <row>
      <c s="27"/>
      <c s="27"/>
      <c s="27"/>
      <c s="4" t="s">
        <v>121</v>
      </c>
      <c s="2">
        <v>223.09999999999997</v>
      </c>
      <c s="2">
        <v>240.6875</v>
      </c>
      <c s="2">
        <v>241.6875</v>
      </c>
    </row>
    <row>
      <c s="27"/>
      <c s="27"/>
      <c s="27"/>
      <c s="4" t="s">
        <v>245</v>
      </c>
      <c s="2">
        <v>203.67500000000001</v>
      </c>
      <c s="2">
        <v>209.72499999999999</v>
      </c>
      <c s="2">
        <v>203.57500000000002</v>
      </c>
    </row>
    <row>
      <c s="27"/>
      <c s="27"/>
      <c s="27"/>
      <c s="4" t="s">
        <v>5</v>
      </c>
      <c s="2">
        <v>773.14099999999985</v>
      </c>
      <c s="2">
        <v>718.72550000000001</v>
      </c>
      <c s="2">
        <v>693.75559999999996</v>
      </c>
    </row>
    <row>
      <c s="27"/>
      <c s="27"/>
      <c s="27"/>
      <c s="4" t="s">
        <v>201</v>
      </c>
      <c s="2">
        <v>168</v>
      </c>
      <c s="2">
        <v>162.97500000000002</v>
      </c>
      <c s="2">
        <v>168.23750000000001</v>
      </c>
    </row>
    <row>
      <c s="27"/>
      <c s="27"/>
      <c s="27"/>
      <c s="4" t="s">
        <v>328</v>
      </c>
      <c s="2">
        <v>0</v>
      </c>
      <c s="2">
        <v>0</v>
      </c>
      <c s="2">
        <v>0</v>
      </c>
    </row>
    <row>
      <c s="27"/>
      <c s="27"/>
      <c s="27"/>
      <c s="4" t="s">
        <v>51</v>
      </c>
      <c s="2">
        <v>74.299999999999983</v>
      </c>
      <c s="2">
        <v>72.375000000000014</v>
      </c>
      <c s="2">
        <v>80.874999999999986</v>
      </c>
    </row>
    <row>
      <c s="27"/>
      <c s="27"/>
      <c s="27"/>
      <c s="5" t="s">
        <v>117</v>
      </c>
      <c s="3">
        <v>1810.7233999999999</v>
      </c>
      <c s="3">
        <v>1720.2656999999997</v>
      </c>
      <c s="3">
        <v>1657.2780000000002</v>
      </c>
    </row>
    <row>
      <c s="27"/>
      <c s="27"/>
      <c s="27"/>
      <c s="4" t="s">
        <v>588</v>
      </c>
      <c s="1" t="s">
        <v>588</v>
      </c>
      <c s="1" t="s">
        <v>588</v>
      </c>
      <c s="1" t="s">
        <v>588</v>
      </c>
    </row>
    <row>
      <c s="27" t="s">
        <v>249</v>
      </c>
      <c s="27" t="s">
        <v>436</v>
      </c>
      <c s="27" t="s">
        <v>249</v>
      </c>
      <c s="4" t="s">
        <v>206</v>
      </c>
      <c s="2">
        <v>1095.6227000000001</v>
      </c>
      <c s="2">
        <v>1088.1947999999998</v>
      </c>
      <c s="2">
        <v>1073.1651999999999</v>
      </c>
    </row>
    <row>
      <c s="27"/>
      <c s="27"/>
      <c s="27"/>
      <c s="4" t="s">
        <v>205</v>
      </c>
      <c s="2">
        <v>164.07499999999999</v>
      </c>
      <c s="2">
        <v>158.52500000000001</v>
      </c>
      <c s="2">
        <v>151.92500000000001</v>
      </c>
    </row>
    <row>
      <c s="27"/>
      <c s="27"/>
      <c s="27"/>
      <c s="4" t="s">
        <v>126</v>
      </c>
      <c s="2">
        <v>114.65000000000001</v>
      </c>
      <c s="2">
        <v>128.6875</v>
      </c>
      <c s="2">
        <v>124.84999999999999</v>
      </c>
    </row>
    <row>
      <c s="27"/>
      <c s="27"/>
      <c s="27"/>
      <c s="4" t="s">
        <v>329</v>
      </c>
      <c s="2">
        <v>36</v>
      </c>
      <c s="2">
        <v>40.5</v>
      </c>
      <c s="2">
        <v>46.5</v>
      </c>
    </row>
    <row>
      <c s="27"/>
      <c s="27"/>
      <c s="27"/>
      <c s="4" t="s">
        <v>516</v>
      </c>
      <c s="2">
        <v>73.650000000000006</v>
      </c>
      <c s="2">
        <v>79.187499999999986</v>
      </c>
      <c s="2">
        <v>78.349999999999994</v>
      </c>
    </row>
    <row>
      <c s="27"/>
      <c s="27"/>
      <c s="27"/>
      <c s="4" t="s">
        <v>125</v>
      </c>
      <c s="2">
        <v>5</v>
      </c>
      <c s="2">
        <v>9</v>
      </c>
      <c s="2">
        <v>0</v>
      </c>
    </row>
    <row>
      <c s="27"/>
      <c s="27"/>
      <c s="27"/>
      <c s="4" t="s">
        <v>168</v>
      </c>
      <c s="2">
        <v>816.89769999999999</v>
      </c>
      <c s="2">
        <v>800.98230000000001</v>
      </c>
      <c s="2">
        <v>796.39019999999994</v>
      </c>
    </row>
    <row>
      <c s="27"/>
      <c s="27"/>
      <c s="27"/>
      <c s="4" t="s">
        <v>167</v>
      </c>
      <c s="2">
        <v>0</v>
      </c>
      <c s="2">
        <v>0</v>
      </c>
      <c s="2">
        <v>12</v>
      </c>
    </row>
    <row>
      <c s="27"/>
      <c s="27"/>
      <c s="27"/>
      <c s="4" t="s">
        <v>246</v>
      </c>
      <c s="2">
        <v>10</v>
      </c>
      <c s="2">
        <v>3</v>
      </c>
      <c s="2">
        <v>1</v>
      </c>
    </row>
    <row>
      <c s="27"/>
      <c s="27"/>
      <c s="27"/>
      <c s="4" t="s">
        <v>121</v>
      </c>
      <c s="2">
        <v>251.17499999999995</v>
      </c>
      <c s="2">
        <v>260.57499999999999</v>
      </c>
      <c s="2">
        <v>256.14999999999998</v>
      </c>
    </row>
    <row>
      <c s="27"/>
      <c s="27"/>
      <c s="27"/>
      <c s="4" t="s">
        <v>245</v>
      </c>
      <c s="2">
        <v>0</v>
      </c>
      <c s="2">
        <v>0</v>
      </c>
      <c s="2">
        <v>0</v>
      </c>
    </row>
    <row>
      <c s="27"/>
      <c s="27"/>
      <c s="27"/>
      <c s="4" t="s">
        <v>5</v>
      </c>
      <c s="2">
        <v>667.91649999999993</v>
      </c>
      <c s="2">
        <v>642.60839999999996</v>
      </c>
      <c s="2">
        <v>649.21349999999984</v>
      </c>
    </row>
    <row>
      <c s="27"/>
      <c s="27"/>
      <c s="27"/>
      <c s="4" t="s">
        <v>201</v>
      </c>
      <c s="2">
        <v>34.799999999999997</v>
      </c>
      <c s="2">
        <v>34.750000000000007</v>
      </c>
      <c s="2">
        <v>37.599999999999994</v>
      </c>
    </row>
    <row>
      <c s="27"/>
      <c s="27"/>
      <c s="27"/>
      <c s="4" t="s">
        <v>328</v>
      </c>
      <c s="2">
        <v>0</v>
      </c>
      <c s="2">
        <v>0</v>
      </c>
      <c s="2">
        <v>0</v>
      </c>
    </row>
    <row>
      <c s="27"/>
      <c s="27"/>
      <c s="27"/>
      <c s="4" t="s">
        <v>51</v>
      </c>
      <c s="2">
        <v>0</v>
      </c>
      <c s="2">
        <v>0</v>
      </c>
      <c s="2">
        <v>0</v>
      </c>
    </row>
    <row>
      <c s="27"/>
      <c s="27"/>
      <c s="27"/>
      <c s="5" t="s">
        <v>117</v>
      </c>
      <c s="3">
        <v>1763.5391999999997</v>
      </c>
      <c s="3">
        <v>1730.8031999999996</v>
      </c>
      <c s="3">
        <v>1722.3787</v>
      </c>
    </row>
    <row>
      <c s="27"/>
      <c s="27"/>
      <c s="27"/>
      <c s="4" t="s">
        <v>588</v>
      </c>
      <c s="1" t="s">
        <v>588</v>
      </c>
      <c s="1" t="s">
        <v>588</v>
      </c>
      <c s="1" t="s">
        <v>588</v>
      </c>
    </row>
    <row>
      <c s="27" t="s">
        <v>285</v>
      </c>
      <c s="27" t="s">
        <v>589</v>
      </c>
      <c s="27" t="s">
        <v>47</v>
      </c>
      <c s="4" t="s">
        <v>206</v>
      </c>
      <c s="2">
        <v>2964.7875000000017</v>
      </c>
      <c s="2">
        <v>2847.6000000000008</v>
      </c>
      <c s="2">
        <v>2742.9000000000001</v>
      </c>
    </row>
    <row>
      <c s="27"/>
      <c s="27"/>
      <c s="27"/>
      <c s="4" t="s">
        <v>205</v>
      </c>
      <c s="2">
        <v>239.25</v>
      </c>
      <c s="2">
        <v>222.86250000000001</v>
      </c>
      <c s="2">
        <v>193</v>
      </c>
    </row>
    <row>
      <c s="27"/>
      <c s="27"/>
      <c s="27"/>
      <c s="4" t="s">
        <v>126</v>
      </c>
      <c s="2">
        <v>206.05000000000004</v>
      </c>
      <c s="2">
        <v>209.42500000000001</v>
      </c>
      <c s="2">
        <v>162.375</v>
      </c>
    </row>
    <row>
      <c s="27"/>
      <c s="27"/>
      <c s="27"/>
      <c s="4" t="s">
        <v>329</v>
      </c>
      <c s="2">
        <v>98.549999999999997</v>
      </c>
      <c s="2">
        <v>105.22499999999999</v>
      </c>
      <c s="2">
        <v>112.375</v>
      </c>
    </row>
    <row>
      <c s="27"/>
      <c s="27"/>
      <c s="27"/>
      <c s="4" t="s">
        <v>516</v>
      </c>
      <c s="2">
        <v>45.199999999999996</v>
      </c>
      <c s="2">
        <v>46.399999999999999</v>
      </c>
      <c s="2">
        <v>50</v>
      </c>
    </row>
    <row>
      <c s="27"/>
      <c s="27"/>
      <c s="27"/>
      <c s="4" t="s">
        <v>125</v>
      </c>
      <c s="2">
        <v>62.299999999999997</v>
      </c>
      <c s="2">
        <v>57.799999999999997</v>
      </c>
      <c s="2">
        <v>0</v>
      </c>
    </row>
    <row>
      <c s="27"/>
      <c s="27"/>
      <c s="27"/>
      <c s="4" t="s">
        <v>168</v>
      </c>
      <c s="2">
        <v>2519.4875000000011</v>
      </c>
      <c s="2">
        <v>2415.3125000000005</v>
      </c>
      <c s="2">
        <v>2387.5250000000001</v>
      </c>
    </row>
    <row>
      <c s="27"/>
      <c s="27"/>
      <c s="27"/>
      <c s="4" t="s">
        <v>167</v>
      </c>
      <c s="2">
        <v>5.0750000000000002</v>
      </c>
      <c s="2">
        <v>0</v>
      </c>
      <c s="2">
        <v>58.075000000000003</v>
      </c>
    </row>
    <row>
      <c s="27"/>
      <c s="27"/>
      <c s="27"/>
      <c s="4" t="s">
        <v>246</v>
      </c>
      <c s="2">
        <v>8</v>
      </c>
      <c s="2">
        <v>15</v>
      </c>
      <c s="2">
        <v>13</v>
      </c>
    </row>
    <row>
      <c s="27"/>
      <c s="27"/>
      <c s="27"/>
      <c s="4" t="s">
        <v>121</v>
      </c>
      <c s="2">
        <v>1169.1625000000001</v>
      </c>
      <c s="2">
        <v>1132.5375000000001</v>
      </c>
      <c s="2">
        <v>1086.8999999999996</v>
      </c>
    </row>
    <row>
      <c s="27"/>
      <c s="27"/>
      <c s="27"/>
      <c s="4" t="s">
        <v>245</v>
      </c>
      <c s="2">
        <v>0</v>
      </c>
      <c s="2">
        <v>0</v>
      </c>
      <c s="2">
        <v>0</v>
      </c>
    </row>
    <row>
      <c s="27"/>
      <c s="27"/>
      <c s="27"/>
      <c s="4" t="s">
        <v>5</v>
      </c>
      <c s="2">
        <v>1129.8188</v>
      </c>
      <c s="2">
        <v>1082.1487999999999</v>
      </c>
      <c s="2">
        <v>1073.6154999999999</v>
      </c>
    </row>
    <row>
      <c s="27"/>
      <c s="27"/>
      <c s="27"/>
      <c s="4" t="s">
        <v>201</v>
      </c>
      <c s="2">
        <v>68.637500000000003</v>
      </c>
      <c s="2">
        <v>76.262500000000003</v>
      </c>
      <c s="2">
        <v>71.950000000000003</v>
      </c>
    </row>
    <row>
      <c s="27"/>
      <c s="27"/>
      <c s="27"/>
      <c s="4" t="s">
        <v>328</v>
      </c>
      <c s="2">
        <v>0</v>
      </c>
      <c s="2">
        <v>0</v>
      </c>
      <c s="2">
        <v>0</v>
      </c>
    </row>
    <row>
      <c s="27"/>
      <c s="27"/>
      <c s="27"/>
      <c s="4" t="s">
        <v>51</v>
      </c>
      <c s="2">
        <v>0</v>
      </c>
      <c s="2">
        <v>0</v>
      </c>
      <c s="2">
        <v>0</v>
      </c>
    </row>
    <row>
      <c s="27"/>
      <c s="27"/>
      <c s="27"/>
      <c s="5" t="s">
        <v>117</v>
      </c>
      <c s="3">
        <v>4094.6063000000022</v>
      </c>
      <c s="3">
        <v>3929.7488000000008</v>
      </c>
      <c s="3">
        <v>3816.5155</v>
      </c>
    </row>
    <row>
      <c s="27"/>
      <c s="27"/>
      <c s="27"/>
      <c s="4" t="s">
        <v>588</v>
      </c>
      <c s="1" t="s">
        <v>588</v>
      </c>
      <c s="1" t="s">
        <v>588</v>
      </c>
      <c s="1" t="s">
        <v>588</v>
      </c>
    </row>
    <row>
      <c s="27" t="s">
        <v>90</v>
      </c>
      <c s="27" t="s">
        <v>123</v>
      </c>
      <c s="27" t="s">
        <v>471</v>
      </c>
      <c s="4" t="s">
        <v>206</v>
      </c>
      <c s="2">
        <v>1584.9814999999999</v>
      </c>
      <c s="2">
        <v>1666.5772999999999</v>
      </c>
      <c s="2">
        <v>1644.7418999999995</v>
      </c>
    </row>
    <row>
      <c s="27"/>
      <c s="27"/>
      <c s="27"/>
      <c s="4" t="s">
        <v>205</v>
      </c>
      <c s="2">
        <v>157.39999999999998</v>
      </c>
      <c s="2">
        <v>148.19999999999999</v>
      </c>
      <c s="2">
        <v>131.60000000000002</v>
      </c>
    </row>
    <row>
      <c s="27"/>
      <c s="27"/>
      <c s="27"/>
      <c s="4" t="s">
        <v>126</v>
      </c>
      <c s="2">
        <v>142.15000000000001</v>
      </c>
      <c s="2">
        <v>154.60000000000002</v>
      </c>
      <c s="2">
        <v>118.65000000000001</v>
      </c>
    </row>
    <row>
      <c s="27"/>
      <c s="27"/>
      <c s="27"/>
      <c s="4" t="s">
        <v>329</v>
      </c>
      <c s="2">
        <v>34</v>
      </c>
      <c s="2">
        <v>41</v>
      </c>
      <c s="2">
        <v>45</v>
      </c>
    </row>
    <row>
      <c s="27"/>
      <c s="27"/>
      <c s="27"/>
      <c s="4" t="s">
        <v>516</v>
      </c>
      <c s="2">
        <v>66.150000000000006</v>
      </c>
      <c s="2">
        <v>69.650000000000006</v>
      </c>
      <c s="2">
        <v>73.650000000000006</v>
      </c>
    </row>
    <row>
      <c s="27"/>
      <c s="27"/>
      <c s="27"/>
      <c s="4" t="s">
        <v>125</v>
      </c>
      <c s="2">
        <v>42</v>
      </c>
      <c s="2">
        <v>43.950000000000003</v>
      </c>
      <c s="2">
        <v>0</v>
      </c>
    </row>
    <row>
      <c s="27"/>
      <c s="27"/>
      <c s="27"/>
      <c s="4" t="s">
        <v>168</v>
      </c>
      <c s="2">
        <v>1285.4314999999997</v>
      </c>
      <c s="2">
        <v>1363.7772999999997</v>
      </c>
      <c s="2">
        <v>1394.4918999999998</v>
      </c>
    </row>
    <row>
      <c s="27"/>
      <c s="27"/>
      <c s="27"/>
      <c s="4" t="s">
        <v>167</v>
      </c>
      <c s="2">
        <v>0.625</v>
      </c>
      <c s="2">
        <v>1.325</v>
      </c>
      <c s="2">
        <v>47.799999999999997</v>
      </c>
    </row>
    <row>
      <c s="27"/>
      <c s="27"/>
      <c s="27"/>
      <c s="4" t="s">
        <v>246</v>
      </c>
      <c s="2">
        <v>3</v>
      </c>
      <c s="2">
        <v>4</v>
      </c>
      <c s="2">
        <v>5</v>
      </c>
    </row>
    <row>
      <c s="27"/>
      <c s="27"/>
      <c s="27"/>
      <c s="4" t="s">
        <v>121</v>
      </c>
      <c s="2">
        <v>712.49999999999989</v>
      </c>
      <c s="2">
        <v>728.64999999999998</v>
      </c>
      <c s="2">
        <v>730.13749999999982</v>
      </c>
    </row>
    <row>
      <c s="27"/>
      <c s="27"/>
      <c s="27"/>
      <c s="4" t="s">
        <v>245</v>
      </c>
      <c s="2">
        <v>0</v>
      </c>
      <c s="2">
        <v>0</v>
      </c>
      <c s="2">
        <v>0</v>
      </c>
    </row>
    <row>
      <c s="27"/>
      <c s="27"/>
      <c s="27"/>
      <c s="4" t="s">
        <v>5</v>
      </c>
      <c s="2">
        <v>977.20000000000005</v>
      </c>
      <c s="2">
        <v>971.29999999999995</v>
      </c>
      <c s="2">
        <v>956.12499999999977</v>
      </c>
    </row>
    <row>
      <c s="27"/>
      <c s="27"/>
      <c s="27"/>
      <c s="4" t="s">
        <v>201</v>
      </c>
      <c s="2">
        <v>103.77500000000001</v>
      </c>
      <c s="2">
        <v>107.675</v>
      </c>
      <c s="2">
        <v>123.05</v>
      </c>
    </row>
    <row>
      <c s="27"/>
      <c s="27"/>
      <c s="27"/>
      <c s="4" t="s">
        <v>328</v>
      </c>
      <c s="2">
        <v>0</v>
      </c>
      <c s="2">
        <v>0</v>
      </c>
      <c s="2">
        <v>0</v>
      </c>
    </row>
    <row>
      <c s="27"/>
      <c s="27"/>
      <c s="27"/>
      <c s="4" t="s">
        <v>51</v>
      </c>
      <c s="2">
        <v>0</v>
      </c>
      <c s="2">
        <v>0</v>
      </c>
      <c s="2">
        <v>0</v>
      </c>
    </row>
    <row>
      <c s="27"/>
      <c s="27"/>
      <c s="27"/>
      <c s="5" t="s">
        <v>117</v>
      </c>
      <c s="3">
        <v>2562.1814999999992</v>
      </c>
      <c s="3">
        <v>2637.8772999999997</v>
      </c>
      <c s="3">
        <v>2600.8669</v>
      </c>
    </row>
    <row>
      <c s="27"/>
      <c s="27"/>
      <c s="27"/>
      <c s="4" t="s">
        <v>588</v>
      </c>
      <c s="1" t="s">
        <v>588</v>
      </c>
      <c s="1" t="s">
        <v>588</v>
      </c>
      <c s="1" t="s">
        <v>588</v>
      </c>
    </row>
    <row>
      <c s="27" t="s">
        <v>363</v>
      </c>
      <c s="27" t="s">
        <v>279</v>
      </c>
      <c s="27" t="s">
        <v>363</v>
      </c>
      <c s="4" t="s">
        <v>206</v>
      </c>
      <c s="2">
        <v>617.69200000000001</v>
      </c>
      <c s="2">
        <v>621.13999999999999</v>
      </c>
      <c s="2">
        <v>618.44069999999988</v>
      </c>
    </row>
    <row>
      <c s="27"/>
      <c s="27"/>
      <c s="27"/>
      <c s="4" t="s">
        <v>205</v>
      </c>
      <c s="2">
        <v>50.049999999999997</v>
      </c>
      <c s="2">
        <v>51.700000000000003</v>
      </c>
      <c s="2">
        <v>49.549999999999997</v>
      </c>
    </row>
    <row>
      <c s="27"/>
      <c s="27"/>
      <c s="27"/>
      <c s="4" t="s">
        <v>126</v>
      </c>
      <c s="2">
        <v>28.587499999999999</v>
      </c>
      <c s="2">
        <v>28.587499999999999</v>
      </c>
      <c s="2">
        <v>24.5</v>
      </c>
    </row>
    <row>
      <c s="27"/>
      <c s="27"/>
      <c s="27"/>
      <c s="4" t="s">
        <v>329</v>
      </c>
      <c s="2">
        <v>13</v>
      </c>
      <c s="2">
        <v>13</v>
      </c>
      <c s="2">
        <v>13</v>
      </c>
    </row>
    <row>
      <c s="27"/>
      <c s="27"/>
      <c s="27"/>
      <c s="4" t="s">
        <v>516</v>
      </c>
      <c s="2">
        <v>10.5</v>
      </c>
      <c s="2">
        <v>10.5</v>
      </c>
      <c s="2">
        <v>11.5</v>
      </c>
    </row>
    <row>
      <c s="27"/>
      <c s="27"/>
      <c s="27"/>
      <c s="4" t="s">
        <v>125</v>
      </c>
      <c s="2">
        <v>5.0875000000000004</v>
      </c>
      <c s="2">
        <v>5.0875000000000004</v>
      </c>
      <c s="2">
        <v>0</v>
      </c>
    </row>
    <row>
      <c s="27"/>
      <c s="27"/>
      <c s="27"/>
      <c s="4" t="s">
        <v>168</v>
      </c>
      <c s="2">
        <v>539.05449999999996</v>
      </c>
      <c s="2">
        <v>540.85249999999996</v>
      </c>
      <c s="2">
        <v>544.39069999999992</v>
      </c>
    </row>
    <row>
      <c s="27"/>
      <c s="27"/>
      <c s="27"/>
      <c s="4" t="s">
        <v>167</v>
      </c>
      <c s="2">
        <v>0</v>
      </c>
      <c s="2">
        <v>0</v>
      </c>
      <c s="2">
        <v>2.8500000000000001</v>
      </c>
    </row>
    <row>
      <c s="27"/>
      <c s="27"/>
      <c s="27"/>
      <c s="4" t="s">
        <v>246</v>
      </c>
      <c s="2">
        <v>0</v>
      </c>
      <c s="2">
        <v>0</v>
      </c>
      <c s="2">
        <v>0</v>
      </c>
    </row>
    <row>
      <c s="27"/>
      <c s="27"/>
      <c s="27"/>
      <c s="4" t="s">
        <v>121</v>
      </c>
      <c s="2">
        <v>335.77430000000004</v>
      </c>
      <c s="2">
        <v>317.33049999999997</v>
      </c>
      <c s="2">
        <v>306.90549999999996</v>
      </c>
    </row>
    <row>
      <c s="27"/>
      <c s="27"/>
      <c s="27"/>
      <c s="4" t="s">
        <v>245</v>
      </c>
      <c s="2">
        <v>0</v>
      </c>
      <c s="2">
        <v>0</v>
      </c>
      <c s="2">
        <v>0</v>
      </c>
    </row>
    <row>
      <c s="27"/>
      <c s="27"/>
      <c s="27"/>
      <c s="4" t="s">
        <v>5</v>
      </c>
      <c s="2">
        <v>329.55650000000003</v>
      </c>
      <c s="2">
        <v>311.14820000000003</v>
      </c>
      <c s="2">
        <v>303.6223</v>
      </c>
    </row>
    <row>
      <c s="27"/>
      <c s="27"/>
      <c s="27"/>
      <c s="4" t="s">
        <v>201</v>
      </c>
      <c s="2">
        <v>41.699999999999996</v>
      </c>
      <c s="2">
        <v>47.575000000000003</v>
      </c>
      <c s="2">
        <v>48.512499999999996</v>
      </c>
    </row>
    <row>
      <c s="27"/>
      <c s="27"/>
      <c s="27"/>
      <c s="4" t="s">
        <v>328</v>
      </c>
      <c s="2">
        <v>0</v>
      </c>
      <c s="2">
        <v>0</v>
      </c>
      <c s="2">
        <v>0</v>
      </c>
    </row>
    <row>
      <c s="27"/>
      <c s="27"/>
      <c s="27"/>
      <c s="4" t="s">
        <v>51</v>
      </c>
      <c s="2">
        <v>0</v>
      </c>
      <c s="2">
        <v>0</v>
      </c>
      <c s="2">
        <v>0</v>
      </c>
    </row>
    <row>
      <c s="27"/>
      <c s="27"/>
      <c s="27"/>
      <c s="5" t="s">
        <v>117</v>
      </c>
      <c s="3">
        <v>947.24849999999981</v>
      </c>
      <c s="3">
        <v>932.28820000000007</v>
      </c>
      <c s="3">
        <v>922.06299999999976</v>
      </c>
    </row>
    <row>
      <c s="27"/>
      <c s="27"/>
      <c s="27"/>
      <c s="4" t="s">
        <v>588</v>
      </c>
      <c s="1" t="s">
        <v>588</v>
      </c>
      <c s="1" t="s">
        <v>588</v>
      </c>
      <c s="1" t="s">
        <v>588</v>
      </c>
    </row>
    <row>
      <c s="27" t="s">
        <v>520</v>
      </c>
      <c s="27" t="s">
        <v>474</v>
      </c>
      <c s="27" t="s">
        <v>278</v>
      </c>
      <c s="4" t="s">
        <v>206</v>
      </c>
      <c s="2">
        <v>1233.8345000000002</v>
      </c>
      <c s="2">
        <v>1214.7651000000001</v>
      </c>
      <c s="2">
        <v>1173.702</v>
      </c>
    </row>
    <row>
      <c s="27"/>
      <c s="27"/>
      <c s="27"/>
      <c s="4" t="s">
        <v>205</v>
      </c>
      <c s="2">
        <v>107.92500000000001</v>
      </c>
      <c s="2">
        <v>107.85000000000001</v>
      </c>
      <c s="2">
        <v>104.05000000000001</v>
      </c>
    </row>
    <row>
      <c s="27"/>
      <c s="27"/>
      <c s="27"/>
      <c s="4" t="s">
        <v>126</v>
      </c>
      <c s="2">
        <v>93.024999999999991</v>
      </c>
      <c s="2">
        <v>99.024999999999991</v>
      </c>
      <c s="2">
        <v>88.024999999999991</v>
      </c>
    </row>
    <row>
      <c s="27"/>
      <c s="27"/>
      <c s="27"/>
      <c s="4" t="s">
        <v>329</v>
      </c>
      <c s="2">
        <v>37.600000000000001</v>
      </c>
      <c s="2">
        <v>43.600000000000001</v>
      </c>
      <c s="2">
        <v>53.600000000000001</v>
      </c>
    </row>
    <row>
      <c s="27"/>
      <c s="27"/>
      <c s="27"/>
      <c s="4" t="s">
        <v>516</v>
      </c>
      <c s="2">
        <v>34.674999999999997</v>
      </c>
      <c s="2">
        <v>33.674999999999997</v>
      </c>
      <c s="2">
        <v>34.424999999999997</v>
      </c>
    </row>
    <row>
      <c s="27"/>
      <c s="27"/>
      <c s="27"/>
      <c s="4" t="s">
        <v>125</v>
      </c>
      <c s="2">
        <v>20.75</v>
      </c>
      <c s="2">
        <v>21.75</v>
      </c>
      <c s="2">
        <v>0</v>
      </c>
    </row>
    <row>
      <c s="27"/>
      <c s="27"/>
      <c s="27"/>
      <c s="4" t="s">
        <v>168</v>
      </c>
      <c s="2">
        <v>1032.8845000000001</v>
      </c>
      <c s="2">
        <v>1007.8901</v>
      </c>
      <c s="2">
        <v>981.62699999999995</v>
      </c>
    </row>
    <row>
      <c s="27"/>
      <c s="27"/>
      <c s="27"/>
      <c s="4" t="s">
        <v>167</v>
      </c>
      <c s="2">
        <v>0</v>
      </c>
      <c s="2">
        <v>0</v>
      </c>
      <c s="2">
        <v>20.75</v>
      </c>
    </row>
    <row>
      <c s="27"/>
      <c s="27"/>
      <c s="27"/>
      <c s="4" t="s">
        <v>246</v>
      </c>
      <c s="2">
        <v>5</v>
      </c>
      <c s="2">
        <v>3</v>
      </c>
      <c s="2">
        <v>1.875</v>
      </c>
    </row>
    <row>
      <c s="27"/>
      <c s="27"/>
      <c s="27"/>
      <c s="4" t="s">
        <v>121</v>
      </c>
      <c s="2">
        <v>614.12710000000004</v>
      </c>
      <c s="2">
        <v>600.93640000000005</v>
      </c>
      <c s="2">
        <v>557.76130000000001</v>
      </c>
    </row>
    <row>
      <c s="27"/>
      <c s="27"/>
      <c s="27"/>
      <c s="4" t="s">
        <v>245</v>
      </c>
      <c s="2">
        <v>0</v>
      </c>
      <c s="2">
        <v>0</v>
      </c>
      <c s="2">
        <v>0</v>
      </c>
    </row>
    <row>
      <c s="27"/>
      <c s="27"/>
      <c s="27"/>
      <c s="4" t="s">
        <v>5</v>
      </c>
      <c s="2">
        <v>682.32249999999999</v>
      </c>
      <c s="2">
        <v>662.5274999999998</v>
      </c>
      <c s="2">
        <v>671.40249999999992</v>
      </c>
    </row>
    <row>
      <c s="27"/>
      <c s="27"/>
      <c s="27"/>
      <c s="4" t="s">
        <v>201</v>
      </c>
      <c s="2">
        <v>74.922700000000006</v>
      </c>
      <c s="2">
        <v>73.828100000000006</v>
      </c>
      <c s="2">
        <v>86.328199999999995</v>
      </c>
    </row>
    <row>
      <c s="27"/>
      <c s="27"/>
      <c s="27"/>
      <c s="4" t="s">
        <v>328</v>
      </c>
      <c s="2">
        <v>0</v>
      </c>
      <c s="2">
        <v>0</v>
      </c>
      <c s="2">
        <v>0</v>
      </c>
    </row>
    <row>
      <c s="27"/>
      <c s="27"/>
      <c s="27"/>
      <c s="4" t="s">
        <v>51</v>
      </c>
      <c s="2">
        <v>0</v>
      </c>
      <c s="2">
        <v>0</v>
      </c>
      <c s="2">
        <v>0</v>
      </c>
    </row>
    <row>
      <c s="27"/>
      <c s="27"/>
      <c s="27"/>
      <c s="5" t="s">
        <v>117</v>
      </c>
      <c s="3">
        <v>1916.1570000000002</v>
      </c>
      <c s="3">
        <v>1877.2925999999998</v>
      </c>
      <c s="3">
        <v>1845.1044999999997</v>
      </c>
    </row>
    <row>
      <c s="27"/>
      <c s="27"/>
      <c s="27"/>
      <c s="4" t="s">
        <v>588</v>
      </c>
      <c s="1" t="s">
        <v>588</v>
      </c>
      <c s="1" t="s">
        <v>588</v>
      </c>
      <c s="1" t="s">
        <v>588</v>
      </c>
    </row>
    <row>
      <c s="27" t="s">
        <v>284</v>
      </c>
      <c s="27" t="s">
        <v>7</v>
      </c>
      <c s="27" t="s">
        <v>248</v>
      </c>
      <c s="4" t="s">
        <v>206</v>
      </c>
      <c s="2">
        <v>587.18570000000011</v>
      </c>
      <c s="2">
        <v>581.35120000000006</v>
      </c>
      <c s="2">
        <v>551.7432</v>
      </c>
    </row>
    <row>
      <c s="27"/>
      <c s="27"/>
      <c s="27"/>
      <c s="4" t="s">
        <v>205</v>
      </c>
      <c s="2">
        <v>39.150000000000006</v>
      </c>
      <c s="2">
        <v>39.400000000000006</v>
      </c>
      <c s="2">
        <v>37.700000000000003</v>
      </c>
    </row>
    <row>
      <c s="27"/>
      <c s="27"/>
      <c s="27"/>
      <c s="4" t="s">
        <v>126</v>
      </c>
      <c s="2">
        <v>52.149999999999999</v>
      </c>
      <c s="2">
        <v>50.649999999999999</v>
      </c>
      <c s="2">
        <v>38.649999999999999</v>
      </c>
    </row>
    <row>
      <c s="27"/>
      <c s="27"/>
      <c s="27"/>
      <c s="4" t="s">
        <v>329</v>
      </c>
      <c s="2">
        <v>33.649999999999999</v>
      </c>
      <c s="2">
        <v>35.649999999999999</v>
      </c>
      <c s="2">
        <v>37.649999999999999</v>
      </c>
    </row>
    <row>
      <c s="27"/>
      <c s="27"/>
      <c s="27"/>
      <c s="4" t="s">
        <v>516</v>
      </c>
      <c s="2">
        <v>0</v>
      </c>
      <c s="2">
        <v>1</v>
      </c>
      <c s="2">
        <v>1</v>
      </c>
    </row>
    <row>
      <c s="27"/>
      <c s="27"/>
      <c s="27"/>
      <c s="4" t="s">
        <v>125</v>
      </c>
      <c s="2">
        <v>18.5</v>
      </c>
      <c s="2">
        <v>14</v>
      </c>
      <c s="2">
        <v>0</v>
      </c>
    </row>
    <row>
      <c s="27"/>
      <c s="27"/>
      <c s="27"/>
      <c s="4" t="s">
        <v>168</v>
      </c>
      <c s="2">
        <v>495.88569999999999</v>
      </c>
      <c s="2">
        <v>491.30119999999994</v>
      </c>
      <c s="2">
        <v>475.39319999999998</v>
      </c>
    </row>
    <row>
      <c s="27"/>
      <c s="27"/>
      <c s="27"/>
      <c s="4" t="s">
        <v>167</v>
      </c>
      <c s="2">
        <v>0</v>
      </c>
      <c s="2">
        <v>0</v>
      </c>
      <c s="2">
        <v>6.75</v>
      </c>
    </row>
    <row>
      <c s="27"/>
      <c s="27"/>
      <c s="27"/>
      <c s="4" t="s">
        <v>246</v>
      </c>
      <c s="2">
        <v>10</v>
      </c>
      <c s="2">
        <v>14</v>
      </c>
      <c s="2">
        <v>8</v>
      </c>
    </row>
    <row>
      <c s="27"/>
      <c s="27"/>
      <c s="27"/>
      <c s="4" t="s">
        <v>121</v>
      </c>
      <c s="2">
        <v>132.42499999999998</v>
      </c>
      <c s="2">
        <v>126.02500000000001</v>
      </c>
      <c s="2">
        <v>134.42859999999999</v>
      </c>
    </row>
    <row>
      <c s="27"/>
      <c s="27"/>
      <c s="27"/>
      <c s="4" t="s">
        <v>245</v>
      </c>
      <c s="2">
        <v>0</v>
      </c>
      <c s="2">
        <v>0</v>
      </c>
      <c s="2">
        <v>0</v>
      </c>
    </row>
    <row>
      <c s="27"/>
      <c s="27"/>
      <c s="27"/>
      <c s="4" t="s">
        <v>5</v>
      </c>
      <c s="2">
        <v>574.38750000000005</v>
      </c>
      <c s="2">
        <v>574.06849999999997</v>
      </c>
      <c s="2">
        <v>567.9899999999999</v>
      </c>
    </row>
    <row>
      <c s="27"/>
      <c s="27"/>
      <c s="27"/>
      <c s="4" t="s">
        <v>201</v>
      </c>
      <c s="2">
        <v>30.787500000000001</v>
      </c>
      <c s="2">
        <v>39.099999999999994</v>
      </c>
      <c s="2">
        <v>28.037500000000001</v>
      </c>
    </row>
    <row>
      <c s="27"/>
      <c s="27"/>
      <c s="27"/>
      <c s="4" t="s">
        <v>328</v>
      </c>
      <c s="2">
        <v>0</v>
      </c>
      <c s="2">
        <v>0</v>
      </c>
      <c s="2">
        <v>0</v>
      </c>
    </row>
    <row>
      <c s="27"/>
      <c s="27"/>
      <c s="27"/>
      <c s="4" t="s">
        <v>51</v>
      </c>
      <c s="2">
        <v>127.70000000000002</v>
      </c>
      <c s="2">
        <v>95.450000000000017</v>
      </c>
      <c s="2">
        <v>96.200000000000017</v>
      </c>
    </row>
    <row>
      <c s="27"/>
      <c s="27"/>
      <c s="27"/>
      <c s="5" t="s">
        <v>117</v>
      </c>
      <c s="3">
        <v>1161.5732000000005</v>
      </c>
      <c s="3">
        <v>1155.4197000000001</v>
      </c>
      <c s="3">
        <v>1119.7332000000001</v>
      </c>
    </row>
    <row>
      <c s="27"/>
      <c s="27"/>
      <c s="27"/>
      <c s="4" t="s">
        <v>588</v>
      </c>
      <c s="1" t="s">
        <v>588</v>
      </c>
      <c s="1" t="s">
        <v>588</v>
      </c>
      <c s="1" t="s">
        <v>588</v>
      </c>
    </row>
    <row>
      <c s="27" t="s">
        <v>401</v>
      </c>
      <c s="27" t="s">
        <v>165</v>
      </c>
      <c s="27" t="s">
        <v>120</v>
      </c>
      <c s="4" t="s">
        <v>206</v>
      </c>
      <c s="2">
        <v>886.31029999999987</v>
      </c>
      <c s="2">
        <v>833.61029999999994</v>
      </c>
      <c s="2">
        <v>851.79319999999962</v>
      </c>
    </row>
    <row>
      <c s="27"/>
      <c s="27"/>
      <c s="27"/>
      <c s="4" t="s">
        <v>205</v>
      </c>
      <c s="2">
        <v>111.19130000000001</v>
      </c>
      <c s="2">
        <v>109.82879999999999</v>
      </c>
      <c s="2">
        <v>106.50749999999999</v>
      </c>
    </row>
    <row>
      <c s="27"/>
      <c s="27"/>
      <c s="27"/>
      <c s="4" t="s">
        <v>126</v>
      </c>
      <c s="2">
        <v>75.674999999999997</v>
      </c>
      <c s="2">
        <v>81.424999999999997</v>
      </c>
      <c s="2">
        <v>73.729199999999992</v>
      </c>
    </row>
    <row>
      <c s="27"/>
      <c s="27"/>
      <c s="27"/>
      <c s="4" t="s">
        <v>329</v>
      </c>
      <c s="2">
        <v>31.600000000000001</v>
      </c>
      <c s="2">
        <v>40.100000000000001</v>
      </c>
      <c s="2">
        <v>45.879199999999997</v>
      </c>
    </row>
    <row>
      <c s="27"/>
      <c s="27"/>
      <c s="27"/>
      <c s="4" t="s">
        <v>516</v>
      </c>
      <c s="2">
        <v>32.450000000000003</v>
      </c>
      <c s="2">
        <v>27.324999999999999</v>
      </c>
      <c s="2">
        <v>27.849999999999998</v>
      </c>
    </row>
    <row>
      <c s="27"/>
      <c s="27"/>
      <c s="27"/>
      <c s="4" t="s">
        <v>125</v>
      </c>
      <c s="2">
        <v>11.625</v>
      </c>
      <c s="2">
        <v>14</v>
      </c>
      <c s="2">
        <v>0</v>
      </c>
    </row>
    <row>
      <c s="27"/>
      <c s="27"/>
      <c s="27"/>
      <c s="4" t="s">
        <v>168</v>
      </c>
      <c s="2">
        <v>699.44399999999973</v>
      </c>
      <c s="2">
        <v>642.35649999999976</v>
      </c>
      <c s="2">
        <v>671.55649999999969</v>
      </c>
    </row>
    <row>
      <c s="27"/>
      <c s="27"/>
      <c s="27"/>
      <c s="4" t="s">
        <v>167</v>
      </c>
      <c s="2">
        <v>0</v>
      </c>
      <c s="2">
        <v>0</v>
      </c>
      <c s="2">
        <v>24</v>
      </c>
    </row>
    <row>
      <c s="27"/>
      <c s="27"/>
      <c s="27"/>
      <c s="4" t="s">
        <v>246</v>
      </c>
      <c s="2">
        <v>11</v>
      </c>
      <c s="2">
        <v>3.5</v>
      </c>
      <c s="2">
        <v>4</v>
      </c>
    </row>
    <row>
      <c s="27"/>
      <c s="27"/>
      <c s="27"/>
      <c s="4" t="s">
        <v>121</v>
      </c>
      <c s="2">
        <v>149.84979999999999</v>
      </c>
      <c s="2">
        <v>131.66249999999999</v>
      </c>
      <c s="2">
        <v>134.68750000000003</v>
      </c>
    </row>
    <row>
      <c s="27"/>
      <c s="27"/>
      <c s="27"/>
      <c s="4" t="s">
        <v>245</v>
      </c>
      <c s="2">
        <v>0</v>
      </c>
      <c s="2">
        <v>0</v>
      </c>
      <c s="2">
        <v>0</v>
      </c>
    </row>
    <row>
      <c s="27"/>
      <c s="27"/>
      <c s="27"/>
      <c s="4" t="s">
        <v>5</v>
      </c>
      <c s="2">
        <v>675.82249999999988</v>
      </c>
      <c s="2">
        <v>682.32000000000016</v>
      </c>
      <c s="2">
        <v>684.80499999999984</v>
      </c>
    </row>
    <row>
      <c s="27"/>
      <c s="27"/>
      <c s="27"/>
      <c s="4" t="s">
        <v>201</v>
      </c>
      <c s="2">
        <v>20.0625</v>
      </c>
      <c s="2">
        <v>20.824999999999999</v>
      </c>
      <c s="2">
        <v>21.725000000000001</v>
      </c>
    </row>
    <row>
      <c s="27"/>
      <c s="27"/>
      <c s="27"/>
      <c s="4" t="s">
        <v>328</v>
      </c>
      <c s="2">
        <v>0</v>
      </c>
      <c s="2">
        <v>0</v>
      </c>
      <c s="2">
        <v>0</v>
      </c>
    </row>
    <row>
      <c s="27"/>
      <c s="27"/>
      <c s="27"/>
      <c s="4" t="s">
        <v>51</v>
      </c>
      <c s="2">
        <v>0</v>
      </c>
      <c s="2">
        <v>0</v>
      </c>
      <c s="2">
        <v>0</v>
      </c>
    </row>
    <row>
      <c s="27"/>
      <c s="27"/>
      <c s="27"/>
      <c s="5" t="s">
        <v>117</v>
      </c>
      <c s="3">
        <v>1562.1327999999996</v>
      </c>
      <c s="3">
        <v>1515.9302999999995</v>
      </c>
      <c s="3">
        <v>1536.5981999999997</v>
      </c>
    </row>
    <row>
      <c s="27"/>
      <c s="27"/>
      <c s="27"/>
      <c s="4" t="s">
        <v>588</v>
      </c>
      <c s="1" t="s">
        <v>588</v>
      </c>
      <c s="1" t="s">
        <v>588</v>
      </c>
      <c s="1" t="s">
        <v>588</v>
      </c>
    </row>
    <row>
      <c s="27" t="s">
        <v>198</v>
      </c>
      <c s="27" t="s">
        <v>327</v>
      </c>
      <c s="27" t="s">
        <v>198</v>
      </c>
      <c s="4" t="s">
        <v>206</v>
      </c>
      <c s="2">
        <v>1371.0361999999998</v>
      </c>
      <c s="2">
        <v>1316.8670999999997</v>
      </c>
      <c s="2">
        <v>1325.2116000000003</v>
      </c>
    </row>
    <row>
      <c s="27"/>
      <c s="27"/>
      <c s="27"/>
      <c s="4" t="s">
        <v>205</v>
      </c>
      <c s="2">
        <v>168</v>
      </c>
      <c s="2">
        <v>162.51000000000002</v>
      </c>
      <c s="2">
        <v>160.40000000000001</v>
      </c>
    </row>
    <row>
      <c s="27"/>
      <c s="27"/>
      <c s="27"/>
      <c s="4" t="s">
        <v>126</v>
      </c>
      <c s="2">
        <v>118.97499999999999</v>
      </c>
      <c s="2">
        <v>128.57499999999999</v>
      </c>
      <c s="2">
        <v>120.825</v>
      </c>
    </row>
    <row>
      <c s="27"/>
      <c s="27"/>
      <c s="27"/>
      <c s="4" t="s">
        <v>329</v>
      </c>
      <c s="2">
        <v>41.5</v>
      </c>
      <c s="2">
        <v>46</v>
      </c>
      <c s="2">
        <v>49</v>
      </c>
    </row>
    <row>
      <c s="27"/>
      <c s="27"/>
      <c s="27"/>
      <c s="4" t="s">
        <v>516</v>
      </c>
      <c s="2">
        <v>63.974999999999994</v>
      </c>
      <c s="2">
        <v>68.075000000000003</v>
      </c>
      <c s="2">
        <v>71.825000000000003</v>
      </c>
    </row>
    <row>
      <c s="27"/>
      <c s="27"/>
      <c s="27"/>
      <c s="4" t="s">
        <v>125</v>
      </c>
      <c s="2">
        <v>13.5</v>
      </c>
      <c s="2">
        <v>14.5</v>
      </c>
      <c s="2">
        <v>0</v>
      </c>
    </row>
    <row>
      <c s="27"/>
      <c s="27"/>
      <c s="27"/>
      <c s="4" t="s">
        <v>168</v>
      </c>
      <c s="2">
        <v>1084.0611999999999</v>
      </c>
      <c s="2">
        <v>1025.7820999999999</v>
      </c>
      <c s="2">
        <v>1043.9866</v>
      </c>
    </row>
    <row>
      <c s="27"/>
      <c s="27"/>
      <c s="27"/>
      <c s="4" t="s">
        <v>167</v>
      </c>
      <c s="2">
        <v>0</v>
      </c>
      <c s="2">
        <v>0</v>
      </c>
      <c s="2">
        <v>15</v>
      </c>
    </row>
    <row>
      <c s="27"/>
      <c s="27"/>
      <c s="27"/>
      <c s="4" t="s">
        <v>246</v>
      </c>
      <c s="2">
        <v>8</v>
      </c>
      <c s="2">
        <v>3</v>
      </c>
      <c s="2">
        <v>1.625</v>
      </c>
    </row>
    <row>
      <c s="27"/>
      <c s="27"/>
      <c s="27"/>
      <c s="4" t="s">
        <v>121</v>
      </c>
      <c s="2">
        <v>395.05000000000001</v>
      </c>
      <c s="2">
        <v>403.6749999999999</v>
      </c>
      <c s="2">
        <v>414.35000000000002</v>
      </c>
    </row>
    <row>
      <c s="27"/>
      <c s="27"/>
      <c s="27"/>
      <c s="4" t="s">
        <v>245</v>
      </c>
      <c s="2">
        <v>0</v>
      </c>
      <c s="2">
        <v>0</v>
      </c>
      <c s="2">
        <v>0</v>
      </c>
    </row>
    <row>
      <c s="27"/>
      <c s="27"/>
      <c s="27"/>
      <c s="4" t="s">
        <v>5</v>
      </c>
      <c s="2">
        <v>868.87450000000001</v>
      </c>
      <c s="2">
        <v>813.96800000000007</v>
      </c>
      <c s="2">
        <v>792.24999999999977</v>
      </c>
    </row>
    <row>
      <c s="27"/>
      <c s="27"/>
      <c s="27"/>
      <c s="4" t="s">
        <v>201</v>
      </c>
      <c s="2">
        <v>44.424999999999997</v>
      </c>
      <c s="2">
        <v>38.774999999999999</v>
      </c>
      <c s="2">
        <v>42.175000000000004</v>
      </c>
    </row>
    <row>
      <c s="27"/>
      <c s="27"/>
      <c s="27"/>
      <c s="4" t="s">
        <v>328</v>
      </c>
      <c s="2">
        <v>0</v>
      </c>
      <c s="2">
        <v>0</v>
      </c>
      <c s="2">
        <v>0</v>
      </c>
    </row>
    <row>
      <c s="27"/>
      <c s="27"/>
      <c s="27"/>
      <c s="4" t="s">
        <v>51</v>
      </c>
      <c s="2">
        <v>23.75</v>
      </c>
      <c s="2">
        <v>5</v>
      </c>
      <c s="2">
        <v>10</v>
      </c>
    </row>
    <row>
      <c s="27"/>
      <c s="27"/>
      <c s="27"/>
      <c s="5" t="s">
        <v>117</v>
      </c>
      <c s="3">
        <v>2239.9106999999995</v>
      </c>
      <c s="3">
        <v>2130.8350999999998</v>
      </c>
      <c s="3">
        <v>2117.4616000000001</v>
      </c>
    </row>
    <row>
      <c s="27"/>
      <c s="27"/>
      <c s="27"/>
      <c s="4" t="s">
        <v>588</v>
      </c>
      <c s="1" t="s">
        <v>588</v>
      </c>
      <c s="1" t="s">
        <v>588</v>
      </c>
      <c s="1" t="s">
        <v>588</v>
      </c>
    </row>
    <row>
      <c s="27" t="s">
        <v>550</v>
      </c>
      <c s="27" t="s">
        <v>472</v>
      </c>
      <c s="27" t="s">
        <v>550</v>
      </c>
      <c s="4" t="s">
        <v>206</v>
      </c>
      <c s="2">
        <v>526.36400000000003</v>
      </c>
      <c s="2">
        <v>525.45049999999969</v>
      </c>
      <c s="2">
        <v>526.29659999999967</v>
      </c>
    </row>
    <row>
      <c s="27"/>
      <c s="27"/>
      <c s="27"/>
      <c s="4" t="s">
        <v>205</v>
      </c>
      <c s="2">
        <v>71.750000000000014</v>
      </c>
      <c s="2">
        <v>69.799999999999997</v>
      </c>
      <c s="2">
        <v>71.349999999999994</v>
      </c>
    </row>
    <row>
      <c s="27"/>
      <c s="27"/>
      <c s="27"/>
      <c s="4" t="s">
        <v>126</v>
      </c>
      <c s="2">
        <v>65.700000000000003</v>
      </c>
      <c s="2">
        <v>67.700000000000003</v>
      </c>
      <c s="2">
        <v>63.449999999999996</v>
      </c>
    </row>
    <row>
      <c s="27"/>
      <c s="27"/>
      <c s="27"/>
      <c s="4" t="s">
        <v>329</v>
      </c>
      <c s="2">
        <v>10</v>
      </c>
      <c s="2">
        <v>11.875</v>
      </c>
      <c s="2">
        <v>15.875</v>
      </c>
    </row>
    <row>
      <c s="27"/>
      <c s="27"/>
      <c s="27"/>
      <c s="4" t="s">
        <v>516</v>
      </c>
      <c s="2">
        <v>45.949999999999996</v>
      </c>
      <c s="2">
        <v>45.824999999999996</v>
      </c>
      <c s="2">
        <v>47.574999999999996</v>
      </c>
    </row>
    <row>
      <c s="27"/>
      <c s="27"/>
      <c s="27"/>
      <c s="4" t="s">
        <v>125</v>
      </c>
      <c s="2">
        <v>9.75</v>
      </c>
      <c s="2">
        <v>10</v>
      </c>
      <c s="2">
        <v>0</v>
      </c>
    </row>
    <row>
      <c s="27"/>
      <c s="27"/>
      <c s="27"/>
      <c s="4" t="s">
        <v>168</v>
      </c>
      <c s="2">
        <v>388.91400000000004</v>
      </c>
      <c s="2">
        <v>387.95049999999981</v>
      </c>
      <c s="2">
        <v>391.49659999999977</v>
      </c>
    </row>
    <row>
      <c s="27"/>
      <c s="27"/>
      <c s="27"/>
      <c s="4" t="s">
        <v>167</v>
      </c>
      <c s="2">
        <v>1</v>
      </c>
      <c s="2">
        <v>2</v>
      </c>
      <c s="2">
        <v>6</v>
      </c>
    </row>
    <row>
      <c s="27"/>
      <c s="27"/>
      <c s="27"/>
      <c s="4" t="s">
        <v>246</v>
      </c>
      <c s="2">
        <v>2</v>
      </c>
      <c s="2">
        <v>5</v>
      </c>
      <c s="2">
        <v>4</v>
      </c>
    </row>
    <row>
      <c s="27"/>
      <c s="27"/>
      <c s="27"/>
      <c s="4" t="s">
        <v>121</v>
      </c>
      <c s="2">
        <v>78.412499999999994</v>
      </c>
      <c s="2">
        <v>83.787499999999994</v>
      </c>
      <c s="2">
        <v>93.200000000000017</v>
      </c>
    </row>
    <row>
      <c s="27"/>
      <c s="27"/>
      <c s="27"/>
      <c s="4" t="s">
        <v>245</v>
      </c>
      <c s="2">
        <v>0</v>
      </c>
      <c s="2">
        <v>0</v>
      </c>
      <c s="2">
        <v>0</v>
      </c>
    </row>
    <row>
      <c s="27"/>
      <c s="27"/>
      <c s="27"/>
      <c s="4" t="s">
        <v>5</v>
      </c>
      <c s="2">
        <v>370.34350000000001</v>
      </c>
      <c s="2">
        <v>358.73830000000004</v>
      </c>
      <c s="2">
        <v>350.9778</v>
      </c>
    </row>
    <row>
      <c s="27"/>
      <c s="27"/>
      <c s="27"/>
      <c s="4" t="s">
        <v>201</v>
      </c>
      <c s="2">
        <v>9.9499999999999993</v>
      </c>
      <c s="2">
        <v>8.4499999999999993</v>
      </c>
      <c s="2">
        <v>6.0499999999999998</v>
      </c>
    </row>
    <row>
      <c s="27"/>
      <c s="27"/>
      <c s="27"/>
      <c s="4" t="s">
        <v>328</v>
      </c>
      <c s="2">
        <v>0</v>
      </c>
      <c s="2">
        <v>0</v>
      </c>
      <c s="2">
        <v>0</v>
      </c>
    </row>
    <row>
      <c s="27"/>
      <c s="27"/>
      <c s="27"/>
      <c s="4" t="s">
        <v>51</v>
      </c>
      <c s="2">
        <v>0</v>
      </c>
      <c s="2">
        <v>0</v>
      </c>
      <c s="2">
        <v>0</v>
      </c>
    </row>
    <row>
      <c s="27"/>
      <c s="27"/>
      <c s="27"/>
      <c s="5" t="s">
        <v>117</v>
      </c>
      <c s="3">
        <v>896.70749999999998</v>
      </c>
      <c s="3">
        <v>884.18879999999967</v>
      </c>
      <c s="3">
        <v>877.27439999999967</v>
      </c>
    </row>
    <row>
      <c s="27"/>
      <c s="27"/>
      <c s="27"/>
      <c s="4" t="s">
        <v>588</v>
      </c>
      <c s="1" t="s">
        <v>588</v>
      </c>
      <c s="1" t="s">
        <v>588</v>
      </c>
      <c s="1" t="s">
        <v>588</v>
      </c>
    </row>
    <row>
      <c s="27" t="s">
        <v>470</v>
      </c>
      <c s="27" t="s">
        <v>362</v>
      </c>
      <c s="27" t="s">
        <v>437</v>
      </c>
      <c s="4" t="s">
        <v>206</v>
      </c>
      <c s="2">
        <v>285.89480000000003</v>
      </c>
      <c s="2">
        <v>291.85740000000004</v>
      </c>
      <c s="2">
        <v>294.16040000000004</v>
      </c>
    </row>
    <row>
      <c s="27"/>
      <c s="27"/>
      <c s="27"/>
      <c s="4" t="s">
        <v>205</v>
      </c>
      <c s="2">
        <v>40.700000000000003</v>
      </c>
      <c s="2">
        <v>42.200000000000003</v>
      </c>
      <c s="2">
        <v>40.899999999999999</v>
      </c>
    </row>
    <row>
      <c s="27"/>
      <c s="27"/>
      <c s="27"/>
      <c s="4" t="s">
        <v>126</v>
      </c>
      <c s="2">
        <v>5</v>
      </c>
      <c s="2">
        <v>4</v>
      </c>
      <c s="2">
        <v>4.8250000000000002</v>
      </c>
    </row>
    <row>
      <c s="27"/>
      <c s="27"/>
      <c s="27"/>
      <c s="4" t="s">
        <v>329</v>
      </c>
      <c s="2">
        <v>4</v>
      </c>
      <c s="2">
        <v>4</v>
      </c>
      <c s="2">
        <v>4.8250000000000002</v>
      </c>
    </row>
    <row>
      <c s="27"/>
      <c s="27"/>
      <c s="27"/>
      <c s="4" t="s">
        <v>516</v>
      </c>
      <c s="2">
        <v>0</v>
      </c>
      <c s="2">
        <v>0</v>
      </c>
      <c s="2">
        <v>0</v>
      </c>
    </row>
    <row>
      <c s="27"/>
      <c s="27"/>
      <c s="27"/>
      <c s="4" t="s">
        <v>125</v>
      </c>
      <c s="2">
        <v>1</v>
      </c>
      <c s="2">
        <v>0</v>
      </c>
      <c s="2">
        <v>0</v>
      </c>
    </row>
    <row>
      <c s="27"/>
      <c s="27"/>
      <c s="27"/>
      <c s="4" t="s">
        <v>168</v>
      </c>
      <c s="2">
        <v>240.19479999999999</v>
      </c>
      <c s="2">
        <v>245.65740000000005</v>
      </c>
      <c s="2">
        <v>248.43540000000007</v>
      </c>
    </row>
    <row>
      <c s="27"/>
      <c s="27"/>
      <c s="27"/>
      <c s="4" t="s">
        <v>167</v>
      </c>
      <c s="2">
        <v>0</v>
      </c>
      <c s="2">
        <v>0</v>
      </c>
      <c s="2">
        <v>0</v>
      </c>
    </row>
    <row>
      <c s="27"/>
      <c s="27"/>
      <c s="27"/>
      <c s="4" t="s">
        <v>246</v>
      </c>
      <c s="2">
        <v>0</v>
      </c>
      <c s="2">
        <v>0</v>
      </c>
      <c s="2">
        <v>0</v>
      </c>
    </row>
    <row>
      <c s="27"/>
      <c s="27"/>
      <c s="27"/>
      <c s="4" t="s">
        <v>121</v>
      </c>
      <c s="2">
        <v>28.574999999999996</v>
      </c>
      <c s="2">
        <v>33.077500000000001</v>
      </c>
      <c s="2">
        <v>36.824999999999996</v>
      </c>
    </row>
    <row>
      <c s="27"/>
      <c s="27"/>
      <c s="27"/>
      <c s="4" t="s">
        <v>245</v>
      </c>
      <c s="2">
        <v>0</v>
      </c>
      <c s="2">
        <v>0</v>
      </c>
      <c s="2">
        <v>0</v>
      </c>
    </row>
    <row>
      <c s="27"/>
      <c s="27"/>
      <c s="27"/>
      <c s="4" t="s">
        <v>5</v>
      </c>
      <c s="2">
        <v>229.95650000000001</v>
      </c>
      <c s="2">
        <v>231.9402</v>
      </c>
      <c s="2">
        <v>225.66629999999998</v>
      </c>
    </row>
    <row>
      <c s="27"/>
      <c s="27"/>
      <c s="27"/>
      <c s="4" t="s">
        <v>201</v>
      </c>
      <c s="2">
        <v>1.25</v>
      </c>
      <c s="2">
        <v>0.5</v>
      </c>
      <c s="2">
        <v>0.5</v>
      </c>
    </row>
    <row>
      <c s="27"/>
      <c s="27"/>
      <c s="27"/>
      <c s="4" t="s">
        <v>328</v>
      </c>
      <c s="2">
        <v>0</v>
      </c>
      <c s="2">
        <v>0</v>
      </c>
      <c s="2">
        <v>0</v>
      </c>
    </row>
    <row>
      <c s="27"/>
      <c s="27"/>
      <c s="27"/>
      <c s="4" t="s">
        <v>51</v>
      </c>
      <c s="2">
        <v>0</v>
      </c>
      <c s="2">
        <v>0</v>
      </c>
      <c s="2">
        <v>0</v>
      </c>
    </row>
    <row>
      <c s="27"/>
      <c s="27"/>
      <c s="27"/>
      <c s="5" t="s">
        <v>117</v>
      </c>
      <c s="3">
        <v>515.85130000000004</v>
      </c>
      <c s="3">
        <v>523.79759999999999</v>
      </c>
      <c s="3">
        <v>519.82670000000007</v>
      </c>
    </row>
    <row>
      <c s="27"/>
      <c s="27"/>
      <c s="27"/>
      <c s="4" t="s">
        <v>588</v>
      </c>
      <c s="1" t="s">
        <v>588</v>
      </c>
      <c s="1" t="s">
        <v>588</v>
      </c>
      <c s="1" t="s">
        <v>588</v>
      </c>
    </row>
    <row>
      <c s="27" t="s">
        <v>519</v>
      </c>
      <c s="27" t="s">
        <v>518</v>
      </c>
      <c s="27" t="s">
        <v>247</v>
      </c>
      <c s="4" t="s">
        <v>206</v>
      </c>
      <c s="2">
        <v>640.38580000000013</v>
      </c>
      <c s="2">
        <v>632.15830000000005</v>
      </c>
      <c s="2">
        <v>624.68330000000003</v>
      </c>
    </row>
    <row>
      <c s="27"/>
      <c s="27"/>
      <c s="27"/>
      <c s="4" t="s">
        <v>205</v>
      </c>
      <c s="2">
        <v>186.2833</v>
      </c>
      <c s="2">
        <v>179.5333</v>
      </c>
      <c s="2">
        <v>175.5333</v>
      </c>
    </row>
    <row>
      <c s="27"/>
      <c s="27"/>
      <c s="27"/>
      <c s="4" t="s">
        <v>126</v>
      </c>
      <c s="2">
        <v>34</v>
      </c>
      <c s="2">
        <v>36</v>
      </c>
      <c s="2">
        <v>33</v>
      </c>
    </row>
    <row>
      <c s="27"/>
      <c s="27"/>
      <c s="27"/>
      <c s="4" t="s">
        <v>329</v>
      </c>
      <c s="2">
        <v>22</v>
      </c>
      <c s="2">
        <v>24</v>
      </c>
      <c s="2">
        <v>29</v>
      </c>
    </row>
    <row>
      <c s="27"/>
      <c s="27"/>
      <c s="27"/>
      <c s="4" t="s">
        <v>516</v>
      </c>
      <c s="2">
        <v>4</v>
      </c>
      <c s="2">
        <v>3</v>
      </c>
      <c s="2">
        <v>4</v>
      </c>
    </row>
    <row>
      <c s="27"/>
      <c s="27"/>
      <c s="27"/>
      <c s="4" t="s">
        <v>125</v>
      </c>
      <c s="2">
        <v>8</v>
      </c>
      <c s="2">
        <v>9</v>
      </c>
      <c s="2">
        <v>0</v>
      </c>
    </row>
    <row>
      <c s="27"/>
      <c s="27"/>
      <c s="27"/>
      <c s="4" t="s">
        <v>168</v>
      </c>
      <c s="2">
        <v>420.10250000000002</v>
      </c>
      <c s="2">
        <v>416.62500000000011</v>
      </c>
      <c s="2">
        <v>416.15000000000009</v>
      </c>
    </row>
    <row>
      <c s="27"/>
      <c s="27"/>
      <c s="27"/>
      <c s="4" t="s">
        <v>167</v>
      </c>
      <c s="2">
        <v>0</v>
      </c>
      <c s="2">
        <v>0</v>
      </c>
      <c s="2">
        <v>4.5</v>
      </c>
    </row>
    <row>
      <c s="27"/>
      <c s="27"/>
      <c s="27"/>
      <c s="4" t="s">
        <v>246</v>
      </c>
      <c s="2">
        <v>2</v>
      </c>
      <c s="2">
        <v>1</v>
      </c>
      <c s="2">
        <v>0</v>
      </c>
    </row>
    <row>
      <c s="27"/>
      <c s="27"/>
      <c s="27"/>
      <c s="4" t="s">
        <v>121</v>
      </c>
      <c s="2">
        <v>30.315000000000005</v>
      </c>
      <c s="2">
        <v>27.3125</v>
      </c>
      <c s="2">
        <v>26.412500000000001</v>
      </c>
    </row>
    <row>
      <c s="27"/>
      <c s="27"/>
      <c s="27"/>
      <c s="4" t="s">
        <v>245</v>
      </c>
      <c s="2">
        <v>0</v>
      </c>
      <c s="2">
        <v>0</v>
      </c>
      <c s="2">
        <v>0</v>
      </c>
    </row>
    <row>
      <c s="27"/>
      <c s="27"/>
      <c s="27"/>
      <c s="4" t="s">
        <v>5</v>
      </c>
      <c s="2">
        <v>360.32499999999993</v>
      </c>
      <c s="2">
        <v>357.72499999999991</v>
      </c>
      <c s="2">
        <v>342.3125</v>
      </c>
    </row>
    <row>
      <c s="27"/>
      <c s="27"/>
      <c s="27"/>
      <c s="4" t="s">
        <v>201</v>
      </c>
      <c s="2">
        <v>4.0750000000000002</v>
      </c>
      <c s="2">
        <v>1.075</v>
      </c>
      <c s="2">
        <v>0</v>
      </c>
    </row>
    <row>
      <c s="27"/>
      <c s="27"/>
      <c s="27"/>
      <c s="4" t="s">
        <v>328</v>
      </c>
      <c s="2">
        <v>0</v>
      </c>
      <c s="2">
        <v>0</v>
      </c>
      <c s="2">
        <v>0</v>
      </c>
    </row>
    <row>
      <c s="27"/>
      <c s="27"/>
      <c s="27"/>
      <c s="4" t="s">
        <v>51</v>
      </c>
      <c s="2">
        <v>0</v>
      </c>
      <c s="2">
        <v>0</v>
      </c>
      <c s="2">
        <v>0</v>
      </c>
    </row>
    <row>
      <c s="27"/>
      <c s="27"/>
      <c s="27"/>
      <c s="5" t="s">
        <v>117</v>
      </c>
      <c s="3">
        <v>1000.7108000000003</v>
      </c>
      <c s="3">
        <v>989.88329999999996</v>
      </c>
      <c s="3">
        <v>966.99580000000003</v>
      </c>
    </row>
    <row>
      <c s="27"/>
      <c s="27"/>
      <c s="27"/>
      <c s="4" t="s">
        <v>588</v>
      </c>
      <c s="1" t="s">
        <v>588</v>
      </c>
      <c s="1" t="s">
        <v>588</v>
      </c>
      <c s="1" t="s">
        <v>588</v>
      </c>
    </row>
    <row>
      <c s="27" t="s">
        <v>89</v>
      </c>
      <c s="27" t="s">
        <v>48</v>
      </c>
      <c s="27" t="s">
        <v>326</v>
      </c>
      <c s="4" t="s">
        <v>206</v>
      </c>
      <c s="2">
        <v>346.22980000000007</v>
      </c>
      <c s="2">
        <v>341.27109999999999</v>
      </c>
      <c s="2">
        <v>345.67839999999995</v>
      </c>
    </row>
    <row>
      <c s="27"/>
      <c s="27"/>
      <c s="27"/>
      <c s="4" t="s">
        <v>205</v>
      </c>
      <c s="2">
        <v>109.9147</v>
      </c>
      <c s="2">
        <v>104.28530000000001</v>
      </c>
      <c s="2">
        <v>100.23530000000001</v>
      </c>
    </row>
    <row>
      <c s="27"/>
      <c s="27"/>
      <c s="27"/>
      <c s="4" t="s">
        <v>126</v>
      </c>
      <c s="2">
        <v>13</v>
      </c>
      <c s="2">
        <v>17.5</v>
      </c>
      <c s="2">
        <v>18</v>
      </c>
    </row>
    <row>
      <c s="27"/>
      <c s="27"/>
      <c s="27"/>
      <c s="4" t="s">
        <v>329</v>
      </c>
      <c s="2">
        <v>12</v>
      </c>
      <c s="2">
        <v>14</v>
      </c>
      <c s="2">
        <v>18</v>
      </c>
    </row>
    <row>
      <c s="27"/>
      <c s="27"/>
      <c s="27"/>
      <c s="4" t="s">
        <v>516</v>
      </c>
      <c s="2">
        <v>0</v>
      </c>
      <c s="2">
        <v>0</v>
      </c>
      <c s="2">
        <v>0</v>
      </c>
    </row>
    <row>
      <c s="27"/>
      <c s="27"/>
      <c s="27"/>
      <c s="4" t="s">
        <v>125</v>
      </c>
      <c s="2">
        <v>1</v>
      </c>
      <c s="2">
        <v>3.5</v>
      </c>
      <c s="2">
        <v>0</v>
      </c>
    </row>
    <row>
      <c s="27"/>
      <c s="27"/>
      <c s="27"/>
      <c s="4" t="s">
        <v>168</v>
      </c>
      <c s="2">
        <v>223.31510000000006</v>
      </c>
      <c s="2">
        <v>219.48580000000001</v>
      </c>
      <c s="2">
        <v>227.44310000000002</v>
      </c>
    </row>
    <row>
      <c s="27"/>
      <c s="27"/>
      <c s="27"/>
      <c s="4" t="s">
        <v>167</v>
      </c>
      <c s="2">
        <v>0</v>
      </c>
      <c s="2">
        <v>0</v>
      </c>
      <c s="2">
        <v>0</v>
      </c>
    </row>
    <row>
      <c s="27"/>
      <c s="27"/>
      <c s="27"/>
      <c s="4" t="s">
        <v>246</v>
      </c>
      <c s="2">
        <v>0</v>
      </c>
      <c s="2">
        <v>0</v>
      </c>
      <c s="2">
        <v>4.5</v>
      </c>
    </row>
    <row>
      <c s="27"/>
      <c s="27"/>
      <c s="27"/>
      <c s="4" t="s">
        <v>121</v>
      </c>
      <c s="2">
        <v>5.2694000000000001</v>
      </c>
      <c s="2">
        <v>3.875</v>
      </c>
      <c s="2">
        <v>5.2157999999999998</v>
      </c>
    </row>
    <row>
      <c s="27"/>
      <c s="27"/>
      <c s="27"/>
      <c s="4" t="s">
        <v>245</v>
      </c>
      <c s="2">
        <v>0</v>
      </c>
      <c s="2">
        <v>0</v>
      </c>
      <c s="2">
        <v>0</v>
      </c>
    </row>
    <row>
      <c s="27"/>
      <c s="27"/>
      <c s="27"/>
      <c s="4" t="s">
        <v>5</v>
      </c>
      <c s="2">
        <v>192.78980000000001</v>
      </c>
      <c s="2">
        <v>177.51740000000001</v>
      </c>
      <c s="2">
        <v>174.89840000000001</v>
      </c>
    </row>
    <row>
      <c s="27"/>
      <c s="27"/>
      <c s="27"/>
      <c s="4" t="s">
        <v>201</v>
      </c>
      <c s="2">
        <v>0.625</v>
      </c>
      <c s="2">
        <v>0.375</v>
      </c>
      <c s="2">
        <v>0.5</v>
      </c>
    </row>
    <row>
      <c s="27"/>
      <c s="27"/>
      <c s="27"/>
      <c s="4" t="s">
        <v>328</v>
      </c>
      <c s="2">
        <v>0</v>
      </c>
      <c s="2">
        <v>0</v>
      </c>
      <c s="2">
        <v>0</v>
      </c>
    </row>
    <row>
      <c s="27"/>
      <c s="27"/>
      <c s="27"/>
      <c s="4" t="s">
        <v>51</v>
      </c>
      <c s="2">
        <v>0</v>
      </c>
      <c s="2">
        <v>0</v>
      </c>
      <c s="2">
        <v>0</v>
      </c>
    </row>
    <row>
      <c s="27"/>
      <c s="27"/>
      <c s="27"/>
      <c s="5" t="s">
        <v>117</v>
      </c>
      <c s="3">
        <v>539.0196000000002</v>
      </c>
      <c s="3">
        <v>518.78849999999989</v>
      </c>
      <c s="3">
        <v>520.57680000000005</v>
      </c>
    </row>
    <row>
      <c s="27"/>
      <c s="27"/>
      <c s="27"/>
      <c s="4" t="s">
        <v>588</v>
      </c>
      <c s="1" t="s">
        <v>588</v>
      </c>
      <c s="1" t="s">
        <v>588</v>
      </c>
      <c s="1" t="s">
        <v>588</v>
      </c>
    </row>
    <row>
      <c s="27" t="s">
        <v>282</v>
      </c>
      <c s="27" t="s">
        <v>202</v>
      </c>
      <c s="27" t="s">
        <v>52</v>
      </c>
      <c s="4" t="s">
        <v>206</v>
      </c>
      <c s="2">
        <v>328.45479999999998</v>
      </c>
      <c s="2">
        <v>323.34120000000007</v>
      </c>
      <c s="2">
        <v>320.11399999999998</v>
      </c>
    </row>
    <row>
      <c s="27"/>
      <c s="27"/>
      <c s="27"/>
      <c s="4" t="s">
        <v>205</v>
      </c>
      <c s="2">
        <v>113.27669999999999</v>
      </c>
      <c s="2">
        <v>112.61</v>
      </c>
      <c s="2">
        <v>109.277</v>
      </c>
    </row>
    <row>
      <c s="27"/>
      <c s="27"/>
      <c s="27"/>
      <c s="4" t="s">
        <v>126</v>
      </c>
      <c s="2">
        <v>13.75</v>
      </c>
      <c s="2">
        <v>14.75</v>
      </c>
      <c s="2">
        <v>12.75</v>
      </c>
    </row>
    <row>
      <c s="27"/>
      <c s="27"/>
      <c s="27"/>
      <c s="4" t="s">
        <v>329</v>
      </c>
      <c s="2">
        <v>10.75</v>
      </c>
      <c s="2">
        <v>10.75</v>
      </c>
      <c s="2">
        <v>11.75</v>
      </c>
    </row>
    <row>
      <c s="27"/>
      <c s="27"/>
      <c s="27"/>
      <c s="4" t="s">
        <v>516</v>
      </c>
      <c s="2">
        <v>1</v>
      </c>
      <c s="2">
        <v>1</v>
      </c>
      <c s="2">
        <v>1</v>
      </c>
    </row>
    <row>
      <c s="27"/>
      <c s="27"/>
      <c s="27"/>
      <c s="4" t="s">
        <v>125</v>
      </c>
      <c s="2">
        <v>2</v>
      </c>
      <c s="2">
        <v>3</v>
      </c>
      <c s="2">
        <v>0</v>
      </c>
    </row>
    <row>
      <c s="27"/>
      <c s="27"/>
      <c s="27"/>
      <c s="4" t="s">
        <v>168</v>
      </c>
      <c s="2">
        <v>201.42810000000003</v>
      </c>
      <c s="2">
        <v>195.9812</v>
      </c>
      <c s="2">
        <v>198.08699999999999</v>
      </c>
    </row>
    <row>
      <c s="27"/>
      <c s="27"/>
      <c s="27"/>
      <c s="4" t="s">
        <v>167</v>
      </c>
      <c s="2">
        <v>0</v>
      </c>
      <c s="2">
        <v>0</v>
      </c>
      <c s="2">
        <v>2</v>
      </c>
    </row>
    <row>
      <c s="27"/>
      <c s="27"/>
      <c s="27"/>
      <c s="4" t="s">
        <v>246</v>
      </c>
      <c s="2">
        <v>0</v>
      </c>
      <c s="2">
        <v>0</v>
      </c>
      <c s="2">
        <v>0</v>
      </c>
    </row>
    <row>
      <c s="27"/>
      <c s="27"/>
      <c s="27"/>
      <c s="4" t="s">
        <v>121</v>
      </c>
      <c s="2">
        <v>12.125</v>
      </c>
      <c s="2">
        <v>14.07</v>
      </c>
      <c s="2">
        <v>16.300000000000001</v>
      </c>
    </row>
    <row>
      <c s="27"/>
      <c s="27"/>
      <c s="27"/>
      <c s="4" t="s">
        <v>245</v>
      </c>
      <c s="2">
        <v>0</v>
      </c>
      <c s="2">
        <v>0</v>
      </c>
      <c s="2">
        <v>0</v>
      </c>
    </row>
    <row>
      <c s="27"/>
      <c s="27"/>
      <c s="27"/>
      <c s="4" t="s">
        <v>5</v>
      </c>
      <c s="2">
        <v>193.88309999999998</v>
      </c>
      <c s="2">
        <v>186.0694</v>
      </c>
      <c s="2">
        <v>178.24220000000003</v>
      </c>
    </row>
    <row>
      <c s="27"/>
      <c s="27"/>
      <c s="27"/>
      <c s="4" t="s">
        <v>201</v>
      </c>
      <c s="2">
        <v>2.25</v>
      </c>
      <c s="2">
        <v>0</v>
      </c>
      <c s="2">
        <v>0</v>
      </c>
    </row>
    <row>
      <c s="27"/>
      <c s="27"/>
      <c s="27"/>
      <c s="4" t="s">
        <v>328</v>
      </c>
      <c s="2">
        <v>0</v>
      </c>
      <c s="2">
        <v>0</v>
      </c>
      <c s="2">
        <v>0</v>
      </c>
    </row>
    <row>
      <c s="27"/>
      <c s="27"/>
      <c s="27"/>
      <c s="4" t="s">
        <v>51</v>
      </c>
      <c s="2">
        <v>0</v>
      </c>
      <c s="2">
        <v>0</v>
      </c>
      <c s="2">
        <v>0</v>
      </c>
    </row>
    <row>
      <c s="27"/>
      <c s="27"/>
      <c s="27"/>
      <c s="5" t="s">
        <v>117</v>
      </c>
      <c s="3">
        <v>522.33789999999999</v>
      </c>
      <c s="3">
        <v>509.41059999999999</v>
      </c>
      <c s="3">
        <v>498.35620000000006</v>
      </c>
    </row>
    <row>
      <c s="27"/>
      <c s="27"/>
      <c s="27"/>
      <c s="4" t="s">
        <v>588</v>
      </c>
      <c s="1" t="s">
        <v>588</v>
      </c>
      <c s="1" t="s">
        <v>588</v>
      </c>
      <c s="1" t="s">
        <v>588</v>
      </c>
    </row>
    <row>
      <c s="27" t="s">
        <v>521</v>
      </c>
      <c s="27" t="s">
        <v>365</v>
      </c>
      <c s="27" t="s">
        <v>592</v>
      </c>
      <c s="4" t="s">
        <v>206</v>
      </c>
      <c s="2">
        <v>174.5675</v>
      </c>
      <c s="2">
        <v>162.58199999999999</v>
      </c>
      <c s="2">
        <v>152.80179999999999</v>
      </c>
    </row>
    <row>
      <c s="27"/>
      <c s="27"/>
      <c s="27"/>
      <c s="4" t="s">
        <v>205</v>
      </c>
      <c s="2">
        <v>43.774999999999999</v>
      </c>
      <c s="2">
        <v>38.050000000000004</v>
      </c>
      <c s="2">
        <v>35.725000000000001</v>
      </c>
    </row>
    <row>
      <c s="27"/>
      <c s="27"/>
      <c s="27"/>
      <c s="4" t="s">
        <v>126</v>
      </c>
      <c s="2">
        <v>4.6500000000000004</v>
      </c>
      <c s="2">
        <v>4.5</v>
      </c>
      <c s="2">
        <v>5.375</v>
      </c>
    </row>
    <row>
      <c s="27"/>
      <c s="27"/>
      <c s="27"/>
      <c s="4" t="s">
        <v>329</v>
      </c>
      <c s="2">
        <v>2.8999999999999999</v>
      </c>
      <c s="2">
        <v>3</v>
      </c>
      <c s="2">
        <v>4.625</v>
      </c>
    </row>
    <row>
      <c s="27"/>
      <c s="27"/>
      <c s="27"/>
      <c s="4" t="s">
        <v>516</v>
      </c>
      <c s="2">
        <v>0.75</v>
      </c>
      <c s="2">
        <v>0.75</v>
      </c>
      <c s="2">
        <v>0.75</v>
      </c>
    </row>
    <row>
      <c s="27"/>
      <c s="27"/>
      <c s="27"/>
      <c s="4" t="s">
        <v>125</v>
      </c>
      <c s="2">
        <v>1</v>
      </c>
      <c s="2">
        <v>0.75</v>
      </c>
      <c s="2">
        <v>0</v>
      </c>
    </row>
    <row>
      <c s="27"/>
      <c s="27"/>
      <c s="27"/>
      <c s="4" t="s">
        <v>168</v>
      </c>
      <c s="2">
        <v>126.14249999999998</v>
      </c>
      <c s="2">
        <v>120.03200000000001</v>
      </c>
      <c s="2">
        <v>111.70180000000001</v>
      </c>
    </row>
    <row>
      <c s="27"/>
      <c s="27"/>
      <c s="27"/>
      <c s="4" t="s">
        <v>167</v>
      </c>
      <c s="2">
        <v>0</v>
      </c>
      <c s="2">
        <v>0.75</v>
      </c>
      <c s="2">
        <v>1.5</v>
      </c>
    </row>
    <row>
      <c s="27"/>
      <c s="27"/>
      <c s="27"/>
      <c s="4" t="s">
        <v>246</v>
      </c>
      <c s="2">
        <v>0.75</v>
      </c>
      <c s="2">
        <v>1</v>
      </c>
      <c s="2">
        <v>0</v>
      </c>
    </row>
    <row>
      <c s="27"/>
      <c s="27"/>
      <c s="27"/>
      <c s="4" t="s">
        <v>121</v>
      </c>
      <c s="2">
        <v>8.6000000000000014</v>
      </c>
      <c s="2">
        <v>6.375</v>
      </c>
      <c s="2">
        <v>7.875</v>
      </c>
    </row>
    <row>
      <c s="27"/>
      <c s="27"/>
      <c s="27"/>
      <c s="4" t="s">
        <v>245</v>
      </c>
      <c s="2">
        <v>0</v>
      </c>
      <c s="2">
        <v>0</v>
      </c>
      <c s="2">
        <v>0</v>
      </c>
    </row>
    <row>
      <c s="27"/>
      <c s="27"/>
      <c s="27"/>
      <c s="4" t="s">
        <v>5</v>
      </c>
      <c s="2">
        <v>106.05000000000001</v>
      </c>
      <c s="2">
        <v>104.0625</v>
      </c>
      <c s="2">
        <v>100.40000000000001</v>
      </c>
    </row>
    <row>
      <c s="27"/>
      <c s="27"/>
      <c s="27"/>
      <c s="4" t="s">
        <v>201</v>
      </c>
      <c s="2">
        <v>0.90000000000000002</v>
      </c>
      <c s="2">
        <v>1.0750000000000002</v>
      </c>
      <c s="2">
        <v>0.5</v>
      </c>
    </row>
    <row>
      <c s="27"/>
      <c s="27"/>
      <c s="27"/>
      <c s="4" t="s">
        <v>328</v>
      </c>
      <c s="2">
        <v>0</v>
      </c>
      <c s="2">
        <v>0</v>
      </c>
      <c s="2">
        <v>0</v>
      </c>
    </row>
    <row>
      <c s="27"/>
      <c s="27"/>
      <c s="27"/>
      <c s="4" t="s">
        <v>51</v>
      </c>
      <c s="2">
        <v>0</v>
      </c>
      <c s="2">
        <v>0</v>
      </c>
      <c s="2">
        <v>0</v>
      </c>
    </row>
    <row>
      <c s="27"/>
      <c s="27"/>
      <c s="27"/>
      <c s="5" t="s">
        <v>117</v>
      </c>
      <c s="3">
        <v>280.61750000000001</v>
      </c>
      <c s="3">
        <v>266.64449999999999</v>
      </c>
      <c s="3">
        <v>253.20179999999999</v>
      </c>
    </row>
    <row>
      <c s="27"/>
      <c s="27"/>
      <c s="27"/>
      <c s="4" t="s">
        <v>588</v>
      </c>
      <c s="1" t="s">
        <v>588</v>
      </c>
      <c s="1" t="s">
        <v>588</v>
      </c>
      <c s="1" t="s">
        <v>588</v>
      </c>
    </row>
    <row>
      <c s="27" t="s">
        <v>475</v>
      </c>
      <c s="27" t="s">
        <v>200</v>
      </c>
      <c s="27" t="s">
        <v>517</v>
      </c>
      <c s="4" t="s">
        <v>206</v>
      </c>
      <c s="2">
        <v>193.21249999999998</v>
      </c>
      <c s="2">
        <v>194.9375</v>
      </c>
      <c s="2">
        <v>190</v>
      </c>
    </row>
    <row>
      <c s="27"/>
      <c s="27"/>
      <c s="27"/>
      <c s="4" t="s">
        <v>205</v>
      </c>
      <c s="2">
        <v>34.799999999999997</v>
      </c>
      <c s="2">
        <v>37.799999999999997</v>
      </c>
      <c s="2">
        <v>34.799999999999997</v>
      </c>
    </row>
    <row>
      <c s="27"/>
      <c s="27"/>
      <c s="27"/>
      <c s="4" t="s">
        <v>126</v>
      </c>
      <c s="2">
        <v>8</v>
      </c>
      <c s="2">
        <v>8</v>
      </c>
      <c s="2">
        <v>6</v>
      </c>
    </row>
    <row>
      <c s="27"/>
      <c s="27"/>
      <c s="27"/>
      <c s="4" t="s">
        <v>329</v>
      </c>
      <c s="2">
        <v>5</v>
      </c>
      <c s="2">
        <v>5</v>
      </c>
      <c s="2">
        <v>5</v>
      </c>
    </row>
    <row>
      <c s="27"/>
      <c s="27"/>
      <c s="27"/>
      <c s="4" t="s">
        <v>516</v>
      </c>
      <c s="2">
        <v>1</v>
      </c>
      <c s="2">
        <v>1</v>
      </c>
      <c s="2">
        <v>1</v>
      </c>
    </row>
    <row>
      <c s="27"/>
      <c s="27"/>
      <c s="27"/>
      <c s="4" t="s">
        <v>125</v>
      </c>
      <c s="2">
        <v>2</v>
      </c>
      <c s="2">
        <v>2</v>
      </c>
      <c s="2">
        <v>0</v>
      </c>
    </row>
    <row>
      <c s="27"/>
      <c s="27"/>
      <c s="27"/>
      <c s="4" t="s">
        <v>168</v>
      </c>
      <c s="2">
        <v>150.41249999999999</v>
      </c>
      <c s="2">
        <v>149.13749999999999</v>
      </c>
      <c s="2">
        <v>149.20000000000002</v>
      </c>
    </row>
    <row>
      <c s="27"/>
      <c s="27"/>
      <c s="27"/>
      <c s="4" t="s">
        <v>167</v>
      </c>
      <c s="2">
        <v>0</v>
      </c>
      <c s="2">
        <v>0</v>
      </c>
      <c s="2">
        <v>2</v>
      </c>
    </row>
    <row>
      <c s="27"/>
      <c s="27"/>
      <c s="27"/>
      <c s="4" t="s">
        <v>246</v>
      </c>
      <c s="2">
        <v>0</v>
      </c>
      <c s="2">
        <v>0</v>
      </c>
      <c s="2">
        <v>0</v>
      </c>
    </row>
    <row>
      <c s="27"/>
      <c s="27"/>
      <c s="27"/>
      <c s="4" t="s">
        <v>121</v>
      </c>
      <c s="2">
        <v>28.5</v>
      </c>
      <c s="2">
        <v>28.850000000000001</v>
      </c>
      <c s="2">
        <v>32.612499999999997</v>
      </c>
    </row>
    <row>
      <c s="27"/>
      <c s="27"/>
      <c s="27"/>
      <c s="4" t="s">
        <v>245</v>
      </c>
      <c s="2">
        <v>0</v>
      </c>
      <c s="2">
        <v>0</v>
      </c>
      <c s="2">
        <v>0</v>
      </c>
    </row>
    <row>
      <c s="27"/>
      <c s="27"/>
      <c s="27"/>
      <c s="4" t="s">
        <v>5</v>
      </c>
      <c s="2">
        <v>149.88749999999999</v>
      </c>
      <c s="2">
        <v>149.40000000000003</v>
      </c>
      <c s="2">
        <v>148.23750000000001</v>
      </c>
    </row>
    <row>
      <c s="27"/>
      <c s="27"/>
      <c s="27"/>
      <c s="4" t="s">
        <v>201</v>
      </c>
      <c s="2">
        <v>0.90000000000000002</v>
      </c>
      <c s="2">
        <v>0.90000000000000002</v>
      </c>
      <c s="2">
        <v>0.90000000000000002</v>
      </c>
    </row>
    <row>
      <c s="27"/>
      <c s="27"/>
      <c s="27"/>
      <c s="4" t="s">
        <v>328</v>
      </c>
      <c s="2">
        <v>0</v>
      </c>
      <c s="2">
        <v>0</v>
      </c>
      <c s="2">
        <v>0</v>
      </c>
    </row>
    <row>
      <c s="27"/>
      <c s="27"/>
      <c s="27"/>
      <c s="4" t="s">
        <v>51</v>
      </c>
      <c s="2">
        <v>0</v>
      </c>
      <c s="2">
        <v>0</v>
      </c>
      <c s="2">
        <v>0</v>
      </c>
    </row>
    <row>
      <c s="27"/>
      <c s="27"/>
      <c s="27"/>
      <c s="5" t="s">
        <v>117</v>
      </c>
      <c s="3">
        <v>343.10000000000002</v>
      </c>
      <c s="3">
        <v>344.33750000000003</v>
      </c>
      <c s="3">
        <v>338.23749999999995</v>
      </c>
    </row>
    <row>
      <c s="27"/>
      <c s="27"/>
      <c s="27"/>
      <c s="4" t="s">
        <v>588</v>
      </c>
      <c s="1" t="s">
        <v>588</v>
      </c>
      <c s="1" t="s">
        <v>588</v>
      </c>
      <c s="1" t="s">
        <v>588</v>
      </c>
    </row>
    <row>
      <c s="27" t="s">
        <v>124</v>
      </c>
      <c s="27" t="s">
        <v>11</v>
      </c>
      <c s="27" t="s">
        <v>10</v>
      </c>
      <c s="4" t="s">
        <v>206</v>
      </c>
      <c s="2">
        <v>325.88960000000009</v>
      </c>
      <c s="2">
        <v>323.99749999999995</v>
      </c>
      <c s="2">
        <v>329.41309999999993</v>
      </c>
    </row>
    <row>
      <c s="27"/>
      <c s="27"/>
      <c s="27"/>
      <c s="4" t="s">
        <v>205</v>
      </c>
      <c s="2">
        <v>18.830199999999998</v>
      </c>
      <c s="2">
        <v>17.786200000000001</v>
      </c>
      <c s="2">
        <v>14.8062</v>
      </c>
    </row>
    <row>
      <c s="27"/>
      <c s="27"/>
      <c s="27"/>
      <c s="4" t="s">
        <v>126</v>
      </c>
      <c s="2">
        <v>19.000800000000002</v>
      </c>
      <c s="2">
        <v>15.503</v>
      </c>
      <c s="2">
        <v>11.311399999999999</v>
      </c>
    </row>
    <row>
      <c s="27"/>
      <c s="27"/>
      <c s="27"/>
      <c s="4" t="s">
        <v>329</v>
      </c>
      <c s="2">
        <v>7.9864000000000015</v>
      </c>
      <c s="2">
        <v>6.2580999999999998</v>
      </c>
      <c s="2">
        <v>8.5323000000000011</v>
      </c>
    </row>
    <row>
      <c s="27"/>
      <c s="27"/>
      <c s="27"/>
      <c s="4" t="s">
        <v>516</v>
      </c>
      <c s="2">
        <v>9.3894000000000002</v>
      </c>
      <c s="2">
        <v>6.8699000000000003</v>
      </c>
      <c s="2">
        <v>2.7791000000000001</v>
      </c>
    </row>
    <row>
      <c s="27"/>
      <c s="27"/>
      <c s="27"/>
      <c s="4" t="s">
        <v>125</v>
      </c>
      <c s="2">
        <v>1.625</v>
      </c>
      <c s="2">
        <v>2.375</v>
      </c>
      <c s="2">
        <v>0</v>
      </c>
    </row>
    <row>
      <c s="27"/>
      <c s="27"/>
      <c s="27"/>
      <c s="4" t="s">
        <v>168</v>
      </c>
      <c s="2">
        <v>288.05860000000007</v>
      </c>
      <c s="2">
        <v>290.70829999999989</v>
      </c>
      <c s="2">
        <v>303.29549999999995</v>
      </c>
    </row>
    <row>
      <c s="27"/>
      <c s="27"/>
      <c s="27"/>
      <c s="4" t="s">
        <v>167</v>
      </c>
      <c s="2">
        <v>5.0372000000000003</v>
      </c>
      <c s="2">
        <v>7.5662000000000003</v>
      </c>
      <c s="2">
        <v>12.9857</v>
      </c>
    </row>
    <row>
      <c s="27"/>
      <c s="27"/>
      <c s="27"/>
      <c s="4" t="s">
        <v>246</v>
      </c>
      <c s="2">
        <v>0</v>
      </c>
      <c s="2">
        <v>0</v>
      </c>
      <c s="2">
        <v>0</v>
      </c>
    </row>
    <row>
      <c s="27"/>
      <c s="27"/>
      <c s="27"/>
      <c s="4" t="s">
        <v>121</v>
      </c>
      <c s="2">
        <v>91.016800000000003</v>
      </c>
      <c s="2">
        <v>84.402900000000017</v>
      </c>
      <c s="2">
        <v>84.731700000000004</v>
      </c>
    </row>
    <row>
      <c s="27"/>
      <c s="27"/>
      <c s="27"/>
      <c s="4" t="s">
        <v>245</v>
      </c>
      <c s="2">
        <v>0</v>
      </c>
      <c s="2">
        <v>0</v>
      </c>
      <c s="2">
        <v>0</v>
      </c>
    </row>
    <row>
      <c s="27"/>
      <c s="27"/>
      <c s="27"/>
      <c s="4" t="s">
        <v>5</v>
      </c>
      <c s="2">
        <v>297.3424</v>
      </c>
      <c s="2">
        <v>284.90049999999997</v>
      </c>
      <c s="2">
        <v>269.70179999999999</v>
      </c>
    </row>
    <row>
      <c s="27"/>
      <c s="27"/>
      <c s="27"/>
      <c s="4" t="s">
        <v>201</v>
      </c>
      <c s="2">
        <v>6.1597999999999997</v>
      </c>
      <c s="2">
        <v>5.4394999999999998</v>
      </c>
      <c s="2">
        <v>6.5599999999999996</v>
      </c>
    </row>
    <row>
      <c s="27"/>
      <c s="27"/>
      <c s="27"/>
      <c s="4" t="s">
        <v>328</v>
      </c>
      <c s="2">
        <v>0</v>
      </c>
      <c s="2">
        <v>0</v>
      </c>
      <c s="2">
        <v>0</v>
      </c>
    </row>
    <row>
      <c s="27"/>
      <c s="27"/>
      <c s="27"/>
      <c s="4" t="s">
        <v>51</v>
      </c>
      <c s="2">
        <v>0</v>
      </c>
      <c s="2">
        <v>0</v>
      </c>
      <c s="2">
        <v>0</v>
      </c>
    </row>
    <row>
      <c s="27"/>
      <c s="27"/>
      <c s="27"/>
      <c s="5" t="s">
        <v>117</v>
      </c>
      <c s="3">
        <v>623.2320000000002</v>
      </c>
      <c s="3">
        <v>608.8979999999998</v>
      </c>
      <c s="3">
        <v>599.11489999999958</v>
      </c>
    </row>
    <row>
      <c s="27"/>
      <c s="27"/>
      <c s="27"/>
      <c s="4" t="s">
        <v>588</v>
      </c>
      <c s="1" t="s">
        <v>588</v>
      </c>
      <c s="1" t="s">
        <v>588</v>
      </c>
      <c s="1" t="s">
        <v>588</v>
      </c>
    </row>
    <row>
      <c/>
    </row>
    <row>
      <c/>
    </row>
    <row>
      <c/>
    </row>
    <row>
      <c/>
    </row>
    <row>
      <c/>
    </row>
  </sheetData>
  <mergeCells count="71">
    <mergeCell ref="A5:D5"/>
    <mergeCell ref="A7:D7"/>
    <mergeCell ref="A11:D11"/>
    <mergeCell ref="A12:D12"/>
    <mergeCell ref="E19:G19"/>
    <mergeCell ref="A21:A37"/>
    <mergeCell ref="B21:B37"/>
    <mergeCell ref="C21:C37"/>
    <mergeCell ref="A38:A54"/>
    <mergeCell ref="B38:B54"/>
    <mergeCell ref="C38:C54"/>
    <mergeCell ref="A55:A71"/>
    <mergeCell ref="B55:B71"/>
    <mergeCell ref="C55:C71"/>
    <mergeCell ref="A72:A88"/>
    <mergeCell ref="B72:B88"/>
    <mergeCell ref="C72:C88"/>
    <mergeCell ref="A89:A105"/>
    <mergeCell ref="B89:B105"/>
    <mergeCell ref="C89:C105"/>
    <mergeCell ref="A106:A122"/>
    <mergeCell ref="B106:B122"/>
    <mergeCell ref="C106:C122"/>
    <mergeCell ref="A123:A139"/>
    <mergeCell ref="B123:B139"/>
    <mergeCell ref="C123:C139"/>
    <mergeCell ref="A140:A156"/>
    <mergeCell ref="B140:B156"/>
    <mergeCell ref="C140:C156"/>
    <mergeCell ref="A157:A173"/>
    <mergeCell ref="B157:B173"/>
    <mergeCell ref="C157:C173"/>
    <mergeCell ref="A174:A190"/>
    <mergeCell ref="B174:B190"/>
    <mergeCell ref="C174:C190"/>
    <mergeCell ref="A191:A207"/>
    <mergeCell ref="B191:B207"/>
    <mergeCell ref="C191:C207"/>
    <mergeCell ref="A208:A224"/>
    <mergeCell ref="B208:B224"/>
    <mergeCell ref="C208:C224"/>
    <mergeCell ref="A225:A241"/>
    <mergeCell ref="B225:B241"/>
    <mergeCell ref="C225:C241"/>
    <mergeCell ref="A242:A258"/>
    <mergeCell ref="B242:B258"/>
    <mergeCell ref="C242:C258"/>
    <mergeCell ref="A259:A275"/>
    <mergeCell ref="B259:B275"/>
    <mergeCell ref="C259:C275"/>
    <mergeCell ref="A276:A292"/>
    <mergeCell ref="B276:B292"/>
    <mergeCell ref="C276:C292"/>
    <mergeCell ref="A293:A309"/>
    <mergeCell ref="B293:B309"/>
    <mergeCell ref="C293:C309"/>
    <mergeCell ref="A310:A326"/>
    <mergeCell ref="B310:B326"/>
    <mergeCell ref="C310:C326"/>
    <mergeCell ref="A327:A343"/>
    <mergeCell ref="B327:B343"/>
    <mergeCell ref="C327:C343"/>
    <mergeCell ref="A344:A360"/>
    <mergeCell ref="B344:B360"/>
    <mergeCell ref="C344:C360"/>
    <mergeCell ref="A361:A377"/>
    <mergeCell ref="B361:B377"/>
    <mergeCell ref="C361:C377"/>
    <mergeCell ref="A378:A394"/>
    <mergeCell ref="B378:B394"/>
    <mergeCell ref="C378:C394"/>
  </mergeCells>
  <pageMargins left="0.70866141732283472" right="0.70866141732283472" top="0.78740157480314965" bottom="0.78740157480314965" header="0.31496062992125984" footer="0.31496062992125984"/>
  <pageSetup paperSize="9" scale="65" fitToHeight="0" orientation="landscape"/>
  <headerFooter>
    <oddHeader>&amp;L&amp;"Tahoma,Standard"&amp;10unidata.gv.at&amp;R&amp;"Tahoma,Standard"&amp;10&amp;D</oddHeader>
    <oddFooter>&amp;R&amp;"Tahoma,Standard"&amp;10&amp;P/&amp;N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P729"/>
  <sheetViews>
    <sheetView workbookViewId="0"/>
  </sheetViews>
  <sheetFormatPr defaultColWidth="11.42578125" defaultRowHeight="15"/>
  <cols>
    <col min="1" max="1" width="42.28515625" bestFit="1" customWidth="1"/>
    <col min="2" max="2" width="11.85546875" bestFit="1" customWidth="1"/>
    <col min="3" max="3" width="13.28515625" bestFit="1" customWidth="1"/>
  </cols>
  <sheetData>
    <row ht="14.95">
      <c t="s">
        <v>197</v>
      </c>
      <c t="s">
        <v>468</v>
      </c>
      <c t="s">
        <v>469</v>
      </c>
      <c r="I1" t="s">
        <v>357</v>
      </c>
      <c t="s">
        <v>189</v>
      </c>
      <c t="s">
        <v>33</v>
      </c>
      <c r="N1" t="s">
        <v>357</v>
      </c>
      <c t="s">
        <v>189</v>
      </c>
      <c t="s">
        <v>33</v>
      </c>
    </row>
    <row ht="14.95">
      <c t="s">
        <v>207</v>
      </c>
      <c>
        <v>211</v>
      </c>
      <c>
        <v>15405</v>
      </c>
      <c r="H2" t="s">
        <v>286</v>
      </c>
      <c>
        <f t="shared" si="0" ref="I2:I23">SUMIF($A$2:$A$1000,H2&amp;" Wintersemester 2024 (Stichtag: 31.12.2024)",$C$2:$C$1000)</f>
        <v>78253</v>
      </c>
      <c>
        <f t="shared" si="1" ref="J2:J23">SUMIF($A$2:$A$1000,H2&amp;" Wintersemester 2023 (Stichtag: 31.12.2023)",$C$2:$C$1000)</f>
        <v>73760</v>
      </c>
      <c>
        <f t="shared" si="2" ref="K2:K23">SUMIF($A$2:$A$1000,H2&amp;" Wintersemester 2022 (Stichtag: 31.12.2022)",$C$2:$C$1000)</f>
        <v>71722</v>
      </c>
      <c r="N2">
        <v>16510</v>
      </c>
      <c>
        <v>16510</v>
      </c>
      <c>
        <v>16510</v>
      </c>
    </row>
    <row ht="14.95">
      <c t="s">
        <v>553</v>
      </c>
      <c>
        <v>211</v>
      </c>
      <c>
        <v>15430</v>
      </c>
      <c r="H3" t="s">
        <v>497</v>
      </c>
      <c>
        <f t="shared" si="0"/>
        <v>78312</v>
      </c>
      <c>
        <f t="shared" si="1"/>
        <v>75632</v>
      </c>
      <c>
        <f t="shared" si="2"/>
        <v>70543</v>
      </c>
      <c r="N3">
        <v>16510</v>
      </c>
      <c>
        <v>16510</v>
      </c>
      <c>
        <v>16510</v>
      </c>
    </row>
    <row ht="14.95">
      <c t="s">
        <v>287</v>
      </c>
      <c>
        <v>211</v>
      </c>
      <c>
        <v>16159</v>
      </c>
      <c r="H4" t="s">
        <v>30</v>
      </c>
      <c>
        <f t="shared" si="0"/>
        <v>77149</v>
      </c>
      <c>
        <f t="shared" si="1"/>
        <v>73514</v>
      </c>
      <c>
        <f t="shared" si="2"/>
        <v>70539</v>
      </c>
      <c r="N4">
        <v>16510</v>
      </c>
      <c>
        <v>16510</v>
      </c>
      <c>
        <v>16510</v>
      </c>
    </row>
    <row ht="14.95">
      <c t="s">
        <v>12</v>
      </c>
      <c>
        <v>211</v>
      </c>
      <c>
        <v>18650</v>
      </c>
      <c r="H5" t="s">
        <v>539</v>
      </c>
      <c>
        <f t="shared" si="0"/>
        <v>78692</v>
      </c>
      <c>
        <f t="shared" si="1"/>
        <v>75835</v>
      </c>
      <c>
        <f t="shared" si="2"/>
        <v>70150</v>
      </c>
      <c r="N5">
        <v>16510</v>
      </c>
      <c>
        <v>16510</v>
      </c>
      <c>
        <v>16510</v>
      </c>
    </row>
    <row ht="14.95">
      <c t="s">
        <v>92</v>
      </c>
      <c>
        <v>1651</v>
      </c>
      <c>
        <v>21583</v>
      </c>
      <c r="H6" t="s">
        <v>74</v>
      </c>
      <c>
        <f t="shared" si="0"/>
        <v>78833</v>
      </c>
      <c>
        <f t="shared" si="1"/>
        <v>75344</v>
      </c>
      <c>
        <f t="shared" si="2"/>
        <v>71889</v>
      </c>
      <c r="N6">
        <v>16510</v>
      </c>
      <c>
        <v>16510</v>
      </c>
      <c>
        <v>16510</v>
      </c>
    </row>
    <row ht="14.95">
      <c t="s">
        <v>438</v>
      </c>
      <c>
        <v>1651</v>
      </c>
      <c>
        <v>24880</v>
      </c>
      <c r="H7" t="s">
        <v>385</v>
      </c>
      <c>
        <f t="shared" si="0"/>
        <v>78712</v>
      </c>
      <c>
        <f t="shared" si="1"/>
        <v>75673</v>
      </c>
      <c>
        <f t="shared" si="2"/>
        <v>70611</v>
      </c>
      <c r="N7">
        <v>16510</v>
      </c>
      <c>
        <v>16510</v>
      </c>
      <c>
        <v>16510</v>
      </c>
    </row>
    <row ht="14.95">
      <c t="s">
        <v>169</v>
      </c>
      <c>
        <v>1651</v>
      </c>
      <c>
        <v>28436</v>
      </c>
      <c r="H8" s="82" t="str">
        <f>"U"&amp;"D"</f>
        <v>UD</v>
      </c>
      <c>
        <f t="shared" si="0"/>
        <v>76913</v>
      </c>
      <c>
        <f t="shared" si="1"/>
        <v>75044</v>
      </c>
      <c>
        <f t="shared" si="2"/>
        <v>71689</v>
      </c>
      <c r="N8">
        <v>16510</v>
      </c>
      <c>
        <v>16510</v>
      </c>
      <c>
        <v>16510</v>
      </c>
    </row>
    <row ht="14.95">
      <c t="s">
        <v>522</v>
      </c>
      <c>
        <v>1651</v>
      </c>
      <c>
        <v>41058</v>
      </c>
      <c r="H9" t="s">
        <v>349</v>
      </c>
      <c>
        <f t="shared" si="0"/>
        <v>78492</v>
      </c>
      <c>
        <f t="shared" si="1"/>
        <v>74932</v>
      </c>
      <c>
        <f t="shared" si="2"/>
        <v>71871</v>
      </c>
      <c r="N9">
        <v>16510</v>
      </c>
      <c>
        <v>16510</v>
      </c>
      <c>
        <v>16510</v>
      </c>
    </row>
    <row ht="14.95">
      <c t="s">
        <v>250</v>
      </c>
      <c>
        <v>1651</v>
      </c>
      <c>
        <v>43296</v>
      </c>
      <c r="H10" t="s">
        <v>498</v>
      </c>
      <c>
        <f t="shared" si="0"/>
        <v>77009</v>
      </c>
      <c>
        <f t="shared" si="1"/>
        <v>73554</v>
      </c>
      <c>
        <f t="shared" si="2"/>
        <v>71575</v>
      </c>
      <c r="N10">
        <v>16510</v>
      </c>
      <c>
        <v>16510</v>
      </c>
      <c>
        <v>16510</v>
      </c>
    </row>
    <row ht="14.95">
      <c t="s">
        <v>594</v>
      </c>
      <c>
        <v>1651</v>
      </c>
      <c>
        <v>45003</v>
      </c>
      <c r="H11" t="s">
        <v>31</v>
      </c>
      <c>
        <f t="shared" si="0"/>
        <v>78613</v>
      </c>
      <c>
        <f t="shared" si="1"/>
        <v>75054</v>
      </c>
      <c>
        <f t="shared" si="2"/>
        <v>71229</v>
      </c>
      <c r="N11">
        <v>16510</v>
      </c>
      <c>
        <v>16510</v>
      </c>
      <c>
        <v>16510</v>
      </c>
    </row>
    <row ht="14.95">
      <c t="s">
        <v>330</v>
      </c>
      <c>
        <v>16510</v>
      </c>
      <c>
        <v>46665</v>
      </c>
      <c r="H12" t="s">
        <v>185</v>
      </c>
      <c>
        <f t="shared" si="0"/>
        <v>77143</v>
      </c>
      <c>
        <f t="shared" si="1"/>
        <v>75166</v>
      </c>
      <c>
        <f t="shared" si="2"/>
        <v>71290</v>
      </c>
      <c r="N12">
        <v>16510</v>
      </c>
      <c>
        <v>16510</v>
      </c>
      <c>
        <v>16510</v>
      </c>
    </row>
    <row ht="14.95">
      <c t="s">
        <v>53</v>
      </c>
      <c>
        <v>16510</v>
      </c>
      <c>
        <v>48926</v>
      </c>
      <c r="H13" t="s">
        <v>350</v>
      </c>
      <c>
        <f t="shared" si="0"/>
        <v>77976</v>
      </c>
      <c>
        <f t="shared" si="1"/>
        <v>73252</v>
      </c>
      <c>
        <f t="shared" si="2"/>
        <v>70335</v>
      </c>
      <c r="N13">
        <v>16510</v>
      </c>
      <c>
        <v>16510</v>
      </c>
      <c>
        <v>16510</v>
      </c>
    </row>
    <row ht="14.95">
      <c t="s">
        <v>402</v>
      </c>
      <c>
        <v>16510</v>
      </c>
      <c>
        <v>53448</v>
      </c>
      <c r="H14" t="s">
        <v>499</v>
      </c>
      <c>
        <f t="shared" si="0"/>
        <v>78633</v>
      </c>
      <c>
        <f t="shared" si="1"/>
        <v>75873</v>
      </c>
      <c>
        <f t="shared" si="2"/>
        <v>71670</v>
      </c>
      <c r="N14">
        <v>16510</v>
      </c>
      <c>
        <v>16510</v>
      </c>
      <c>
        <v>16510</v>
      </c>
    </row>
    <row ht="14.95">
      <c t="s">
        <v>127</v>
      </c>
      <c>
        <v>16510</v>
      </c>
      <c>
        <v>62225</v>
      </c>
      <c r="H15" t="s">
        <v>75</v>
      </c>
      <c>
        <f t="shared" si="0"/>
        <v>78053</v>
      </c>
      <c>
        <f t="shared" si="1"/>
        <v>73352</v>
      </c>
      <c>
        <f t="shared" si="2"/>
        <v>69974</v>
      </c>
      <c r="N15">
        <v>16510</v>
      </c>
      <c>
        <v>16510</v>
      </c>
      <c>
        <v>16510</v>
      </c>
    </row>
    <row ht="14.95">
      <c t="s">
        <v>229</v>
      </c>
      <c>
        <v>16510</v>
      </c>
      <c>
        <v>65509</v>
      </c>
      <c r="H16" t="s">
        <v>228</v>
      </c>
      <c>
        <f t="shared" si="0"/>
        <v>78015</v>
      </c>
      <c>
        <f t="shared" si="1"/>
        <v>75099</v>
      </c>
      <c>
        <f t="shared" si="2"/>
        <v>70810</v>
      </c>
      <c r="N16">
        <v>16510</v>
      </c>
      <c>
        <v>16510</v>
      </c>
      <c>
        <v>16510</v>
      </c>
    </row>
    <row ht="14.95">
      <c t="s">
        <v>575</v>
      </c>
      <c>
        <v>16510</v>
      </c>
      <c>
        <v>67821</v>
      </c>
      <c r="H17" t="s">
        <v>76</v>
      </c>
      <c>
        <f t="shared" si="0"/>
        <v>77454</v>
      </c>
      <c>
        <f t="shared" si="1"/>
        <v>75352</v>
      </c>
      <c>
        <f t="shared" si="2"/>
        <v>70396</v>
      </c>
      <c r="N17">
        <v>16510</v>
      </c>
      <c>
        <v>16510</v>
      </c>
      <c>
        <v>16510</v>
      </c>
    </row>
    <row ht="14.95">
      <c t="s">
        <v>309</v>
      </c>
      <c>
        <v>16510</v>
      </c>
      <c>
        <v>71722</v>
      </c>
      <c r="H18" s="68" t="s">
        <v>268</v>
      </c>
      <c>
        <f t="shared" si="0"/>
        <v>77541</v>
      </c>
      <c>
        <f t="shared" si="1"/>
        <v>75472</v>
      </c>
      <c>
        <f t="shared" si="2"/>
        <v>71892</v>
      </c>
      <c r="N18">
        <v>16510</v>
      </c>
      <c>
        <v>16510</v>
      </c>
      <c>
        <v>16510</v>
      </c>
    </row>
    <row ht="14.95">
      <c t="s">
        <v>35</v>
      </c>
      <c>
        <v>16510</v>
      </c>
      <c>
        <v>73760</v>
      </c>
      <c r="H19" t="s">
        <v>422</v>
      </c>
      <c>
        <f t="shared" si="0"/>
        <v>78256</v>
      </c>
      <c>
        <f t="shared" si="1"/>
        <v>74638</v>
      </c>
      <c>
        <f t="shared" si="2"/>
        <v>71432</v>
      </c>
      <c r="N19">
        <v>16510</v>
      </c>
      <c>
        <v>16510</v>
      </c>
      <c>
        <v>16510</v>
      </c>
    </row>
    <row ht="14.95">
      <c t="s">
        <v>390</v>
      </c>
      <c>
        <v>16510</v>
      </c>
      <c>
        <v>78253</v>
      </c>
      <c r="H20" t="s">
        <v>573</v>
      </c>
      <c>
        <f t="shared" si="0"/>
        <v>77214</v>
      </c>
      <c>
        <f t="shared" si="1"/>
        <v>73927</v>
      </c>
      <c>
        <f t="shared" si="2"/>
        <v>71678</v>
      </c>
      <c r="N20">
        <v>16510</v>
      </c>
      <c>
        <v>16510</v>
      </c>
      <c>
        <v>16510</v>
      </c>
    </row>
    <row ht="14.95">
      <c t="s">
        <v>288</v>
      </c>
      <c>
        <v>211</v>
      </c>
      <c>
        <v>13216</v>
      </c>
      <c r="H21" t="s">
        <v>109</v>
      </c>
      <c>
        <f t="shared" si="0"/>
        <v>77953</v>
      </c>
      <c>
        <f t="shared" si="1"/>
        <v>75103</v>
      </c>
      <c>
        <f t="shared" si="2"/>
        <v>71833</v>
      </c>
      <c r="N21">
        <v>16510</v>
      </c>
      <c>
        <v>16510</v>
      </c>
      <c>
        <v>16510</v>
      </c>
    </row>
    <row ht="14.95">
      <c t="s">
        <v>13</v>
      </c>
      <c>
        <v>211</v>
      </c>
      <c>
        <v>13277</v>
      </c>
      <c r="H22" t="s">
        <v>540</v>
      </c>
      <c>
        <f t="shared" si="0"/>
        <v>76852</v>
      </c>
      <c>
        <f t="shared" si="1"/>
        <v>75351</v>
      </c>
      <c>
        <f t="shared" si="2"/>
        <v>70489</v>
      </c>
      <c r="N22">
        <v>16510</v>
      </c>
      <c>
        <v>16510</v>
      </c>
      <c>
        <v>16510</v>
      </c>
    </row>
    <row ht="14.95">
      <c t="s">
        <v>367</v>
      </c>
      <c>
        <v>211</v>
      </c>
      <c>
        <v>16043</v>
      </c>
      <c r="H23" t="s">
        <v>386</v>
      </c>
      <c>
        <f t="shared" si="0"/>
        <v>78673</v>
      </c>
      <c>
        <f t="shared" si="1"/>
        <v>73674</v>
      </c>
      <c>
        <f t="shared" si="2"/>
        <v>70709</v>
      </c>
      <c r="N23">
        <v>16510</v>
      </c>
      <c>
        <v>16510</v>
      </c>
      <c>
        <v>16510</v>
      </c>
    </row>
    <row ht="14.95">
      <c t="s">
        <v>93</v>
      </c>
      <c>
        <v>211</v>
      </c>
      <c>
        <v>19126</v>
      </c>
    </row>
    <row ht="14.95">
      <c t="s">
        <v>170</v>
      </c>
      <c>
        <v>1651</v>
      </c>
      <c>
        <v>22025</v>
      </c>
    </row>
    <row ht="14.95">
      <c t="s">
        <v>523</v>
      </c>
      <c>
        <v>1651</v>
      </c>
      <c>
        <v>25160</v>
      </c>
    </row>
    <row ht="14.95">
      <c t="s">
        <v>251</v>
      </c>
      <c>
        <v>1651</v>
      </c>
      <c>
        <v>28473</v>
      </c>
    </row>
    <row ht="14.95">
      <c t="s">
        <v>595</v>
      </c>
      <c>
        <v>1651</v>
      </c>
      <c>
        <v>41683</v>
      </c>
    </row>
    <row ht="14.95">
      <c t="s">
        <v>331</v>
      </c>
      <c>
        <v>1651</v>
      </c>
      <c>
        <v>42713</v>
      </c>
    </row>
    <row ht="14.95">
      <c t="s">
        <v>54</v>
      </c>
      <c>
        <v>1651</v>
      </c>
      <c>
        <v>44906</v>
      </c>
      <c r="F30" s="53"/>
    </row>
    <row ht="14.95">
      <c t="s">
        <v>403</v>
      </c>
      <c>
        <v>16510</v>
      </c>
      <c>
        <v>46618</v>
      </c>
    </row>
    <row ht="14.95">
      <c t="s">
        <v>128</v>
      </c>
      <c>
        <v>16510</v>
      </c>
      <c>
        <v>51005</v>
      </c>
    </row>
    <row ht="14.95">
      <c t="s">
        <v>476</v>
      </c>
      <c>
        <v>16510</v>
      </c>
      <c>
        <v>55177</v>
      </c>
    </row>
    <row ht="14.95">
      <c t="s">
        <v>208</v>
      </c>
      <c>
        <v>16510</v>
      </c>
      <c>
        <v>62072</v>
      </c>
    </row>
    <row ht="14.95">
      <c t="s">
        <v>307</v>
      </c>
      <c>
        <v>16510</v>
      </c>
      <c>
        <v>65406</v>
      </c>
    </row>
    <row ht="14.95">
      <c t="s">
        <v>32</v>
      </c>
      <c>
        <v>16510</v>
      </c>
      <c>
        <v>68026</v>
      </c>
    </row>
    <row ht="14.95">
      <c t="s">
        <v>387</v>
      </c>
      <c>
        <v>16510</v>
      </c>
      <c>
        <v>70543</v>
      </c>
    </row>
    <row ht="14.95">
      <c t="s">
        <v>111</v>
      </c>
      <c>
        <v>16510</v>
      </c>
      <c>
        <v>75632</v>
      </c>
    </row>
    <row ht="14.95">
      <c t="s">
        <v>459</v>
      </c>
      <c>
        <v>16510</v>
      </c>
      <c>
        <v>78312</v>
      </c>
    </row>
    <row ht="14.95">
      <c t="s">
        <v>368</v>
      </c>
      <c>
        <v>211</v>
      </c>
      <c>
        <v>6962</v>
      </c>
    </row>
    <row ht="14.95">
      <c t="s">
        <v>94</v>
      </c>
      <c>
        <v>211</v>
      </c>
      <c>
        <v>13164</v>
      </c>
    </row>
    <row ht="14.95">
      <c t="s">
        <v>439</v>
      </c>
      <c>
        <v>211</v>
      </c>
      <c>
        <v>16096</v>
      </c>
    </row>
    <row ht="14.95">
      <c t="s">
        <v>289</v>
      </c>
      <c>
        <v>1651</v>
      </c>
      <c>
        <v>22935</v>
      </c>
    </row>
    <row ht="14.95">
      <c t="s">
        <v>14</v>
      </c>
      <c>
        <v>1651</v>
      </c>
      <c>
        <v>24736</v>
      </c>
    </row>
    <row ht="14.95">
      <c t="s">
        <v>369</v>
      </c>
      <c>
        <v>1651</v>
      </c>
      <c>
        <v>28422</v>
      </c>
    </row>
    <row ht="14.95">
      <c t="s">
        <v>55</v>
      </c>
      <c>
        <v>1651</v>
      </c>
      <c>
        <v>40959</v>
      </c>
    </row>
    <row ht="14.95">
      <c t="s">
        <v>404</v>
      </c>
      <c>
        <v>1651</v>
      </c>
      <c>
        <v>43251</v>
      </c>
    </row>
    <row ht="14.95">
      <c t="s">
        <v>129</v>
      </c>
      <c>
        <v>1651</v>
      </c>
      <c>
        <v>43971</v>
      </c>
    </row>
    <row ht="14.95">
      <c t="s">
        <v>477</v>
      </c>
      <c>
        <v>16510</v>
      </c>
      <c>
        <v>46123</v>
      </c>
    </row>
    <row ht="14.95">
      <c t="s">
        <v>209</v>
      </c>
      <c>
        <v>16510</v>
      </c>
      <c>
        <v>50845</v>
      </c>
    </row>
    <row ht="14.95">
      <c t="s">
        <v>554</v>
      </c>
      <c>
        <v>16510</v>
      </c>
      <c>
        <v>55095</v>
      </c>
    </row>
    <row ht="14.95">
      <c t="s">
        <v>290</v>
      </c>
      <c>
        <v>16510</v>
      </c>
      <c>
        <v>57685</v>
      </c>
    </row>
    <row ht="14.95">
      <c t="s">
        <v>423</v>
      </c>
      <c>
        <v>16510</v>
      </c>
      <c>
        <v>65067</v>
      </c>
    </row>
    <row ht="14.95">
      <c t="s">
        <v>150</v>
      </c>
      <c>
        <v>16510</v>
      </c>
      <c>
        <v>67994</v>
      </c>
    </row>
    <row ht="14.95">
      <c t="s">
        <v>456</v>
      </c>
      <c>
        <v>16510</v>
      </c>
      <c>
        <v>70539</v>
      </c>
    </row>
    <row ht="14.95">
      <c t="s">
        <v>188</v>
      </c>
      <c>
        <v>16510</v>
      </c>
      <c>
        <v>73514</v>
      </c>
    </row>
    <row ht="14.95">
      <c t="s">
        <v>545</v>
      </c>
      <c>
        <v>16510</v>
      </c>
      <c>
        <v>77149</v>
      </c>
    </row>
    <row ht="14.95">
      <c t="s">
        <v>478</v>
      </c>
      <c>
        <v>211</v>
      </c>
      <c>
        <v>5329</v>
      </c>
    </row>
    <row ht="14.95">
      <c t="s">
        <v>210</v>
      </c>
      <c>
        <v>211</v>
      </c>
      <c>
        <v>13233</v>
      </c>
    </row>
    <row ht="14.95">
      <c t="s">
        <v>555</v>
      </c>
      <c>
        <v>211</v>
      </c>
      <c>
        <v>16255</v>
      </c>
    </row>
    <row ht="14.95">
      <c t="s">
        <v>291</v>
      </c>
      <c>
        <v>211</v>
      </c>
      <c>
        <v>18957</v>
      </c>
    </row>
    <row ht="14.95">
      <c t="s">
        <v>370</v>
      </c>
      <c>
        <v>1651</v>
      </c>
      <c>
        <v>22746</v>
      </c>
    </row>
    <row ht="14.95">
      <c t="s">
        <v>95</v>
      </c>
      <c>
        <v>1651</v>
      </c>
      <c>
        <v>25017</v>
      </c>
    </row>
    <row ht="14.95">
      <c t="s">
        <v>440</v>
      </c>
      <c>
        <v>1651</v>
      </c>
      <c>
        <v>28975</v>
      </c>
    </row>
    <row ht="14.95">
      <c t="s">
        <v>171</v>
      </c>
      <c>
        <v>1651</v>
      </c>
      <c>
        <v>40968</v>
      </c>
    </row>
    <row ht="14.95">
      <c t="s">
        <v>524</v>
      </c>
      <c>
        <v>1651</v>
      </c>
      <c>
        <v>42513</v>
      </c>
    </row>
    <row ht="14.95">
      <c t="s">
        <v>252</v>
      </c>
      <c>
        <v>1651</v>
      </c>
      <c>
        <v>45233</v>
      </c>
    </row>
    <row ht="14.95">
      <c t="s">
        <v>596</v>
      </c>
      <c>
        <v>16510</v>
      </c>
      <c>
        <v>45851</v>
      </c>
    </row>
    <row ht="14.95">
      <c t="s">
        <v>332</v>
      </c>
      <c>
        <v>16510</v>
      </c>
      <c>
        <v>47865</v>
      </c>
    </row>
    <row ht="14.95">
      <c t="s">
        <v>56</v>
      </c>
      <c>
        <v>16510</v>
      </c>
      <c>
        <v>52568</v>
      </c>
    </row>
    <row ht="14.95">
      <c t="s">
        <v>405</v>
      </c>
      <c>
        <v>16510</v>
      </c>
      <c>
        <v>59460</v>
      </c>
    </row>
    <row ht="14.95">
      <c t="s">
        <v>500</v>
      </c>
      <c>
        <v>16510</v>
      </c>
      <c>
        <v>65249</v>
      </c>
    </row>
    <row ht="14.95">
      <c t="s">
        <v>231</v>
      </c>
      <c>
        <v>16510</v>
      </c>
      <c>
        <v>67917</v>
      </c>
    </row>
    <row ht="14.95">
      <c t="s">
        <v>577</v>
      </c>
      <c>
        <v>16510</v>
      </c>
      <c>
        <v>71689</v>
      </c>
    </row>
    <row ht="14.95">
      <c t="s">
        <v>311</v>
      </c>
      <c>
        <v>16510</v>
      </c>
      <c>
        <v>75044</v>
      </c>
    </row>
    <row ht="14.95">
      <c t="s">
        <v>38</v>
      </c>
      <c>
        <v>16510</v>
      </c>
      <c>
        <v>76913</v>
      </c>
    </row>
    <row ht="14.95">
      <c t="s">
        <v>556</v>
      </c>
      <c>
        <v>211</v>
      </c>
      <c>
        <v>4477</v>
      </c>
    </row>
    <row ht="14.95">
      <c t="s">
        <v>292</v>
      </c>
      <c>
        <v>211</v>
      </c>
      <c>
        <v>13486</v>
      </c>
    </row>
    <row ht="14.95">
      <c t="s">
        <v>15</v>
      </c>
      <c>
        <v>211</v>
      </c>
      <c>
        <v>16479</v>
      </c>
    </row>
    <row ht="14.95">
      <c t="s">
        <v>371</v>
      </c>
      <c>
        <v>211</v>
      </c>
      <c>
        <v>18580</v>
      </c>
    </row>
    <row ht="14.95">
      <c t="s">
        <v>441</v>
      </c>
      <c>
        <v>1651</v>
      </c>
      <c>
        <v>21646</v>
      </c>
    </row>
    <row ht="14.95">
      <c t="s">
        <v>172</v>
      </c>
      <c>
        <v>1651</v>
      </c>
      <c>
        <v>24966</v>
      </c>
    </row>
    <row ht="14.95">
      <c t="s">
        <v>525</v>
      </c>
      <c>
        <v>1651</v>
      </c>
      <c>
        <v>29344</v>
      </c>
    </row>
    <row ht="14.95">
      <c t="s">
        <v>253</v>
      </c>
      <c>
        <v>1651</v>
      </c>
      <c>
        <v>41609</v>
      </c>
    </row>
    <row ht="14.95">
      <c t="s">
        <v>597</v>
      </c>
      <c>
        <v>1651</v>
      </c>
      <c>
        <v>43539</v>
      </c>
    </row>
    <row ht="14.95">
      <c t="s">
        <v>333</v>
      </c>
      <c>
        <v>1651</v>
      </c>
      <c>
        <v>45045</v>
      </c>
    </row>
    <row ht="14.95">
      <c t="s">
        <v>57</v>
      </c>
      <c>
        <v>16510</v>
      </c>
      <c>
        <v>46790</v>
      </c>
    </row>
    <row ht="14.95">
      <c t="s">
        <v>406</v>
      </c>
      <c>
        <v>16510</v>
      </c>
      <c>
        <v>49064</v>
      </c>
    </row>
    <row ht="14.95">
      <c t="s">
        <v>130</v>
      </c>
      <c>
        <v>16510</v>
      </c>
      <c>
        <v>54957</v>
      </c>
    </row>
    <row ht="14.95">
      <c t="s">
        <v>479</v>
      </c>
      <c>
        <v>16510</v>
      </c>
      <c>
        <v>62206</v>
      </c>
    </row>
    <row ht="14.95">
      <c t="s">
        <v>574</v>
      </c>
      <c>
        <v>16510</v>
      </c>
      <c>
        <v>65448</v>
      </c>
    </row>
    <row ht="14.95">
      <c t="s">
        <v>308</v>
      </c>
      <c>
        <v>16510</v>
      </c>
      <c>
        <v>68740</v>
      </c>
    </row>
    <row ht="14.95">
      <c t="s">
        <v>34</v>
      </c>
      <c>
        <v>16510</v>
      </c>
      <c>
        <v>71871</v>
      </c>
    </row>
    <row ht="14.95">
      <c t="s">
        <v>388</v>
      </c>
      <c>
        <v>16510</v>
      </c>
      <c>
        <v>74932</v>
      </c>
    </row>
    <row ht="14.95">
      <c t="s">
        <v>113</v>
      </c>
      <c>
        <v>16510</v>
      </c>
      <c>
        <v>78492</v>
      </c>
    </row>
    <row ht="14.95">
      <c t="s">
        <v>16</v>
      </c>
      <c>
        <v>211</v>
      </c>
      <c>
        <v>4009</v>
      </c>
    </row>
    <row ht="14.95">
      <c t="s">
        <v>372</v>
      </c>
      <c>
        <v>211</v>
      </c>
      <c>
        <v>11073</v>
      </c>
    </row>
    <row ht="14.95">
      <c t="s">
        <v>96</v>
      </c>
      <c>
        <v>211</v>
      </c>
      <c>
        <v>15892</v>
      </c>
    </row>
    <row ht="14.95">
      <c t="s">
        <v>442</v>
      </c>
      <c>
        <v>211</v>
      </c>
      <c>
        <v>18511</v>
      </c>
    </row>
    <row ht="14.95">
      <c t="s">
        <v>557</v>
      </c>
      <c>
        <v>1651</v>
      </c>
      <c>
        <v>21302</v>
      </c>
    </row>
    <row ht="14.95">
      <c t="s">
        <v>293</v>
      </c>
      <c>
        <v>1651</v>
      </c>
      <c>
        <v>24866</v>
      </c>
    </row>
    <row ht="14.95">
      <c t="s">
        <v>17</v>
      </c>
      <c>
        <v>1651</v>
      </c>
      <c>
        <v>28228</v>
      </c>
    </row>
    <row ht="14.95">
      <c t="s">
        <v>334</v>
      </c>
      <c>
        <v>1651</v>
      </c>
      <c>
        <v>40872</v>
      </c>
    </row>
    <row ht="14.95">
      <c t="s">
        <v>58</v>
      </c>
      <c>
        <v>1651</v>
      </c>
      <c>
        <v>42807</v>
      </c>
    </row>
    <row ht="14.95">
      <c t="s">
        <v>407</v>
      </c>
      <c>
        <v>1651</v>
      </c>
      <c>
        <v>44055</v>
      </c>
    </row>
    <row ht="14.95">
      <c t="s">
        <v>131</v>
      </c>
      <c>
        <v>16510</v>
      </c>
      <c>
        <v>45907</v>
      </c>
    </row>
    <row ht="14.95">
      <c t="s">
        <v>480</v>
      </c>
      <c>
        <v>16510</v>
      </c>
      <c>
        <v>49085</v>
      </c>
    </row>
    <row ht="14.95">
      <c t="s">
        <v>211</v>
      </c>
      <c>
        <v>16510</v>
      </c>
      <c>
        <v>52685</v>
      </c>
    </row>
    <row ht="14.95">
      <c t="s">
        <v>558</v>
      </c>
      <c>
        <v>16510</v>
      </c>
      <c>
        <v>59765</v>
      </c>
    </row>
    <row ht="14.95">
      <c t="s">
        <v>77</v>
      </c>
      <c>
        <v>16510</v>
      </c>
      <c>
        <v>65291</v>
      </c>
    </row>
    <row ht="14.95">
      <c t="s">
        <v>426</v>
      </c>
      <c>
        <v>16510</v>
      </c>
      <c>
        <v>67782</v>
      </c>
    </row>
    <row ht="14.95">
      <c t="s">
        <v>110</v>
      </c>
      <c>
        <v>16510</v>
      </c>
      <c>
        <v>71575</v>
      </c>
    </row>
    <row ht="14.95">
      <c t="s">
        <v>457</v>
      </c>
      <c>
        <v>16510</v>
      </c>
      <c>
        <v>73554</v>
      </c>
    </row>
    <row ht="14.95">
      <c t="s">
        <v>190</v>
      </c>
      <c>
        <v>16510</v>
      </c>
      <c>
        <v>77009</v>
      </c>
    </row>
    <row ht="14.95">
      <c t="s">
        <v>132</v>
      </c>
      <c>
        <v>211</v>
      </c>
      <c>
        <v>13374</v>
      </c>
    </row>
    <row ht="14.95">
      <c t="s">
        <v>481</v>
      </c>
      <c>
        <v>211</v>
      </c>
      <c>
        <v>11533</v>
      </c>
    </row>
    <row ht="14.95">
      <c t="s">
        <v>212</v>
      </c>
      <c>
        <v>211</v>
      </c>
      <c>
        <v>16140</v>
      </c>
    </row>
    <row ht="14.95">
      <c t="s">
        <v>559</v>
      </c>
      <c>
        <v>211</v>
      </c>
      <c>
        <v>18591</v>
      </c>
    </row>
    <row ht="14.95">
      <c t="s">
        <v>18</v>
      </c>
      <c>
        <v>1651</v>
      </c>
      <c>
        <v>21603</v>
      </c>
    </row>
    <row ht="14.95">
      <c t="s">
        <v>373</v>
      </c>
      <c>
        <v>1651</v>
      </c>
      <c>
        <v>25021</v>
      </c>
    </row>
    <row ht="14.95">
      <c t="s">
        <v>97</v>
      </c>
      <c>
        <v>1651</v>
      </c>
      <c>
        <v>28957</v>
      </c>
    </row>
    <row ht="14.95">
      <c t="s">
        <v>443</v>
      </c>
      <c>
        <v>1651</v>
      </c>
      <c>
        <v>41345</v>
      </c>
    </row>
    <row ht="14.95">
      <c t="s">
        <v>173</v>
      </c>
      <c>
        <v>1651</v>
      </c>
      <c>
        <v>43492</v>
      </c>
    </row>
    <row ht="14.95">
      <c t="s">
        <v>526</v>
      </c>
      <c>
        <v>1651</v>
      </c>
      <c>
        <v>44974</v>
      </c>
    </row>
    <row ht="14.95">
      <c t="s">
        <v>254</v>
      </c>
      <c>
        <v>16510</v>
      </c>
      <c>
        <v>45989</v>
      </c>
    </row>
    <row ht="14.95">
      <c t="s">
        <v>598</v>
      </c>
      <c>
        <v>16510</v>
      </c>
      <c>
        <v>51047</v>
      </c>
    </row>
    <row ht="14.95">
      <c t="s">
        <v>335</v>
      </c>
      <c>
        <v>16510</v>
      </c>
      <c>
        <v>55605</v>
      </c>
    </row>
    <row ht="14.95">
      <c t="s">
        <v>59</v>
      </c>
      <c>
        <v>16510</v>
      </c>
      <c>
        <v>61745</v>
      </c>
    </row>
    <row ht="14.95">
      <c t="s">
        <v>148</v>
      </c>
      <c>
        <v>16510</v>
      </c>
      <c>
        <v>66269</v>
      </c>
    </row>
    <row ht="14.95">
      <c t="s">
        <v>503</v>
      </c>
      <c>
        <v>16510</v>
      </c>
      <c>
        <v>68532</v>
      </c>
    </row>
    <row ht="14.95">
      <c t="s">
        <v>233</v>
      </c>
      <c>
        <v>16510</v>
      </c>
      <c>
        <v>71229</v>
      </c>
    </row>
    <row ht="14.95">
      <c t="s">
        <v>579</v>
      </c>
      <c>
        <v>16510</v>
      </c>
      <c>
        <v>75054</v>
      </c>
    </row>
    <row ht="14.95">
      <c t="s">
        <v>314</v>
      </c>
      <c>
        <v>16510</v>
      </c>
      <c>
        <v>78613</v>
      </c>
    </row>
    <row ht="14.95">
      <c t="s">
        <v>213</v>
      </c>
      <c>
        <v>211</v>
      </c>
      <c>
        <v>3837</v>
      </c>
    </row>
    <row ht="14.95">
      <c t="s">
        <v>560</v>
      </c>
      <c>
        <v>211</v>
      </c>
      <c>
        <v>12822</v>
      </c>
    </row>
    <row ht="14.95">
      <c t="s">
        <v>294</v>
      </c>
      <c>
        <v>211</v>
      </c>
      <c>
        <v>15947</v>
      </c>
    </row>
    <row ht="14.95">
      <c t="s">
        <v>19</v>
      </c>
      <c>
        <v>211</v>
      </c>
      <c>
        <v>18478</v>
      </c>
    </row>
    <row ht="14.95">
      <c t="s">
        <v>98</v>
      </c>
      <c>
        <v>1651</v>
      </c>
      <c>
        <v>21337</v>
      </c>
    </row>
    <row ht="14.95">
      <c t="s">
        <v>444</v>
      </c>
      <c>
        <v>1651</v>
      </c>
      <c>
        <v>24961</v>
      </c>
    </row>
    <row ht="14.95">
      <c t="s">
        <v>174</v>
      </c>
      <c>
        <v>1651</v>
      </c>
      <c>
        <v>28309</v>
      </c>
    </row>
    <row ht="14.95">
      <c t="s">
        <v>527</v>
      </c>
      <c>
        <v>1651</v>
      </c>
      <c>
        <v>41475</v>
      </c>
    </row>
    <row ht="14.95">
      <c t="s">
        <v>255</v>
      </c>
      <c>
        <v>1651</v>
      </c>
      <c>
        <v>43476</v>
      </c>
    </row>
    <row ht="14.95">
      <c t="s">
        <v>599</v>
      </c>
      <c>
        <v>1651</v>
      </c>
      <c>
        <v>44856</v>
      </c>
    </row>
    <row ht="14.95">
      <c t="s">
        <v>336</v>
      </c>
      <c>
        <v>16510</v>
      </c>
      <c>
        <v>45790</v>
      </c>
    </row>
    <row ht="14.95">
      <c t="s">
        <v>60</v>
      </c>
      <c>
        <v>16510</v>
      </c>
      <c>
        <v>48828</v>
      </c>
    </row>
    <row ht="14.95">
      <c t="s">
        <v>408</v>
      </c>
      <c>
        <v>16510</v>
      </c>
      <c>
        <v>52713</v>
      </c>
    </row>
    <row ht="14.95">
      <c t="s">
        <v>133</v>
      </c>
      <c>
        <v>16510</v>
      </c>
      <c>
        <v>60469</v>
      </c>
    </row>
    <row ht="14.95">
      <c t="s">
        <v>230</v>
      </c>
      <c>
        <v>16510</v>
      </c>
      <c>
        <v>65592</v>
      </c>
    </row>
    <row ht="14.95">
      <c t="s">
        <v>576</v>
      </c>
      <c>
        <v>16510</v>
      </c>
      <c>
        <v>67927</v>
      </c>
    </row>
    <row ht="14.95">
      <c t="s">
        <v>310</v>
      </c>
      <c>
        <v>16510</v>
      </c>
      <c>
        <v>71290</v>
      </c>
    </row>
    <row ht="14.95">
      <c t="s">
        <v>36</v>
      </c>
      <c>
        <v>16510</v>
      </c>
      <c>
        <v>75166</v>
      </c>
    </row>
    <row ht="14.95">
      <c t="s">
        <v>391</v>
      </c>
      <c>
        <v>16510</v>
      </c>
      <c>
        <v>77143</v>
      </c>
    </row>
    <row ht="14.95">
      <c t="s">
        <v>295</v>
      </c>
      <c>
        <v>211</v>
      </c>
      <c>
        <v>8889</v>
      </c>
    </row>
    <row ht="14.95">
      <c t="s">
        <v>20</v>
      </c>
      <c>
        <v>211</v>
      </c>
      <c>
        <v>11883</v>
      </c>
    </row>
    <row ht="14.95">
      <c t="s">
        <v>374</v>
      </c>
      <c>
        <v>211</v>
      </c>
      <c>
        <v>16175</v>
      </c>
    </row>
    <row ht="14.95">
      <c t="s">
        <v>99</v>
      </c>
      <c>
        <v>211</v>
      </c>
      <c>
        <v>19849</v>
      </c>
    </row>
    <row ht="14.95">
      <c t="s">
        <v>214</v>
      </c>
      <c>
        <v>1651</v>
      </c>
      <c>
        <v>21567</v>
      </c>
    </row>
    <row ht="14.95">
      <c t="s">
        <v>561</v>
      </c>
      <c>
        <v>1651</v>
      </c>
      <c>
        <v>24898</v>
      </c>
    </row>
    <row ht="14.95">
      <c t="s">
        <v>296</v>
      </c>
      <c>
        <v>1651</v>
      </c>
      <c>
        <v>29052</v>
      </c>
    </row>
    <row ht="14.95">
      <c t="s">
        <v>600</v>
      </c>
      <c>
        <v>1651</v>
      </c>
      <c>
        <v>41649</v>
      </c>
    </row>
    <row ht="14.95">
      <c t="s">
        <v>337</v>
      </c>
      <c>
        <v>1651</v>
      </c>
      <c>
        <v>43351</v>
      </c>
    </row>
    <row ht="14.95">
      <c t="s">
        <v>61</v>
      </c>
      <c>
        <v>1651</v>
      </c>
      <c>
        <v>44966</v>
      </c>
    </row>
    <row ht="14.95">
      <c t="s">
        <v>409</v>
      </c>
      <c>
        <v>16510</v>
      </c>
      <c>
        <v>46722</v>
      </c>
    </row>
    <row ht="14.95">
      <c t="s">
        <v>134</v>
      </c>
      <c>
        <v>16510</v>
      </c>
      <c>
        <v>50767</v>
      </c>
    </row>
    <row ht="14.95">
      <c t="s">
        <v>482</v>
      </c>
      <c>
        <v>16510</v>
      </c>
      <c>
        <v>52170</v>
      </c>
    </row>
    <row ht="14.95">
      <c t="s">
        <v>215</v>
      </c>
      <c>
        <v>16510</v>
      </c>
      <c>
        <v>56925</v>
      </c>
    </row>
    <row ht="14.95">
      <c t="s">
        <v>351</v>
      </c>
      <c>
        <v>16510</v>
      </c>
      <c>
        <v>64953</v>
      </c>
    </row>
    <row ht="14.95">
      <c t="s">
        <v>80</v>
      </c>
      <c>
        <v>16510</v>
      </c>
      <c>
        <v>67649</v>
      </c>
    </row>
    <row ht="14.95">
      <c t="s">
        <v>429</v>
      </c>
      <c>
        <v>16510</v>
      </c>
      <c>
        <v>70335</v>
      </c>
    </row>
    <row ht="14.95">
      <c t="s">
        <v>112</v>
      </c>
      <c>
        <v>16510</v>
      </c>
      <c>
        <v>73252</v>
      </c>
    </row>
    <row ht="14.95">
      <c t="s">
        <v>460</v>
      </c>
      <c>
        <v>16510</v>
      </c>
      <c>
        <v>77976</v>
      </c>
    </row>
    <row ht="14.95">
      <c t="s">
        <v>410</v>
      </c>
      <c>
        <v>211</v>
      </c>
      <c>
        <v>3563</v>
      </c>
    </row>
    <row ht="14.95">
      <c t="s">
        <v>135</v>
      </c>
      <c>
        <v>211</v>
      </c>
      <c>
        <v>11491</v>
      </c>
    </row>
    <row ht="14.95">
      <c t="s">
        <v>483</v>
      </c>
      <c>
        <v>211</v>
      </c>
      <c>
        <v>16059</v>
      </c>
    </row>
    <row ht="14.95">
      <c t="s">
        <v>216</v>
      </c>
      <c>
        <v>211</v>
      </c>
      <c>
        <v>19066</v>
      </c>
    </row>
    <row ht="14.95">
      <c t="s">
        <v>297</v>
      </c>
      <c>
        <v>1651</v>
      </c>
      <c>
        <v>22028</v>
      </c>
    </row>
    <row ht="14.95">
      <c t="s">
        <v>21</v>
      </c>
      <c>
        <v>1651</v>
      </c>
      <c>
        <v>24949</v>
      </c>
    </row>
    <row ht="14.95">
      <c t="s">
        <v>375</v>
      </c>
      <c>
        <v>1651</v>
      </c>
      <c>
        <v>28301</v>
      </c>
    </row>
    <row ht="14.95">
      <c t="s">
        <v>100</v>
      </c>
      <c>
        <v>1651</v>
      </c>
      <c>
        <v>40927</v>
      </c>
    </row>
    <row ht="14.95">
      <c t="s">
        <v>445</v>
      </c>
      <c>
        <v>1651</v>
      </c>
      <c>
        <v>43367</v>
      </c>
    </row>
    <row ht="14.95">
      <c t="s">
        <v>175</v>
      </c>
      <c>
        <v>1651</v>
      </c>
      <c>
        <v>44874</v>
      </c>
    </row>
    <row ht="14.95">
      <c t="s">
        <v>528</v>
      </c>
      <c>
        <v>16510</v>
      </c>
      <c>
        <v>46794</v>
      </c>
    </row>
    <row ht="14.95">
      <c t="s">
        <v>256</v>
      </c>
      <c>
        <v>16510</v>
      </c>
      <c>
        <v>50981</v>
      </c>
    </row>
    <row ht="14.95">
      <c t="s">
        <v>601</v>
      </c>
      <c>
        <v>16510</v>
      </c>
      <c>
        <v>52365</v>
      </c>
    </row>
    <row ht="14.95">
      <c t="s">
        <v>338</v>
      </c>
      <c>
        <v>16510</v>
      </c>
      <c>
        <v>59529</v>
      </c>
    </row>
    <row ht="14.95">
      <c t="s">
        <v>424</v>
      </c>
      <c>
        <v>16510</v>
      </c>
      <c>
        <v>65227</v>
      </c>
    </row>
    <row ht="14.95">
      <c t="s">
        <v>151</v>
      </c>
      <c>
        <v>16510</v>
      </c>
      <c>
        <v>67689</v>
      </c>
    </row>
    <row ht="14.95">
      <c t="s">
        <v>505</v>
      </c>
      <c>
        <v>16510</v>
      </c>
      <c>
        <v>71670</v>
      </c>
    </row>
    <row ht="14.95">
      <c t="s">
        <v>235</v>
      </c>
      <c>
        <v>16510</v>
      </c>
      <c>
        <v>75873</v>
      </c>
    </row>
    <row ht="14.95">
      <c t="s">
        <v>582</v>
      </c>
      <c>
        <v>16510</v>
      </c>
      <c>
        <v>78633</v>
      </c>
    </row>
    <row ht="14.95">
      <c t="s">
        <v>376</v>
      </c>
      <c>
        <v>1651</v>
      </c>
      <c>
        <v>23405</v>
      </c>
    </row>
    <row ht="14.95">
      <c t="s">
        <v>101</v>
      </c>
      <c>
        <v>1651</v>
      </c>
      <c>
        <v>24809</v>
      </c>
    </row>
    <row ht="14.95">
      <c t="s">
        <v>446</v>
      </c>
      <c>
        <v>1651</v>
      </c>
      <c>
        <v>28169</v>
      </c>
    </row>
    <row ht="14.95">
      <c t="s">
        <v>176</v>
      </c>
      <c>
        <v>1651</v>
      </c>
      <c>
        <v>40748</v>
      </c>
    </row>
    <row ht="14.95">
      <c t="s">
        <v>529</v>
      </c>
      <c>
        <v>1651</v>
      </c>
      <c>
        <v>43332</v>
      </c>
    </row>
    <row ht="14.95">
      <c t="s">
        <v>257</v>
      </c>
      <c>
        <v>1651</v>
      </c>
      <c>
        <v>45016</v>
      </c>
    </row>
    <row ht="14.95">
      <c t="s">
        <v>602</v>
      </c>
      <c>
        <v>16510</v>
      </c>
      <c>
        <v>46705</v>
      </c>
    </row>
    <row ht="14.95">
      <c t="s">
        <v>339</v>
      </c>
      <c>
        <v>16510</v>
      </c>
      <c>
        <v>48666</v>
      </c>
    </row>
    <row ht="14.95">
      <c t="s">
        <v>62</v>
      </c>
      <c>
        <v>16510</v>
      </c>
      <c>
        <v>54805</v>
      </c>
    </row>
    <row ht="14.95">
      <c t="s">
        <v>411</v>
      </c>
      <c>
        <v>16510</v>
      </c>
      <c>
        <v>57105</v>
      </c>
    </row>
    <row ht="14.95">
      <c t="s">
        <v>501</v>
      </c>
      <c>
        <v>16510</v>
      </c>
      <c>
        <v>64981</v>
      </c>
    </row>
    <row ht="14.95">
      <c t="s">
        <v>232</v>
      </c>
      <c>
        <v>16510</v>
      </c>
      <c>
        <v>67549</v>
      </c>
    </row>
    <row ht="14.95">
      <c t="s">
        <v>578</v>
      </c>
      <c>
        <v>16510</v>
      </c>
      <c>
        <v>69974</v>
      </c>
    </row>
    <row ht="14.95">
      <c t="s">
        <v>312</v>
      </c>
      <c>
        <v>16510</v>
      </c>
      <c>
        <v>73352</v>
      </c>
    </row>
    <row ht="14.95">
      <c t="s">
        <v>39</v>
      </c>
      <c>
        <v>16510</v>
      </c>
      <c>
        <v>78053</v>
      </c>
    </row>
    <row ht="14.95">
      <c t="s">
        <v>562</v>
      </c>
      <c>
        <v>211</v>
      </c>
      <c>
        <v>5246</v>
      </c>
    </row>
    <row ht="14.95">
      <c t="s">
        <v>298</v>
      </c>
      <c>
        <v>211</v>
      </c>
      <c>
        <v>12571</v>
      </c>
    </row>
    <row ht="14.95">
      <c t="s">
        <v>22</v>
      </c>
      <c>
        <v>211</v>
      </c>
      <c>
        <v>16898</v>
      </c>
    </row>
    <row ht="14.95">
      <c t="s">
        <v>377</v>
      </c>
      <c>
        <v>211</v>
      </c>
      <c>
        <v>19235</v>
      </c>
    </row>
    <row ht="14.95">
      <c t="s">
        <v>484</v>
      </c>
      <c>
        <v>1651</v>
      </c>
      <c>
        <v>21898</v>
      </c>
    </row>
    <row ht="14.95">
      <c t="s">
        <v>217</v>
      </c>
      <c>
        <v>1651</v>
      </c>
      <c>
        <v>25193</v>
      </c>
    </row>
    <row ht="14.95">
      <c t="s">
        <v>563</v>
      </c>
      <c>
        <v>1651</v>
      </c>
      <c>
        <v>28530</v>
      </c>
    </row>
    <row ht="14.95">
      <c t="s">
        <v>258</v>
      </c>
      <c>
        <v>1651</v>
      </c>
      <c>
        <v>41296</v>
      </c>
    </row>
    <row ht="14.95">
      <c t="s">
        <v>603</v>
      </c>
      <c>
        <v>1651</v>
      </c>
      <c>
        <v>43409</v>
      </c>
    </row>
    <row ht="14.95">
      <c t="s">
        <v>340</v>
      </c>
      <c>
        <v>1651</v>
      </c>
      <c>
        <v>45051</v>
      </c>
    </row>
    <row ht="14.95">
      <c t="s">
        <v>63</v>
      </c>
      <c>
        <v>16510</v>
      </c>
      <c>
        <v>46188</v>
      </c>
    </row>
    <row ht="14.95">
      <c t="s">
        <v>412</v>
      </c>
      <c>
        <v>16510</v>
      </c>
      <c>
        <v>51165</v>
      </c>
    </row>
    <row ht="14.95">
      <c t="s">
        <v>136</v>
      </c>
      <c>
        <v>16510</v>
      </c>
      <c>
        <v>55045</v>
      </c>
    </row>
    <row ht="14.95">
      <c t="s">
        <v>485</v>
      </c>
      <c>
        <v>16510</v>
      </c>
      <c>
        <v>63565</v>
      </c>
    </row>
    <row ht="14.95">
      <c t="s">
        <v>613</v>
      </c>
      <c>
        <v>16510</v>
      </c>
      <c>
        <v>65645</v>
      </c>
    </row>
    <row ht="14.95">
      <c t="s">
        <v>353</v>
      </c>
      <c>
        <v>16510</v>
      </c>
      <c>
        <v>68789</v>
      </c>
    </row>
    <row ht="14.95">
      <c t="s">
        <v>82</v>
      </c>
      <c>
        <v>16510</v>
      </c>
      <c>
        <v>70810</v>
      </c>
    </row>
    <row ht="14.95">
      <c t="s">
        <v>389</v>
      </c>
      <c>
        <v>16510</v>
      </c>
      <c>
        <v>75099</v>
      </c>
    </row>
    <row ht="14.95">
      <c t="s">
        <v>114</v>
      </c>
      <c>
        <v>16510</v>
      </c>
      <c>
        <v>78015</v>
      </c>
    </row>
    <row ht="14.95">
      <c t="s">
        <v>64</v>
      </c>
      <c>
        <v>211</v>
      </c>
      <c>
        <v>6332</v>
      </c>
    </row>
    <row ht="14.95">
      <c t="s">
        <v>413</v>
      </c>
      <c>
        <v>211</v>
      </c>
      <c>
        <v>13370</v>
      </c>
    </row>
    <row ht="14.95">
      <c t="s">
        <v>137</v>
      </c>
      <c>
        <v>211</v>
      </c>
      <c>
        <v>16684</v>
      </c>
    </row>
    <row ht="14.95">
      <c t="s">
        <v>486</v>
      </c>
      <c>
        <v>211</v>
      </c>
      <c>
        <v>19143</v>
      </c>
    </row>
    <row ht="14.95">
      <c t="s">
        <v>564</v>
      </c>
      <c>
        <v>1651</v>
      </c>
      <c>
        <v>21602</v>
      </c>
    </row>
    <row ht="14.95">
      <c t="s">
        <v>299</v>
      </c>
      <c>
        <v>1651</v>
      </c>
      <c>
        <v>25108</v>
      </c>
    </row>
    <row ht="14.95">
      <c t="s">
        <v>23</v>
      </c>
      <c>
        <v>1651</v>
      </c>
      <c>
        <v>28253</v>
      </c>
    </row>
    <row ht="14.95">
      <c t="s">
        <v>378</v>
      </c>
      <c>
        <v>1651</v>
      </c>
      <c>
        <v>41482</v>
      </c>
    </row>
    <row ht="14.95">
      <c t="s">
        <v>102</v>
      </c>
      <c>
        <v>1651</v>
      </c>
      <c>
        <v>42568</v>
      </c>
    </row>
    <row ht="14.95">
      <c t="s">
        <v>447</v>
      </c>
      <c>
        <v>1651</v>
      </c>
      <c>
        <v>44885</v>
      </c>
    </row>
    <row ht="14.95">
      <c t="s">
        <v>177</v>
      </c>
      <c>
        <v>16510</v>
      </c>
      <c>
        <v>45829</v>
      </c>
    </row>
    <row ht="14.95">
      <c t="s">
        <v>530</v>
      </c>
      <c>
        <v>16510</v>
      </c>
      <c>
        <v>49266</v>
      </c>
    </row>
    <row ht="14.95">
      <c t="s">
        <v>259</v>
      </c>
      <c>
        <v>16510</v>
      </c>
      <c>
        <v>52885</v>
      </c>
    </row>
    <row ht="14.95">
      <c t="s">
        <v>604</v>
      </c>
      <c>
        <v>16510</v>
      </c>
      <c>
        <v>61825</v>
      </c>
    </row>
    <row ht="14.95">
      <c t="s">
        <v>78</v>
      </c>
      <c>
        <v>16510</v>
      </c>
      <c>
        <v>65680</v>
      </c>
    </row>
    <row ht="14.95">
      <c t="s">
        <v>427</v>
      </c>
      <c>
        <v>16510</v>
      </c>
      <c>
        <v>67592</v>
      </c>
    </row>
    <row ht="14.95">
      <c t="s">
        <v>153</v>
      </c>
      <c>
        <v>16510</v>
      </c>
      <c>
        <v>70709</v>
      </c>
    </row>
    <row ht="14.95">
      <c t="s">
        <v>507</v>
      </c>
      <c>
        <v>16510</v>
      </c>
      <c>
        <v>73674</v>
      </c>
    </row>
    <row ht="14.95">
      <c t="s">
        <v>237</v>
      </c>
      <c>
        <v>16510</v>
      </c>
      <c>
        <v>78673</v>
      </c>
    </row>
    <row ht="14.95">
      <c t="s">
        <v>138</v>
      </c>
      <c>
        <v>211</v>
      </c>
      <c>
        <v>4497</v>
      </c>
    </row>
    <row ht="14.95">
      <c t="s">
        <v>487</v>
      </c>
      <c>
        <v>211</v>
      </c>
      <c>
        <v>13732</v>
      </c>
    </row>
    <row ht="14.95">
      <c t="s">
        <v>218</v>
      </c>
      <c>
        <v>211</v>
      </c>
      <c>
        <v>17162</v>
      </c>
    </row>
    <row ht="14.95">
      <c t="s">
        <v>565</v>
      </c>
      <c>
        <v>211</v>
      </c>
      <c>
        <v>19180</v>
      </c>
    </row>
    <row ht="14.95">
      <c t="s">
        <v>24</v>
      </c>
      <c>
        <v>1651</v>
      </c>
      <c>
        <v>21931</v>
      </c>
    </row>
    <row ht="14.95">
      <c t="s">
        <v>379</v>
      </c>
      <c>
        <v>1651</v>
      </c>
      <c>
        <v>25761</v>
      </c>
    </row>
    <row ht="14.95">
      <c t="s">
        <v>103</v>
      </c>
      <c>
        <v>1651</v>
      </c>
      <c>
        <v>29191</v>
      </c>
    </row>
    <row ht="14.95">
      <c t="s">
        <v>448</v>
      </c>
      <c>
        <v>1651</v>
      </c>
      <c>
        <v>41353</v>
      </c>
    </row>
    <row ht="14.95">
      <c t="s">
        <v>178</v>
      </c>
      <c>
        <v>1651</v>
      </c>
      <c>
        <v>43389</v>
      </c>
    </row>
    <row ht="14.95">
      <c t="s">
        <v>531</v>
      </c>
      <c>
        <v>1651</v>
      </c>
      <c>
        <v>45151</v>
      </c>
    </row>
    <row ht="14.95">
      <c t="s">
        <v>260</v>
      </c>
      <c>
        <v>16510</v>
      </c>
      <c>
        <v>46728</v>
      </c>
    </row>
    <row ht="14.95">
      <c t="s">
        <v>605</v>
      </c>
      <c>
        <v>16510</v>
      </c>
      <c>
        <v>48245</v>
      </c>
    </row>
    <row ht="14.95">
      <c t="s">
        <v>341</v>
      </c>
      <c>
        <v>16510</v>
      </c>
      <c>
        <v>52717</v>
      </c>
    </row>
    <row ht="14.95">
      <c t="s">
        <v>65</v>
      </c>
      <c>
        <v>16510</v>
      </c>
      <c>
        <v>60866</v>
      </c>
    </row>
    <row ht="14.95">
      <c t="s">
        <v>149</v>
      </c>
      <c>
        <v>16510</v>
      </c>
      <c>
        <v>65138</v>
      </c>
    </row>
    <row ht="14.95">
      <c t="s">
        <v>504</v>
      </c>
      <c>
        <v>16510</v>
      </c>
      <c>
        <v>68429</v>
      </c>
    </row>
    <row ht="14.95">
      <c t="s">
        <v>234</v>
      </c>
      <c>
        <v>16510</v>
      </c>
      <c>
        <v>70150</v>
      </c>
    </row>
    <row ht="14.95">
      <c t="s">
        <v>580</v>
      </c>
      <c>
        <v>16510</v>
      </c>
      <c>
        <v>75835</v>
      </c>
    </row>
    <row ht="14.95">
      <c t="s">
        <v>315</v>
      </c>
      <c>
        <v>16510</v>
      </c>
      <c>
        <v>78692</v>
      </c>
    </row>
    <row ht="14.95">
      <c t="s">
        <v>219</v>
      </c>
      <c>
        <v>211</v>
      </c>
      <c>
        <v>4372</v>
      </c>
    </row>
    <row ht="14.95">
      <c t="s">
        <v>566</v>
      </c>
      <c>
        <v>211</v>
      </c>
      <c>
        <v>12128</v>
      </c>
    </row>
    <row ht="14.95">
      <c t="s">
        <v>300</v>
      </c>
      <c>
        <v>211</v>
      </c>
      <c>
        <v>17005</v>
      </c>
    </row>
    <row ht="14.95">
      <c t="s">
        <v>25</v>
      </c>
      <c>
        <v>211</v>
      </c>
      <c>
        <v>19222</v>
      </c>
    </row>
    <row ht="14.95">
      <c t="s">
        <v>139</v>
      </c>
      <c>
        <v>1651</v>
      </c>
      <c>
        <v>23060</v>
      </c>
    </row>
    <row ht="14.95">
      <c t="s">
        <v>488</v>
      </c>
      <c>
        <v>1651</v>
      </c>
      <c>
        <v>25036</v>
      </c>
    </row>
    <row ht="14.95">
      <c t="s">
        <v>220</v>
      </c>
      <c>
        <v>1651</v>
      </c>
      <c>
        <v>28494</v>
      </c>
    </row>
    <row ht="14.95">
      <c t="s">
        <v>532</v>
      </c>
      <c>
        <v>1651</v>
      </c>
      <c>
        <v>41650</v>
      </c>
    </row>
    <row ht="14.95">
      <c t="s">
        <v>261</v>
      </c>
      <c>
        <v>1651</v>
      </c>
      <c>
        <v>43446</v>
      </c>
    </row>
    <row ht="14.95">
      <c t="s">
        <v>606</v>
      </c>
      <c>
        <v>1651</v>
      </c>
      <c>
        <v>45148</v>
      </c>
    </row>
    <row ht="14.95">
      <c t="s">
        <v>342</v>
      </c>
      <c>
        <v>16510</v>
      </c>
      <c>
        <v>46788</v>
      </c>
    </row>
    <row ht="14.95">
      <c t="s">
        <v>66</v>
      </c>
      <c>
        <v>16510</v>
      </c>
      <c>
        <v>50776</v>
      </c>
    </row>
    <row ht="14.95">
      <c t="s">
        <v>414</v>
      </c>
      <c>
        <v>16510</v>
      </c>
      <c>
        <v>53446</v>
      </c>
    </row>
    <row ht="14.95">
      <c t="s">
        <v>140</v>
      </c>
      <c>
        <v>16510</v>
      </c>
      <c>
        <v>62785</v>
      </c>
    </row>
    <row ht="14.95">
      <c t="s">
        <v>269</v>
      </c>
      <c>
        <v>16510</v>
      </c>
      <c>
        <v>65608</v>
      </c>
    </row>
    <row ht="14.95">
      <c t="s">
        <v>615</v>
      </c>
      <c>
        <v>16510</v>
      </c>
      <c>
        <v>67739</v>
      </c>
    </row>
    <row ht="14.95">
      <c t="s">
        <v>355</v>
      </c>
      <c>
        <v>16510</v>
      </c>
      <c>
        <v>71889</v>
      </c>
    </row>
    <row ht="14.95">
      <c t="s">
        <v>37</v>
      </c>
      <c>
        <v>16510</v>
      </c>
      <c>
        <v>75344</v>
      </c>
    </row>
    <row ht="14.95">
      <c t="s">
        <v>392</v>
      </c>
      <c>
        <v>16510</v>
      </c>
      <c>
        <v>78833</v>
      </c>
    </row>
    <row ht="14.95">
      <c t="s">
        <v>415</v>
      </c>
      <c>
        <v>211</v>
      </c>
      <c>
        <v>3020</v>
      </c>
    </row>
    <row ht="14.95">
      <c t="s">
        <v>141</v>
      </c>
      <c>
        <v>211</v>
      </c>
      <c>
        <v>12536</v>
      </c>
    </row>
    <row ht="14.95">
      <c t="s">
        <v>489</v>
      </c>
      <c>
        <v>211</v>
      </c>
      <c>
        <v>16391</v>
      </c>
    </row>
    <row ht="14.95">
      <c t="s">
        <v>221</v>
      </c>
      <c>
        <v>211</v>
      </c>
      <c>
        <v>19370</v>
      </c>
    </row>
    <row ht="14.95">
      <c t="s">
        <v>301</v>
      </c>
      <c>
        <v>1651</v>
      </c>
      <c>
        <v>23417</v>
      </c>
    </row>
    <row ht="14.95">
      <c t="s">
        <v>380</v>
      </c>
      <c>
        <v>1651</v>
      </c>
      <c>
        <v>30024</v>
      </c>
    </row>
    <row ht="14.95">
      <c t="s">
        <v>104</v>
      </c>
      <c>
        <v>1651</v>
      </c>
      <c>
        <v>41692</v>
      </c>
    </row>
    <row ht="14.95">
      <c t="s">
        <v>449</v>
      </c>
      <c>
        <v>1651</v>
      </c>
      <c>
        <v>43563</v>
      </c>
    </row>
    <row ht="14.95">
      <c t="s">
        <v>179</v>
      </c>
      <c>
        <v>1651</v>
      </c>
      <c>
        <v>45069</v>
      </c>
    </row>
    <row ht="14.95">
      <c t="s">
        <v>533</v>
      </c>
      <c>
        <v>16510</v>
      </c>
      <c>
        <v>46995</v>
      </c>
    </row>
    <row ht="14.95">
      <c t="s">
        <v>262</v>
      </c>
      <c>
        <v>16510</v>
      </c>
      <c>
        <v>51445</v>
      </c>
    </row>
    <row ht="14.95">
      <c t="s">
        <v>607</v>
      </c>
      <c>
        <v>16510</v>
      </c>
      <c>
        <v>53665</v>
      </c>
    </row>
    <row ht="14.95">
      <c t="s">
        <v>343</v>
      </c>
      <c>
        <v>16510</v>
      </c>
      <c>
        <v>62805</v>
      </c>
    </row>
    <row ht="14.95">
      <c t="s">
        <v>425</v>
      </c>
      <c>
        <v>16510</v>
      </c>
      <c>
        <v>65447</v>
      </c>
    </row>
    <row ht="14.95">
      <c t="s">
        <v>152</v>
      </c>
      <c>
        <v>16510</v>
      </c>
      <c>
        <v>67839</v>
      </c>
    </row>
    <row ht="14.95">
      <c t="s">
        <v>506</v>
      </c>
      <c>
        <v>16510</v>
      </c>
      <c>
        <v>70611</v>
      </c>
    </row>
    <row ht="14.95">
      <c t="s">
        <v>236</v>
      </c>
      <c>
        <v>16510</v>
      </c>
      <c>
        <v>75673</v>
      </c>
    </row>
    <row ht="14.95">
      <c t="s">
        <v>583</v>
      </c>
      <c>
        <v>16510</v>
      </c>
      <c>
        <v>78712</v>
      </c>
    </row>
    <row ht="14.95">
      <c t="s">
        <v>490</v>
      </c>
      <c>
        <v>211</v>
      </c>
      <c>
        <v>3705</v>
      </c>
    </row>
    <row ht="14.95">
      <c t="s">
        <v>222</v>
      </c>
      <c>
        <v>211</v>
      </c>
      <c>
        <v>11242</v>
      </c>
    </row>
    <row ht="14.95">
      <c t="s">
        <v>567</v>
      </c>
      <c>
        <v>211</v>
      </c>
      <c>
        <v>15883</v>
      </c>
    </row>
    <row ht="14.95">
      <c t="s">
        <v>302</v>
      </c>
      <c>
        <v>211</v>
      </c>
      <c>
        <v>19059</v>
      </c>
    </row>
    <row ht="14.95">
      <c t="s">
        <v>416</v>
      </c>
      <c>
        <v>1651</v>
      </c>
      <c>
        <v>21847</v>
      </c>
    </row>
    <row ht="14.95">
      <c t="s">
        <v>142</v>
      </c>
      <c>
        <v>1651</v>
      </c>
      <c>
        <v>25238</v>
      </c>
    </row>
    <row ht="14.95">
      <c t="s">
        <v>491</v>
      </c>
      <c>
        <v>1651</v>
      </c>
      <c>
        <v>28948</v>
      </c>
    </row>
    <row ht="14.95">
      <c t="s">
        <v>223</v>
      </c>
      <c>
        <v>1651</v>
      </c>
      <c>
        <v>40684</v>
      </c>
    </row>
    <row ht="14.95">
      <c t="s">
        <v>534</v>
      </c>
      <c>
        <v>1651</v>
      </c>
      <c>
        <v>43531</v>
      </c>
    </row>
    <row ht="14.95">
      <c t="s">
        <v>263</v>
      </c>
      <c>
        <v>1651</v>
      </c>
      <c>
        <v>45231</v>
      </c>
    </row>
    <row ht="14.95">
      <c t="s">
        <v>608</v>
      </c>
      <c>
        <v>16510</v>
      </c>
      <c>
        <v>45796</v>
      </c>
    </row>
    <row ht="14.95">
      <c t="s">
        <v>344</v>
      </c>
      <c>
        <v>16510</v>
      </c>
      <c>
        <v>48585</v>
      </c>
    </row>
    <row ht="14.95">
      <c t="s">
        <v>67</v>
      </c>
      <c>
        <v>16510</v>
      </c>
      <c>
        <v>52649</v>
      </c>
    </row>
    <row ht="14.95">
      <c t="s">
        <v>417</v>
      </c>
      <c>
        <v>16510</v>
      </c>
      <c>
        <v>59166</v>
      </c>
    </row>
    <row ht="14.95">
      <c t="s">
        <v>541</v>
      </c>
      <c>
        <v>16510</v>
      </c>
      <c>
        <v>65402</v>
      </c>
    </row>
    <row ht="14.95">
      <c t="s">
        <v>271</v>
      </c>
      <c>
        <v>16510</v>
      </c>
      <c>
        <v>67693</v>
      </c>
    </row>
    <row ht="14.95">
      <c t="s">
        <v>617</v>
      </c>
      <c>
        <v>16510</v>
      </c>
      <c>
        <v>70489</v>
      </c>
    </row>
    <row ht="14.95">
      <c t="s">
        <v>313</v>
      </c>
      <c>
        <v>16510</v>
      </c>
      <c>
        <v>75351</v>
      </c>
    </row>
    <row ht="14.95">
      <c t="s">
        <v>40</v>
      </c>
      <c>
        <v>16510</v>
      </c>
      <c>
        <v>76852</v>
      </c>
    </row>
    <row ht="14.95">
      <c t="s">
        <v>609</v>
      </c>
      <c>
        <v>211</v>
      </c>
      <c>
        <v>4638</v>
      </c>
    </row>
    <row ht="14.95">
      <c t="s">
        <v>345</v>
      </c>
      <c>
        <v>211</v>
      </c>
      <c>
        <v>11730</v>
      </c>
    </row>
    <row ht="14.95">
      <c t="s">
        <v>68</v>
      </c>
      <c>
        <v>211</v>
      </c>
      <c>
        <v>16339</v>
      </c>
    </row>
    <row ht="14.95">
      <c t="s">
        <v>418</v>
      </c>
      <c>
        <v>211</v>
      </c>
      <c>
        <v>18774</v>
      </c>
    </row>
    <row ht="14.95">
      <c t="s">
        <v>492</v>
      </c>
      <c>
        <v>1651</v>
      </c>
      <c>
        <v>22914</v>
      </c>
    </row>
    <row ht="14.95">
      <c t="s">
        <v>224</v>
      </c>
      <c>
        <v>1651</v>
      </c>
      <c>
        <v>25095</v>
      </c>
    </row>
    <row ht="14.95">
      <c t="s">
        <v>568</v>
      </c>
      <c>
        <v>1651</v>
      </c>
      <c>
        <v>28505</v>
      </c>
    </row>
    <row ht="14.95">
      <c t="s">
        <v>303</v>
      </c>
      <c>
        <v>1651</v>
      </c>
      <c>
        <v>41108</v>
      </c>
    </row>
    <row ht="14.95">
      <c t="s">
        <v>26</v>
      </c>
      <c>
        <v>1651</v>
      </c>
      <c>
        <v>43448</v>
      </c>
    </row>
    <row ht="14.95">
      <c t="s">
        <v>381</v>
      </c>
      <c>
        <v>1651</v>
      </c>
      <c>
        <v>45032</v>
      </c>
    </row>
    <row ht="14.95">
      <c t="s">
        <v>105</v>
      </c>
      <c>
        <v>16510</v>
      </c>
      <c>
        <v>46049</v>
      </c>
    </row>
    <row ht="14.95">
      <c t="s">
        <v>450</v>
      </c>
      <c>
        <v>16510</v>
      </c>
      <c>
        <v>49594</v>
      </c>
    </row>
    <row ht="14.95">
      <c t="s">
        <v>180</v>
      </c>
      <c>
        <v>16510</v>
      </c>
      <c>
        <v>52996</v>
      </c>
    </row>
    <row ht="14.95">
      <c t="s">
        <v>535</v>
      </c>
      <c>
        <v>16510</v>
      </c>
      <c>
        <v>57825</v>
      </c>
    </row>
    <row ht="14.95">
      <c t="s">
        <v>614</v>
      </c>
      <c>
        <v>16510</v>
      </c>
      <c>
        <v>65336</v>
      </c>
    </row>
    <row ht="14.95">
      <c t="s">
        <v>354</v>
      </c>
      <c>
        <v>16510</v>
      </c>
      <c>
        <v>68050</v>
      </c>
    </row>
    <row ht="14.95">
      <c t="s">
        <v>83</v>
      </c>
      <c>
        <v>16510</v>
      </c>
      <c>
        <v>70396</v>
      </c>
    </row>
    <row ht="14.95">
      <c t="s">
        <v>431</v>
      </c>
      <c>
        <v>16510</v>
      </c>
      <c>
        <v>75352</v>
      </c>
    </row>
    <row ht="14.95">
      <c t="s">
        <v>156</v>
      </c>
      <c>
        <v>16510</v>
      </c>
      <c>
        <v>77454</v>
      </c>
    </row>
    <row ht="14.95">
      <c t="s">
        <v>69</v>
      </c>
      <c>
        <v>211</v>
      </c>
      <c>
        <v>4472</v>
      </c>
    </row>
    <row ht="14.95">
      <c t="s">
        <v>419</v>
      </c>
      <c>
        <v>211</v>
      </c>
      <c>
        <v>14320</v>
      </c>
    </row>
    <row ht="14.95">
      <c t="s">
        <v>143</v>
      </c>
      <c>
        <v>211</v>
      </c>
      <c>
        <v>16205</v>
      </c>
    </row>
    <row ht="14.95">
      <c t="s">
        <v>493</v>
      </c>
      <c>
        <v>211</v>
      </c>
      <c>
        <v>18985</v>
      </c>
    </row>
    <row ht="14.95">
      <c t="s">
        <v>569</v>
      </c>
      <c>
        <v>1651</v>
      </c>
      <c>
        <v>21942</v>
      </c>
    </row>
    <row ht="14.95">
      <c t="s">
        <v>304</v>
      </c>
      <c>
        <v>1651</v>
      </c>
      <c>
        <v>24997</v>
      </c>
    </row>
    <row ht="14.95">
      <c t="s">
        <v>27</v>
      </c>
      <c>
        <v>1651</v>
      </c>
      <c>
        <v>29156</v>
      </c>
    </row>
    <row ht="14.95">
      <c t="s">
        <v>382</v>
      </c>
      <c>
        <v>1651</v>
      </c>
      <c>
        <v>41187</v>
      </c>
    </row>
    <row ht="14.95">
      <c t="s">
        <v>106</v>
      </c>
      <c>
        <v>1651</v>
      </c>
      <c>
        <v>43466</v>
      </c>
    </row>
    <row ht="14.95">
      <c t="s">
        <v>451</v>
      </c>
      <c>
        <v>1651</v>
      </c>
      <c>
        <v>45106</v>
      </c>
    </row>
    <row ht="14.95">
      <c t="s">
        <v>181</v>
      </c>
      <c>
        <v>16510</v>
      </c>
      <c>
        <v>46831</v>
      </c>
    </row>
    <row ht="14.95">
      <c t="s">
        <v>536</v>
      </c>
      <c>
        <v>16510</v>
      </c>
      <c>
        <v>51325</v>
      </c>
    </row>
    <row ht="14.95">
      <c t="s">
        <v>264</v>
      </c>
      <c>
        <v>16510</v>
      </c>
      <c>
        <v>53018</v>
      </c>
    </row>
    <row ht="14.95">
      <c t="s">
        <v>610</v>
      </c>
      <c>
        <v>16510</v>
      </c>
      <c>
        <v>59325</v>
      </c>
    </row>
    <row ht="14.95">
      <c t="s">
        <v>79</v>
      </c>
      <c>
        <v>16510</v>
      </c>
      <c>
        <v>66177</v>
      </c>
    </row>
    <row ht="14.95">
      <c t="s">
        <v>428</v>
      </c>
      <c>
        <v>16510</v>
      </c>
      <c>
        <v>68170</v>
      </c>
    </row>
    <row ht="14.95">
      <c t="s">
        <v>154</v>
      </c>
      <c>
        <v>16510</v>
      </c>
      <c>
        <v>71892</v>
      </c>
    </row>
    <row ht="14.95">
      <c t="s">
        <v>508</v>
      </c>
      <c>
        <v>16510</v>
      </c>
      <c>
        <v>75472</v>
      </c>
    </row>
    <row ht="14.95">
      <c t="s">
        <v>238</v>
      </c>
      <c>
        <v>16510</v>
      </c>
      <c>
        <v>77541</v>
      </c>
    </row>
    <row ht="14.95">
      <c t="s">
        <v>144</v>
      </c>
      <c>
        <v>211</v>
      </c>
      <c>
        <v>4442</v>
      </c>
    </row>
    <row ht="14.95">
      <c t="s">
        <v>494</v>
      </c>
      <c>
        <v>211</v>
      </c>
      <c>
        <v>12674</v>
      </c>
    </row>
    <row ht="14.95">
      <c t="s">
        <v>225</v>
      </c>
      <c>
        <v>211</v>
      </c>
      <c>
        <v>16276</v>
      </c>
    </row>
    <row ht="14.95">
      <c t="s">
        <v>570</v>
      </c>
      <c>
        <v>211</v>
      </c>
      <c>
        <v>18612</v>
      </c>
    </row>
    <row ht="14.95">
      <c t="s">
        <v>70</v>
      </c>
      <c>
        <v>1651</v>
      </c>
      <c>
        <v>21372</v>
      </c>
    </row>
    <row ht="14.95">
      <c t="s">
        <v>420</v>
      </c>
      <c>
        <v>1651</v>
      </c>
      <c>
        <v>24756</v>
      </c>
    </row>
    <row ht="14.95">
      <c t="s">
        <v>145</v>
      </c>
      <c>
        <v>1651</v>
      </c>
      <c>
        <v>29288</v>
      </c>
    </row>
    <row ht="14.95">
      <c t="s">
        <v>495</v>
      </c>
      <c>
        <v>1651</v>
      </c>
      <c>
        <v>41327</v>
      </c>
    </row>
    <row ht="14.95">
      <c t="s">
        <v>182</v>
      </c>
      <c>
        <v>1651</v>
      </c>
      <c>
        <v>43240</v>
      </c>
    </row>
    <row ht="14.95">
      <c t="s">
        <v>537</v>
      </c>
      <c>
        <v>1651</v>
      </c>
      <c>
        <v>45212</v>
      </c>
    </row>
    <row ht="14.95">
      <c t="s">
        <v>265</v>
      </c>
      <c>
        <v>16510</v>
      </c>
      <c>
        <v>45772</v>
      </c>
    </row>
    <row ht="14.95">
      <c t="s">
        <v>611</v>
      </c>
      <c>
        <v>16510</v>
      </c>
      <c>
        <v>51245</v>
      </c>
    </row>
    <row ht="14.95">
      <c t="s">
        <v>346</v>
      </c>
      <c>
        <v>16510</v>
      </c>
      <c>
        <v>52363</v>
      </c>
    </row>
    <row ht="14.95">
      <c t="s">
        <v>71</v>
      </c>
      <c>
        <v>16510</v>
      </c>
      <c>
        <v>60605</v>
      </c>
    </row>
    <row ht="14.95">
      <c t="s">
        <v>186</v>
      </c>
      <c>
        <v>16510</v>
      </c>
      <c>
        <v>66000</v>
      </c>
    </row>
    <row ht="14.95">
      <c t="s">
        <v>543</v>
      </c>
      <c>
        <v>16510</v>
      </c>
      <c>
        <v>67865</v>
      </c>
    </row>
    <row ht="14.95">
      <c t="s">
        <v>272</v>
      </c>
      <c>
        <v>16510</v>
      </c>
      <c>
        <v>71432</v>
      </c>
    </row>
    <row ht="14.95">
      <c t="s">
        <v>581</v>
      </c>
      <c>
        <v>16510</v>
      </c>
      <c>
        <v>74638</v>
      </c>
    </row>
    <row ht="14.95">
      <c t="s">
        <v>316</v>
      </c>
      <c>
        <v>16510</v>
      </c>
      <c>
        <v>78256</v>
      </c>
    </row>
    <row ht="14.95">
      <c t="s">
        <v>266</v>
      </c>
      <c>
        <v>211</v>
      </c>
      <c>
        <v>3578</v>
      </c>
    </row>
    <row ht="14.95">
      <c t="s">
        <v>612</v>
      </c>
      <c>
        <v>211</v>
      </c>
      <c>
        <v>11081</v>
      </c>
    </row>
    <row ht="14.95">
      <c t="s">
        <v>347</v>
      </c>
      <c>
        <v>211</v>
      </c>
      <c>
        <v>15977</v>
      </c>
    </row>
    <row ht="14.95">
      <c t="s">
        <v>72</v>
      </c>
      <c>
        <v>211</v>
      </c>
      <c>
        <v>18538</v>
      </c>
    </row>
    <row ht="14.95">
      <c t="s">
        <v>146</v>
      </c>
      <c>
        <v>1651</v>
      </c>
      <c>
        <v>21285</v>
      </c>
    </row>
    <row ht="14.95">
      <c t="s">
        <v>496</v>
      </c>
      <c>
        <v>1651</v>
      </c>
      <c>
        <v>24509</v>
      </c>
    </row>
    <row ht="14.95">
      <c t="s">
        <v>226</v>
      </c>
      <c>
        <v>1651</v>
      </c>
      <c>
        <v>28901</v>
      </c>
    </row>
    <row ht="14.95">
      <c t="s">
        <v>571</v>
      </c>
      <c>
        <v>1651</v>
      </c>
      <c>
        <v>40669</v>
      </c>
    </row>
    <row ht="14.95">
      <c t="s">
        <v>305</v>
      </c>
      <c>
        <v>1651</v>
      </c>
      <c>
        <v>42301</v>
      </c>
    </row>
    <row ht="14.95">
      <c t="s">
        <v>28</v>
      </c>
      <c>
        <v>1651</v>
      </c>
      <c>
        <v>44830</v>
      </c>
    </row>
    <row ht="14.95">
      <c t="s">
        <v>383</v>
      </c>
      <c>
        <v>16510</v>
      </c>
      <c>
        <v>45751</v>
      </c>
    </row>
    <row ht="14.95">
      <c t="s">
        <v>107</v>
      </c>
      <c>
        <v>16510</v>
      </c>
      <c>
        <v>47774</v>
      </c>
    </row>
    <row ht="14.95">
      <c t="s">
        <v>452</v>
      </c>
      <c>
        <v>16510</v>
      </c>
      <c>
        <v>52535</v>
      </c>
    </row>
    <row ht="14.95">
      <c t="s">
        <v>183</v>
      </c>
      <c>
        <v>16510</v>
      </c>
      <c>
        <v>59885</v>
      </c>
    </row>
    <row ht="14.95">
      <c t="s">
        <v>270</v>
      </c>
      <c>
        <v>16510</v>
      </c>
      <c>
        <v>65488</v>
      </c>
    </row>
    <row ht="14.95">
      <c t="s">
        <v>616</v>
      </c>
      <c>
        <v>16510</v>
      </c>
      <c>
        <v>68068</v>
      </c>
    </row>
    <row ht="14.95">
      <c t="s">
        <v>356</v>
      </c>
      <c>
        <v>16510</v>
      </c>
      <c>
        <v>71678</v>
      </c>
    </row>
    <row ht="14.95">
      <c t="s">
        <v>84</v>
      </c>
      <c>
        <v>16510</v>
      </c>
      <c>
        <v>73927</v>
      </c>
    </row>
    <row ht="14.95">
      <c t="s">
        <v>432</v>
      </c>
      <c>
        <v>16510</v>
      </c>
      <c>
        <v>77214</v>
      </c>
    </row>
    <row ht="14.95">
      <c t="s">
        <v>348</v>
      </c>
      <c>
        <v>211</v>
      </c>
      <c>
        <v>4941</v>
      </c>
    </row>
    <row ht="14.95">
      <c t="s">
        <v>73</v>
      </c>
      <c>
        <v>211</v>
      </c>
      <c>
        <v>12914</v>
      </c>
    </row>
    <row ht="14.95">
      <c t="s">
        <v>421</v>
      </c>
      <c>
        <v>211</v>
      </c>
      <c>
        <v>16550</v>
      </c>
    </row>
    <row ht="14.95">
      <c t="s">
        <v>147</v>
      </c>
      <c>
        <v>211</v>
      </c>
      <c>
        <v>18672</v>
      </c>
    </row>
    <row ht="14.95">
      <c t="s">
        <v>227</v>
      </c>
      <c>
        <v>1651</v>
      </c>
      <c>
        <v>23113</v>
      </c>
    </row>
    <row ht="14.95">
      <c t="s">
        <v>572</v>
      </c>
      <c>
        <v>1651</v>
      </c>
      <c>
        <v>25345</v>
      </c>
    </row>
    <row ht="14.95">
      <c t="s">
        <v>306</v>
      </c>
      <c>
        <v>1651</v>
      </c>
      <c>
        <v>29071</v>
      </c>
    </row>
    <row ht="14.95">
      <c t="s">
        <v>29</v>
      </c>
      <c>
        <v>1651</v>
      </c>
      <c>
        <v>41450</v>
      </c>
    </row>
    <row ht="14.95">
      <c t="s">
        <v>384</v>
      </c>
      <c>
        <v>1651</v>
      </c>
      <c>
        <v>43482</v>
      </c>
    </row>
    <row ht="14.95">
      <c t="s">
        <v>108</v>
      </c>
      <c>
        <v>1651</v>
      </c>
      <c>
        <v>44961</v>
      </c>
    </row>
    <row ht="14.95">
      <c t="s">
        <v>453</v>
      </c>
      <c>
        <v>16510</v>
      </c>
      <c>
        <v>46798</v>
      </c>
    </row>
    <row ht="14.95">
      <c t="s">
        <v>184</v>
      </c>
      <c>
        <v>16510</v>
      </c>
      <c>
        <v>49286</v>
      </c>
    </row>
    <row ht="14.95">
      <c t="s">
        <v>538</v>
      </c>
      <c>
        <v>16510</v>
      </c>
      <c>
        <v>55170</v>
      </c>
    </row>
    <row ht="14.95">
      <c t="s">
        <v>267</v>
      </c>
      <c>
        <v>16510</v>
      </c>
      <c>
        <v>62285</v>
      </c>
    </row>
    <row ht="14.95">
      <c t="s">
        <v>352</v>
      </c>
      <c>
        <v>16510</v>
      </c>
      <c>
        <v>65151</v>
      </c>
    </row>
    <row ht="14.95">
      <c t="s">
        <v>81</v>
      </c>
      <c>
        <v>16510</v>
      </c>
      <c>
        <v>67509</v>
      </c>
    </row>
    <row ht="14.95">
      <c t="s">
        <v>430</v>
      </c>
      <c>
        <v>16510</v>
      </c>
      <c>
        <v>71833</v>
      </c>
    </row>
    <row ht="14.95">
      <c t="s">
        <v>155</v>
      </c>
      <c>
        <v>16510</v>
      </c>
      <c>
        <v>75103</v>
      </c>
    </row>
    <row ht="14.95">
      <c t="s">
        <v>509</v>
      </c>
      <c>
        <v>16510</v>
      </c>
      <c>
        <v>77953</v>
      </c>
    </row>
    <row r="416"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84"/>
      <c s="30"/>
      <c s="30"/>
    </row>
    <row ht="14.95">
      <c s="77"/>
      <c s="34"/>
      <c s="34"/>
    </row>
  </sheetData>
  <pageMargins left="0.7" right="0.7" top="0.787401575" bottom="0.787401575" header="0.3" footer="0.3"/>
  <pageSetup paperSize="9" orientation="portrait" horizontalDpi="1200" verticalDpi="1200"/>
</worksheet>
</file>

<file path=xl/worksheets/sheet3.xml><?xml version="1.0" encoding="utf-8"?>
<worksheet xmlns:r="http://schemas.openxmlformats.org/officeDocument/2006/relationships" xmlns="http://schemas.openxmlformats.org/spreadsheetml/2006/main">
  <dimension ref="A1:Z78"/>
  <sheetViews>
    <sheetView topLeftCell="A75" workbookViewId="0">
      <selection activeCell="C79" sqref="C79"/>
    </sheetView>
  </sheetViews>
  <sheetFormatPr defaultColWidth="9.140625" defaultRowHeight="13.6"/>
  <cols>
    <col min="1" max="1" width="13.5703125" style="40" customWidth="1"/>
    <col min="2" max="2" width="40.85546875" style="40" customWidth="1"/>
    <col min="3" max="3" width="28.140625" style="40" customWidth="1"/>
    <col min="4" max="4" width="16.28515625" style="40" customWidth="1"/>
    <col min="5" max="5" width="19.42578125" style="40" customWidth="1"/>
    <col min="6" max="6" width="11.140625" style="40" customWidth="1"/>
    <col min="7" max="7" width="9.140625" style="40"/>
    <col min="8" max="8" width="17.28515625" style="40" customWidth="1"/>
    <col min="9" max="9" width="19.5703125" style="40" customWidth="1"/>
    <col min="10" max="12" width="12.42578125" style="40" customWidth="1"/>
    <col min="13" max="13" width="16" style="40" bestFit="1" customWidth="1"/>
    <col min="14" max="14" width="14.28515625" style="40" bestFit="1" customWidth="1"/>
    <col min="15" max="15" width="18.28515625" style="40" bestFit="1" customWidth="1"/>
    <col min="16" max="25" width="9.140625" style="40"/>
    <col min="26" max="26" width="9.140625" style="40" hidden="1" customWidth="1"/>
    <col min="27" max="16384" width="9.140625" style="40"/>
  </cols>
  <sheetData>
    <row>
      <c s="60"/>
      <c r="H1" s="44">
        <v>129806172700000000</v>
      </c>
      <c r="Z1" s="51" t="b">
        <f>0=1</f>
        <v>0</v>
      </c>
    </row>
    <row>
      <c r="Z2" s="51" t="b">
        <f>1=1</f>
        <v>1</v>
      </c>
    </row>
    <row>
      <c r="Z3" s="51"/>
    </row>
    <row>
      <c r="I4" s="40" t="s">
        <v>192</v>
      </c>
      <c s="71" t="s">
        <v>433</v>
      </c>
      <c s="14"/>
      <c s="14"/>
      <c s="14"/>
      <c s="14"/>
      <c s="14"/>
    </row>
    <row>
      <c r="J5" s="36" t="s">
        <v>158</v>
      </c>
      <c s="23" t="s">
        <v>317</v>
      </c>
      <c s="23" t="s">
        <v>393</v>
      </c>
      <c s="36" t="s">
        <v>584</v>
      </c>
      <c s="85" t="s">
        <v>461</v>
      </c>
      <c s="23" t="s">
        <v>0</v>
      </c>
    </row>
    <row>
      <c r="B6" s="31" t="s">
        <v>462</v>
      </c>
      <c s="28" t="s">
        <v>510</v>
      </c>
      <c s="81" t="s">
        <v>42</v>
      </c>
      <c s="10" t="s">
        <v>318</v>
      </c>
    </row>
    <row>
      <c r="C7" s="20"/>
      <c s="32" t="s">
        <v>43</v>
      </c>
      <c s="10" t="s">
        <v>358</v>
      </c>
    </row>
    <row>
      <c r="C8" s="32" t="s">
        <v>1</v>
      </c>
      <c s="20"/>
    </row>
    <row>
      <c r="C9" s="20"/>
      <c s="28" t="s">
        <v>159</v>
      </c>
      <c s="61"/>
    </row>
    <row>
      <c r="C10" s="28" t="s">
        <v>274</v>
      </c>
      <c s="65" t="s">
        <v>394</v>
      </c>
      <c s="10" t="s">
        <v>86</v>
      </c>
    </row>
    <row>
      <c r="B11" s="31" t="s">
        <v>319</v>
      </c>
      <c s="87" t="s">
        <v>275</v>
      </c>
      <c s="86">
        <v>60398</v>
      </c>
      <c s="10" t="s">
        <v>160</v>
      </c>
    </row>
    <row>
      <c r="B12" s="31"/>
      <c s="72"/>
      <c s="89"/>
      <c s="80" t="s">
        <v>434</v>
      </c>
    </row>
    <row>
      <c r="B13" s="31" t="s">
        <v>276</v>
      </c>
      <c s="70" t="s">
        <v>115</v>
      </c>
      <c s="50">
        <v>1212</v>
      </c>
      <c s="40" t="b">
        <v>0</v>
      </c>
      <c s="10" t="s">
        <v>395</v>
      </c>
    </row>
    <row ht="12.75" hidden="1">
      <c r="B14" s="31"/>
      <c s="70"/>
      <c s="64"/>
      <c s="40" t="b">
        <v>0</v>
      </c>
    </row>
    <row>
      <c r="B15" s="31" t="s">
        <v>511</v>
      </c>
      <c s="40" t="s">
        <v>546</v>
      </c>
      <c s="78">
        <v>1212</v>
      </c>
      <c s="40" t="b">
        <v>0</v>
      </c>
      <c s="10" t="s">
        <v>116</v>
      </c>
    </row>
    <row ht="12.75" hidden="1">
      <c r="B16" s="31"/>
      <c r="D16" s="19"/>
      <c s="40" t="b">
        <v>0</v>
      </c>
      <c s="10"/>
    </row>
    <row>
      <c r="B17" s="31"/>
      <c s="40" t="s">
        <v>161</v>
      </c>
      <c s="67">
        <v>3434</v>
      </c>
      <c s="40" t="b">
        <v>0</v>
      </c>
      <c s="10" t="s">
        <v>396</v>
      </c>
    </row>
    <row>
      <c r="B18" s="31"/>
      <c r="D18" s="19"/>
      <c s="40" t="b">
        <v>0</v>
      </c>
      <c s="10"/>
    </row>
    <row>
      <c r="B19" s="31"/>
      <c s="40" t="s">
        <v>2</v>
      </c>
      <c s="48">
        <v>3434</v>
      </c>
      <c s="40" t="b">
        <v>0</v>
      </c>
      <c s="10" t="s">
        <v>463</v>
      </c>
    </row>
    <row>
      <c r="B20" s="31"/>
      <c r="D20" s="19"/>
      <c s="40" t="b">
        <v>0</v>
      </c>
      <c s="10"/>
    </row>
    <row>
      <c r="B21" s="31"/>
      <c s="40" t="s">
        <v>464</v>
      </c>
      <c s="47">
        <v>5656</v>
      </c>
      <c s="40" t="b">
        <v>0</v>
      </c>
      <c s="10" t="s">
        <v>585</v>
      </c>
    </row>
    <row>
      <c r="B22" s="31"/>
      <c r="E22" s="10"/>
      <c r="I22" s="63"/>
    </row>
    <row>
      <c r="B23" s="43" t="s">
        <v>3</v>
      </c>
      <c s="43"/>
    </row>
    <row>
      <c r="B24" s="8" t="s">
        <v>320</v>
      </c>
      <c s="8" t="s">
        <v>162</v>
      </c>
      <c s="8" t="s">
        <v>44</v>
      </c>
      <c s="8" t="s">
        <v>465</v>
      </c>
      <c s="8"/>
      <c s="8"/>
      <c s="8" t="s">
        <v>586</v>
      </c>
    </row>
    <row>
      <c r="C25" s="18" t="s">
        <v>194</v>
      </c>
      <c s="62" t="s">
        <v>397</v>
      </c>
      <c s="56">
        <v>1234.5599999999999</v>
      </c>
      <c s="10"/>
    </row>
    <row>
      <c r="C26" s="18" t="s">
        <v>194</v>
      </c>
      <c s="62" t="s">
        <v>397</v>
      </c>
      <c s="56">
        <v>1234.5599999999999</v>
      </c>
      <c s="10"/>
    </row>
    <row ht="37.45">
      <c r="C27" s="24" t="s">
        <v>322</v>
      </c>
      <c s="75" t="s">
        <v>241</v>
      </c>
      <c s="46">
        <v>1234.5599999999999</v>
      </c>
    </row>
    <row>
      <c r="C28" s="24" t="s">
        <v>359</v>
      </c>
      <c s="57" t="s">
        <v>117</v>
      </c>
      <c s="73">
        <v>1234.5599999999999</v>
      </c>
    </row>
    <row ht="37.45">
      <c r="C29" s="24" t="s">
        <v>194</v>
      </c>
      <c s="17" t="s">
        <v>240</v>
      </c>
      <c s="29">
        <v>1234.5599999999999</v>
      </c>
    </row>
    <row ht="37.45">
      <c r="C30" s="24" t="s">
        <v>194</v>
      </c>
      <c s="17" t="s">
        <v>321</v>
      </c>
      <c s="29">
        <v>1234.5599999999999</v>
      </c>
    </row>
    <row ht="37.45">
      <c r="C31" s="24" t="s">
        <v>194</v>
      </c>
      <c s="37" t="s">
        <v>45</v>
      </c>
      <c s="55">
        <v>1234.5599999999999</v>
      </c>
    </row>
    <row ht="37.45">
      <c r="C32" s="18" t="s">
        <v>194</v>
      </c>
      <c s="38" t="s">
        <v>397</v>
      </c>
      <c s="29">
        <v>1234.5599999999999</v>
      </c>
    </row>
    <row ht="37.45">
      <c r="C33" s="24" t="s">
        <v>194</v>
      </c>
      <c s="17" t="s">
        <v>122</v>
      </c>
      <c s="29">
        <v>1234.5599999999999</v>
      </c>
    </row>
    <row ht="37.45">
      <c r="C34" s="24" t="s">
        <v>87</v>
      </c>
      <c s="35" t="s">
        <v>88</v>
      </c>
      <c s="21">
        <v>1234.5599999999999</v>
      </c>
    </row>
    <row ht="49.55">
      <c r="C35" s="24" t="s">
        <v>87</v>
      </c>
      <c s="54" t="s">
        <v>46</v>
      </c>
      <c s="41">
        <v>1234.5599999999999</v>
      </c>
    </row>
    <row ht="49.55">
      <c r="C36" s="24" t="s">
        <v>87</v>
      </c>
      <c s="39" t="s">
        <v>466</v>
      </c>
      <c s="15">
        <v>1234.5599999999999</v>
      </c>
    </row>
    <row ht="49.55">
      <c r="C37" s="24" t="s">
        <v>87</v>
      </c>
      <c s="39" t="s">
        <v>398</v>
      </c>
      <c s="15">
        <v>1234.5599999999999</v>
      </c>
    </row>
    <row ht="37.45">
      <c r="C38" s="24" t="s">
        <v>87</v>
      </c>
      <c s="39" t="s">
        <v>435</v>
      </c>
      <c s="15">
        <v>1234.5599999999999</v>
      </c>
    </row>
    <row ht="37.45">
      <c r="C39" s="24" t="s">
        <v>87</v>
      </c>
      <c s="39" t="s">
        <v>277</v>
      </c>
      <c s="15">
        <v>1234.5599999999999</v>
      </c>
    </row>
    <row ht="25.4">
      <c r="C40" s="24" t="s">
        <v>87</v>
      </c>
      <c s="39" t="s">
        <v>6</v>
      </c>
      <c s="15">
        <v>1234.5599999999999</v>
      </c>
    </row>
    <row ht="25.4">
      <c r="C41" s="24" t="s">
        <v>87</v>
      </c>
      <c s="39" t="s">
        <v>242</v>
      </c>
      <c s="15">
        <v>1234.5599999999999</v>
      </c>
    </row>
    <row ht="25.4">
      <c r="C42" s="24" t="s">
        <v>87</v>
      </c>
      <c s="39" t="s">
        <v>512</v>
      </c>
      <c s="15">
        <v>1234.5599999999999</v>
      </c>
    </row>
    <row ht="25.4">
      <c r="C43" s="24" t="s">
        <v>87</v>
      </c>
      <c s="39" t="s">
        <v>243</v>
      </c>
      <c s="15">
        <v>1234.5599999999999</v>
      </c>
    </row>
    <row ht="25.4">
      <c r="C44" s="24" t="s">
        <v>87</v>
      </c>
      <c s="39" t="s">
        <v>360</v>
      </c>
      <c s="15">
        <v>1234.5599999999999</v>
      </c>
    </row>
    <row ht="25.4">
      <c r="C45" s="24" t="s">
        <v>87</v>
      </c>
      <c s="39" t="s">
        <v>547</v>
      </c>
      <c s="15">
        <v>1234.5599999999999</v>
      </c>
    </row>
    <row ht="25.4">
      <c r="C46" s="24" t="s">
        <v>87</v>
      </c>
      <c s="39" t="s">
        <v>513</v>
      </c>
      <c s="15">
        <v>1234.5599999999999</v>
      </c>
    </row>
    <row ht="25.4">
      <c r="C47" s="24" t="s">
        <v>87</v>
      </c>
      <c s="39" t="s">
        <v>323</v>
      </c>
      <c s="15">
        <v>1234.5599999999999</v>
      </c>
    </row>
    <row ht="37.45">
      <c r="C48" s="24" t="s">
        <v>87</v>
      </c>
      <c s="39" t="s">
        <v>195</v>
      </c>
      <c s="15">
        <v>1234.5599999999999</v>
      </c>
    </row>
    <row ht="25.4">
      <c r="C49" s="24" t="s">
        <v>87</v>
      </c>
      <c s="39" t="s">
        <v>514</v>
      </c>
      <c s="15">
        <v>1234.5599999999999</v>
      </c>
    </row>
    <row ht="25.4">
      <c r="C50" s="24" t="s">
        <v>87</v>
      </c>
      <c s="39" t="s">
        <v>118</v>
      </c>
      <c s="15">
        <v>1234.5599999999999</v>
      </c>
    </row>
    <row>
      <c r="C51" s="24" t="s">
        <v>359</v>
      </c>
      <c s="22" t="s">
        <v>244</v>
      </c>
      <c s="15">
        <v>1234.5599999999999</v>
      </c>
    </row>
    <row ht="25.4">
      <c r="C52" s="24" t="s">
        <v>87</v>
      </c>
      <c s="39" t="s">
        <v>324</v>
      </c>
      <c s="15">
        <v>1234.5599999999999</v>
      </c>
    </row>
    <row ht="37.45">
      <c r="C53" s="24" t="s">
        <v>87</v>
      </c>
      <c s="39" t="s">
        <v>119</v>
      </c>
      <c s="15">
        <v>1234.5599999999999</v>
      </c>
    </row>
    <row>
      <c r="C54" s="24" t="s">
        <v>359</v>
      </c>
      <c s="22" t="s">
        <v>361</v>
      </c>
      <c s="42">
        <v>1234.5599999999999</v>
      </c>
    </row>
    <row>
      <c r="C55" s="24" t="s">
        <v>359</v>
      </c>
      <c s="22" t="s">
        <v>549</v>
      </c>
      <c s="42">
        <v>1234.5599999999999</v>
      </c>
    </row>
    <row>
      <c r="C56" s="24" t="s">
        <v>359</v>
      </c>
      <c s="59" t="s">
        <v>588</v>
      </c>
      <c s="69">
        <v>1234.5599999999999</v>
      </c>
    </row>
    <row>
      <c r="C57" s="24" t="s">
        <v>87</v>
      </c>
      <c s="79"/>
      <c s="58"/>
    </row>
    <row>
      <c r="C58" s="24" t="s">
        <v>322</v>
      </c>
      <c s="33" t="s">
        <v>552</v>
      </c>
      <c s="33">
        <v>1234.5599999999999</v>
      </c>
    </row>
    <row ht="37.45">
      <c r="C59" s="24" t="s">
        <v>322</v>
      </c>
      <c s="52" t="s">
        <v>241</v>
      </c>
      <c s="76">
        <v>1234.5599999999999</v>
      </c>
    </row>
    <row>
      <c r="C60" s="24" t="s">
        <v>359</v>
      </c>
      <c s="22" t="s">
        <v>244</v>
      </c>
      <c s="15">
        <v>1234.5599999999999</v>
      </c>
    </row>
    <row>
      <c r="C61" s="24" t="s">
        <v>359</v>
      </c>
      <c s="22" t="s">
        <v>361</v>
      </c>
      <c s="42">
        <v>1234.5599999999999</v>
      </c>
    </row>
    <row>
      <c r="C62" s="24" t="s">
        <v>359</v>
      </c>
      <c s="22" t="s">
        <v>549</v>
      </c>
      <c s="42">
        <v>1234.5599999999999</v>
      </c>
    </row>
    <row ht="37.45">
      <c r="C63" s="24" t="s">
        <v>194</v>
      </c>
      <c s="17" t="s">
        <v>240</v>
      </c>
      <c s="15">
        <v>1234.5599999999999</v>
      </c>
    </row>
    <row ht="37.45">
      <c r="C64" s="24" t="s">
        <v>194</v>
      </c>
      <c s="17" t="s">
        <v>321</v>
      </c>
      <c s="15">
        <v>1234.5599999999999</v>
      </c>
    </row>
    <row ht="37.45">
      <c r="C65" s="24" t="s">
        <v>194</v>
      </c>
      <c s="37" t="s">
        <v>45</v>
      </c>
      <c s="41">
        <v>1234.5599999999999</v>
      </c>
    </row>
    <row ht="37.45">
      <c r="C66" s="18" t="s">
        <v>194</v>
      </c>
      <c s="38" t="s">
        <v>397</v>
      </c>
      <c s="21">
        <v>1234.5599999999999</v>
      </c>
    </row>
    <row ht="37.45">
      <c r="C67" s="24" t="s">
        <v>194</v>
      </c>
      <c s="17" t="s">
        <v>122</v>
      </c>
      <c s="15">
        <v>1234.5599999999999</v>
      </c>
    </row>
    <row ht="37.45">
      <c r="C68" s="24" t="s">
        <v>194</v>
      </c>
      <c s="17" t="s">
        <v>473</v>
      </c>
      <c s="15">
        <v>1234.5599999999999</v>
      </c>
    </row>
    <row ht="37.45">
      <c r="C69" s="24" t="s">
        <v>194</v>
      </c>
      <c s="17" t="s">
        <v>203</v>
      </c>
      <c s="15">
        <v>1234.5599999999999</v>
      </c>
    </row>
    <row ht="37.45">
      <c r="C70" s="24" t="s">
        <v>194</v>
      </c>
      <c s="17" t="s">
        <v>551</v>
      </c>
      <c s="15">
        <v>1234.5599999999999</v>
      </c>
    </row>
    <row ht="37.45">
      <c r="C71" s="24" t="s">
        <v>194</v>
      </c>
      <c s="17" t="s">
        <v>283</v>
      </c>
      <c s="15">
        <v>1234.5599999999999</v>
      </c>
    </row>
    <row ht="37.45">
      <c r="C72" s="24" t="s">
        <v>194</v>
      </c>
      <c s="17" t="s">
        <v>9</v>
      </c>
      <c s="15">
        <v>1234.5599999999999</v>
      </c>
    </row>
    <row ht="37.45">
      <c r="C73" s="24" t="s">
        <v>194</v>
      </c>
      <c s="17" t="s">
        <v>366</v>
      </c>
      <c s="15">
        <v>1234.5599999999999</v>
      </c>
    </row>
    <row ht="37.45">
      <c r="C74" s="24" t="s">
        <v>194</v>
      </c>
      <c s="17" t="s">
        <v>455</v>
      </c>
      <c s="15">
        <v>1234.5599999999999</v>
      </c>
    </row>
    <row ht="37.45">
      <c r="C75" s="24" t="s">
        <v>194</v>
      </c>
      <c s="35" t="s">
        <v>187</v>
      </c>
      <c s="21">
        <v>1234.5599999999999</v>
      </c>
    </row>
    <row ht="37.45">
      <c r="C76" s="24" t="s">
        <v>194</v>
      </c>
      <c s="35" t="s">
        <v>544</v>
      </c>
      <c s="21">
        <v>1235.5599999999999</v>
      </c>
    </row>
    <row ht="37.45">
      <c r="C77" s="24" t="s">
        <v>194</v>
      </c>
      <c s="35" t="s">
        <v>273</v>
      </c>
      <c s="21">
        <v>1235.5599999999999</v>
      </c>
    </row>
    <row ht="37.45">
      <c r="C78" s="24" t="s">
        <v>194</v>
      </c>
      <c s="35" t="s">
        <v>618</v>
      </c>
      <c s="21">
        <v>1235.5599999999999</v>
      </c>
    </row>
  </sheetData>
  <mergeCells count="2">
    <mergeCell ref="J4:O4"/>
    <mergeCell ref="B23:C23"/>
  </mergeCells>
  <dataValidations count="1">
    <dataValidation type="list" allowBlank="1" showInputMessage="1" showErrorMessage="1" sqref="E13:E21">
      <formula1>$Z$1:$Z$2</formula1>
    </dataValidation>
  </dataValidations>
  <pageMargins left="0.7" right="0.7" top="0.787401575" bottom="0.787401575" header="0.3" footer="0.3"/>
  <pageSetup paperSize="9" orientation="portrait"/>
  <drawing r:id="rId1"/>
</worksheet>
</file>
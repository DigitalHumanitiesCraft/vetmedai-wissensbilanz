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Tab!$A$1:$I$91</definedName>
    <definedName name="_xlnm.Print_Titles" localSheetId="0">Tab!$24:$26</definedName>
    <definedName name="XL3DisableCameraObjects" hidden="1">XLCubedFormats!A1</definedName>
    <definedName name="XL3ObjLocationd29ed4f0_51a2_4776_a7ea_0d3cd0ce97a0">Tab!$A$10</definedName>
  </definedNames>
  <calcPr calcId="40001"/>
</workbook>
</file>

<file path=xl/sharedStrings.xml><?xml version="1.0" encoding="utf-8"?>
<sst xmlns="http://schemas.openxmlformats.org/spreadsheetml/2006/main" uniqueCount="158">
  <si>
    <t>Universität</t>
  </si>
  <si>
    <t>Semester und Datenstichtag</t>
  </si>
  <si>
    <t>541 Ernährungsgewerbe</t>
  </si>
  <si>
    <t>461 Mathematik</t>
  </si>
  <si>
    <t>460 Mathematik und Statistik, allgemein</t>
  </si>
  <si>
    <t>380 Recht, allgemein</t>
  </si>
  <si>
    <t>223 Muttersprache</t>
  </si>
  <si>
    <t>Frauen</t>
  </si>
  <si>
    <t>Slicer Button Background</t>
  </si>
  <si>
    <t>Grid Title</t>
  </si>
  <si>
    <t>Oth Written Member</t>
  </si>
  <si>
    <t>Fill in Grid Name, Dimension or Both</t>
  </si>
  <si>
    <t xml:space="preserve">Ordentliche Studien </t>
  </si>
  <si>
    <t>[ALLG Wertart].[Wertart]</t>
  </si>
  <si>
    <t>[STU Studium].[ISCED2013 Ebene 3 #Langtext#]</t>
  </si>
  <si>
    <t>Ordentliche Studien im ersten Semester nach internationalen Gruppen von Studien (ISCED-F 1999)</t>
  </si>
  <si>
    <t>(Members of Studienfach (Fachcode)) - (Erweiterungsstudium, Zweitfach)</t>
  </si>
  <si>
    <t>Staatengruppe (Ö, EU, andere)</t>
  </si>
  <si>
    <t>Absolutwert</t>
  </si>
  <si>
    <t>851 Umweltschutztechnologien</t>
  </si>
  <si>
    <t>813 Sport</t>
  </si>
  <si>
    <t>422 Umweltforschung</t>
  </si>
  <si>
    <t>213 Audiovisuelle Techniken und Medienproduktion</t>
  </si>
  <si>
    <t>All Marital Status</t>
  </si>
  <si>
    <t>Male</t>
  </si>
  <si>
    <t>Member1 Name</t>
  </si>
  <si>
    <t>Anmerkung: Ab dem WS 2016 erfolgt die zähltechnische Abbildung der Studierenden auf Basis des Verteilungsschlüssels gemäß § 22 Abs. 2 UHSBV.</t>
  </si>
  <si>
    <t>Studien Universitäten</t>
  </si>
  <si>
    <t>ord. Studium</t>
  </si>
  <si>
    <t>Begonnene Studien</t>
  </si>
  <si>
    <t>222 Fremdsprachen</t>
  </si>
  <si>
    <t>&lt;-- default Column Member Format</t>
  </si>
  <si>
    <t>Gesamt</t>
  </si>
  <si>
    <t>623 Forstwirtschaft</t>
  </si>
  <si>
    <t>620 Landwirtschaft, Forstwirtschaft u. Fischereiwirt., allgemein</t>
  </si>
  <si>
    <t>543 Werkstoffe (Holz, Papier, Kunststoff, Glas)</t>
  </si>
  <si>
    <t>212 Musik und darstellende Kunst</t>
  </si>
  <si>
    <t>Alternate Rows</t>
  </si>
  <si>
    <t>&lt;--  writeable cell format</t>
  </si>
  <si>
    <t>462 Statistik</t>
  </si>
  <si>
    <t xml:space="preserve"> </t>
  </si>
  <si>
    <t>522 Elektrizität und Energie</t>
  </si>
  <si>
    <t>480 Informatik, allgemein</t>
  </si>
  <si>
    <t>440 Exakte Naturwissenschaften, allgemein</t>
  </si>
  <si>
    <t>310 Sozial- und Verhaltenswissenschaften, allgemein</t>
  </si>
  <si>
    <t>142 Erziehungswissenschaft</t>
  </si>
  <si>
    <t>Slicer Title</t>
  </si>
  <si>
    <t>Calendar Period</t>
  </si>
  <si>
    <t>&lt;-- default cell format</t>
  </si>
  <si>
    <t>Written Member</t>
  </si>
  <si>
    <t>Dimension/Column</t>
  </si>
  <si>
    <t>4) Prozentangaben werden standardmäßig mit einer Kommastelle angezeigt</t>
  </si>
  <si>
    <t>Dadurch sind Studien auf ganze Zahlen zu runden und es kann zu Abweichungen zwischen der Gesamtsumme und den addierten Detailergebnissen kommen.</t>
  </si>
  <si>
    <t>727 Pharmazie</t>
  </si>
  <si>
    <t>523 Elektronik und Automation</t>
  </si>
  <si>
    <t>342 Marketing und Werbung</t>
  </si>
  <si>
    <t>313 Politikwissenschaft und Staatsbürgerkunde</t>
  </si>
  <si>
    <t>210 Künste, allgemein</t>
  </si>
  <si>
    <t>Männer</t>
  </si>
  <si>
    <t>Slice Name (Optional)</t>
  </si>
  <si>
    <t>UA, UB, UC, UD, UE, UF, UG, UH, UI, UJ, UK, UL, UM, UN, UO, UQ, UR, US, UT, UU, UV, UW, UZ</t>
  </si>
  <si>
    <t>812 Reisebüros, Fremdenverkehrsgewerbe und Freizeitindustrie</t>
  </si>
  <si>
    <t>622 Gartenbau</t>
  </si>
  <si>
    <t>524 Chemie und Verfahrenstechnik</t>
  </si>
  <si>
    <t>520 Ingenieurwesen und technische Berufe, allgemein</t>
  </si>
  <si>
    <t>442 Chemie</t>
  </si>
  <si>
    <t>343 Kredit- und Versicherungswesen</t>
  </si>
  <si>
    <t>220 Geisteswissenschaften, allgemein</t>
  </si>
  <si>
    <t>Studienjahr 2024/25</t>
  </si>
  <si>
    <t>ALLG Semester.Studienjahr (Langbezeichnung)</t>
  </si>
  <si>
    <t>340 Wirtschaft und Verwaltung, allgemein</t>
  </si>
  <si>
    <t>314 Wirtschaftswissenschaft</t>
  </si>
  <si>
    <t>146 Ausbildung von Lehrkräften in berufsbildenden Fächern</t>
  </si>
  <si>
    <t>Customer</t>
  </si>
  <si>
    <t>-All Customer</t>
  </si>
  <si>
    <t>Default Alternate Row Member Format --&gt;</t>
  </si>
  <si>
    <t>Studien von Erstzugelassenen</t>
  </si>
  <si>
    <t>ISCED 3-Steller (Code, Langtext)</t>
  </si>
  <si>
    <t>Studientyp</t>
  </si>
  <si>
    <t>Bundesland Universität</t>
  </si>
  <si>
    <t>850 Umweltschutz, allgemein</t>
  </si>
  <si>
    <t>723 Krankenpflege und Pflege von Personen</t>
  </si>
  <si>
    <t>441 Physik</t>
  </si>
  <si>
    <t>320 Journalismus und Informationswesen, allgemein</t>
  </si>
  <si>
    <t>221 Religion</t>
  </si>
  <si>
    <t>200 Geisteswissenschaften und Künste, allgemein</t>
  </si>
  <si>
    <t>Slicer Item</t>
  </si>
  <si>
    <t>&lt;-- default Slicer Member Format</t>
  </si>
  <si>
    <t>Default Row Member Format --&gt;</t>
  </si>
  <si>
    <t>Grid/Table Name</t>
  </si>
  <si>
    <t>[Measures]</t>
  </si>
  <si>
    <t>720 Gesundheit, allgemein</t>
  </si>
  <si>
    <t>420 Biowissenschaften, allgemein</t>
  </si>
  <si>
    <t>&lt;-- writeable Slicer Member Format</t>
  </si>
  <si>
    <t>Slice Format 1</t>
  </si>
  <si>
    <t>&lt;-- Gesamtzeile</t>
  </si>
  <si>
    <t>3) Formatierung der Gesamtspalte und -zeile (siehe E25:E26)</t>
  </si>
  <si>
    <t>145 Ausbildung von Lehrkräften mit Fachstudium</t>
  </si>
  <si>
    <t>(ohne Erweiterungsstudien; bei kombinationspflichtigen Studien bis STJ 2015/16 nur Erstfach gezählt)</t>
  </si>
  <si>
    <t>Studienfach (Fachcode)</t>
  </si>
  <si>
    <t>Frauen-/Männeranteil in %</t>
  </si>
  <si>
    <t>544 Bergbau und Gewinnung von Steinen und Erden</t>
  </si>
  <si>
    <t>344 Steuer- und Rechnungswesen</t>
  </si>
  <si>
    <t>321 Journalismus und Berichterstattung</t>
  </si>
  <si>
    <t>311 Psychologie</t>
  </si>
  <si>
    <t>Slicer Button</t>
  </si>
  <si>
    <t>+2009</t>
  </si>
  <si>
    <t>&lt;-- default alternate row cell format</t>
  </si>
  <si>
    <t>&lt;--  written cell format</t>
  </si>
  <si>
    <t>Studienart</t>
  </si>
  <si>
    <t>ISCED 2-Steller (Code, Langtext)</t>
  </si>
  <si>
    <t>999 Nicht bekannt/keine näheren Angaben</t>
  </si>
  <si>
    <t>521 Maschinenbau und Metallverarbeitung</t>
  </si>
  <si>
    <t>Display Formats For:</t>
  </si>
  <si>
    <t>Enabled?</t>
  </si>
  <si>
    <t>&lt;-- Gesamtspalte</t>
  </si>
  <si>
    <t>Datenprüfung und -aufbereitung: bmfwf, Abt. I/10</t>
  </si>
  <si>
    <t>Universität-Ausrichtung</t>
  </si>
  <si>
    <t>852 Natürliche Lebensräume und Wildtierschutz</t>
  </si>
  <si>
    <t>724 Zahnmedizin</t>
  </si>
  <si>
    <t>621 Pflanzenbau und Tierzucht</t>
  </si>
  <si>
    <t>582 Baugewerbe, Hoch- und Tiefbau</t>
  </si>
  <si>
    <t>225 Geschichte und Archäologie</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</si>
  <si>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</si>
  <si>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</si>
  <si>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</si>
  <si>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</si>
  <si>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</si>
  <si>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</si>
  <si>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</si>
  <si>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[STU Studium].[ISCED 3-Steller #Code Langtext#]</t>
  </si>
  <si>
    <t>Universität (Codex)</t>
  </si>
  <si>
    <t>721 Medizin</t>
  </si>
  <si>
    <t>580 Architektur und Baugewerbe, allgemein</t>
  </si>
  <si>
    <t>481 Informatik</t>
  </si>
  <si>
    <t>214 Design</t>
  </si>
  <si>
    <t>Marital Status</t>
  </si>
  <si>
    <t>Default Writeable Member Format --&gt;</t>
  </si>
  <si>
    <t>Slice Format 2</t>
  </si>
  <si>
    <t>421 Biologie und Biochemie</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</si>
  <si>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</si>
  <si>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</si>
  <si>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ISCED 1-Steller (Code, Langtext)</t>
  </si>
  <si>
    <t>726 Therapie und Rehabilitation</t>
  </si>
  <si>
    <t>540 Herstellung und Verarbeitung, allgemein</t>
  </si>
  <si>
    <t>345 Management und Verwaltung</t>
  </si>
  <si>
    <t>211 Bildende Kunst</t>
  </si>
  <si>
    <t>Writeable Member</t>
  </si>
  <si>
    <t>641 Veterinärmedizin</t>
  </si>
  <si>
    <t>581 Architektur und Städteplanung</t>
  </si>
  <si>
    <t>443 Geowissenschaften</t>
  </si>
  <si>
    <t>312 Soziologie und Kulturwissenschaften</t>
  </si>
  <si>
    <t>226 Philosophie und Ethik</t>
  </si>
  <si>
    <t>Slicer Button Selected</t>
  </si>
  <si>
    <t>&lt;--  summary written cell</t>
  </si>
  <si>
    <t>Formatierungsrichtlinien</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</si>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</sst>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2">
    <numFmt numFmtId="164" formatCode="0.0%"/>
    <numFmt numFmtId="165" formatCode=";;;"/>
  </numFmts>
  <fonts count="36">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b/>
      <sz val="10"/>
      <name val="Tahoma"/>
      <family val="2"/>
    </font>
    <font>
      <b/>
      <sz val="8"/>
      <color indexed="23"/>
      <name val="Tahoma"/>
      <family val="2"/>
    </font>
    <font>
      <sz val="11"/>
      <color rgb="FF000000"/>
      <name val="Tahoma"/>
      <family val="2"/>
    </font>
    <font>
      <sz val="9"/>
      <name val="Tahoma"/>
      <family val="2"/>
    </font>
    <font>
      <b/>
      <sz val="11"/>
      <color rgb="FF000000"/>
      <name val="Tahoma"/>
      <family val="2"/>
    </font>
    <font>
      <sz val="10"/>
      <color rgb="FF262626"/>
      <name val="Tahoma"/>
      <family val="2"/>
    </font>
    <font>
      <sz val="8"/>
      <name val="Tahoma"/>
      <family val="2"/>
    </font>
    <font>
      <sz val="10"/>
      <color theme="1" tint="0.0499893185216834"/>
      <name val="Tahoma"/>
      <family val="2"/>
    </font>
    <font>
      <sz val="10"/>
      <name val="Tahoma"/>
      <family val="2"/>
    </font>
    <font>
      <sz val="10"/>
      <color theme="1" tint="0.34998626667073579"/>
      <name val="Tahoma"/>
      <family val="2"/>
    </font>
    <font>
      <sz val="10"/>
      <color theme="1" tint="0.14996795556505021"/>
      <name val="Tahoma"/>
      <family val="2"/>
    </font>
    <font>
      <sz val="10"/>
      <color rgb="FF595959"/>
      <name val="Tahoma"/>
      <family val="2"/>
    </font>
    <font>
      <sz val="10"/>
      <color rgb="FFFF0000"/>
      <name val="Tahoma"/>
      <family val="2"/>
    </font>
    <font>
      <sz val="10"/>
      <color theme="1"/>
      <name val="Calibri"/>
      <family val="2"/>
      <scheme val="minor"/>
    </font>
    <font>
      <b/>
      <sz val="8"/>
      <color rgb="FFFF0000"/>
      <name val="Tahoma"/>
      <family val="2"/>
    </font>
    <font>
      <b/>
      <sz val="11"/>
      <color theme="1"/>
      <name val="Calibri"/>
      <family val="2"/>
      <scheme val="minor"/>
    </font>
    <font>
      <sz val="11"/>
      <color theme="0"/>
      <name val="Calibri"/>
      <family val="2"/>
      <scheme val="minor"/>
    </font>
    <font>
      <b/>
      <sz val="11"/>
      <color theme="3"/>
      <name val="Calibri"/>
      <family val="2"/>
      <scheme val="minor"/>
    </font>
    <font>
      <b/>
      <sz val="13"/>
      <color theme="3"/>
      <name val="Calibri"/>
      <family val="2"/>
      <scheme val="minor"/>
    </font>
    <font>
      <b/>
      <sz val="18"/>
      <color theme="3"/>
      <name val="Cambria"/>
      <family val="2"/>
      <scheme val="major"/>
    </font>
    <font>
      <sz val="11"/>
      <color rgb="FFFA7D00"/>
      <name val="Calibri"/>
      <family val="2"/>
      <scheme val="minor"/>
    </font>
    <font>
      <b/>
      <sz val="11"/>
      <color rgb="FFFA7D00"/>
      <name val="Calibri"/>
      <family val="2"/>
      <scheme val="minor"/>
    </font>
    <font>
      <sz val="11"/>
      <color rgb="FFFF0000"/>
      <name val="Calibri"/>
      <family val="2"/>
      <scheme val="minor"/>
    </font>
    <font>
      <b/>
      <sz val="11"/>
      <color rgb="FF3F3F3F"/>
      <name val="Calibri"/>
      <family val="2"/>
      <scheme val="minor"/>
    </font>
    <font>
      <sz val="11"/>
      <color rgb="FF3F3F76"/>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b/>
      <sz val="11"/>
      <color theme="0"/>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0C0C0"/>
        <bgColor rgb="FFFFFFFF"/>
      </patternFill>
    </fill>
    <fill>
      <patternFill patternType="solid">
        <fgColor rgb="FFC6D9F1"/>
        <bgColor rgb="FFFFFFFF"/>
      </patternFill>
    </fill>
    <fill>
      <patternFill patternType="solid">
        <fgColor rgb="FFC0C0C0"/>
        <bgColor indexed="64"/>
      </patternFill>
    </fill>
    <fill>
      <patternFill patternType="solid">
        <fgColor rgb="FFD9D9D9"/>
        <bgColor indexed="64"/>
      </patternFill>
    </fill>
    <fill>
      <patternFill patternType="solid">
        <fgColor rgb="FFDDDDDD"/>
        <bgColor rgb="FFFFFFFF"/>
      </patternFill>
    </fill>
    <fill>
      <patternFill patternType="solid">
        <fgColor rgb="FFDDDDDD"/>
        <bgColor indexed="64"/>
      </patternFill>
    </fill>
    <fill>
      <patternFill patternType="solid">
        <fgColor indexed="40"/>
        <bgColor indexed="64"/>
      </patternFill>
    </fill>
    <fill>
      <patternFill patternType="solid">
        <fgColor indexed="43"/>
        <bgColor indexed="64"/>
      </patternFill>
    </fill>
    <fill>
      <patternFill patternType="solid">
        <fgColor indexed="42"/>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7">
    <xf numFmtId="0" fontId="0" fillId="0" borderId="0" xfId="0"/>
    <xf numFmtId="0" fontId="2" fillId="0" borderId="0" xfId="0" applyFont="1" applyFill="1" applyBorder="1"/>
    <xf numFmtId="3" fontId="3" fillId="0" borderId="0" xfId="0" applyNumberFormat="1" applyFont="1" applyFill="1" applyBorder="1"/>
    <xf numFmtId="0" fontId="4" fillId="0" borderId="0" xfId="0" quotePrefix="1" applyFont="1" applyFill="1" applyAlignment="1">
      <alignment horizontal="left" vertical="top" wrapText="1"/>
    </xf>
    <xf numFmtId="0" fontId="5" fillId="0" borderId="0" xfId="0" applyFont="1"/>
    <xf numFmtId="0" fontId="6" fillId="0" borderId="0" xfId="0" applyFont="1"/>
    <xf numFmtId="0" fontId="0" fillId="0" borderId="0" xfId="0" applyFill="1" applyAlignment="1"/>
    <xf numFmtId="0" fontId="7" fillId="0" borderId="0" xfId="0" applyFont="1" applyFill="1" applyAlignment="1">
      <alignment vertical="center"/>
    </xf>
    <xf numFmtId="0" fontId="8" fillId="2" borderId="0" xfId="1" applyFont="1" applyFill="1" applyBorder="1" applyAlignment="1">
      <alignment horizontal="center"/>
    </xf>
    <xf numFmtId="0" fontId="9" fillId="0" borderId="0" xfId="0" applyFont="1" applyFill="1" applyAlignment="1">
      <alignment vertical="top"/>
    </xf>
    <xf numFmtId="0" fontId="10" fillId="0" borderId="1" xfId="0" quotePrefix="1" applyFont="1" applyFill="1" applyBorder="1" applyAlignment="1" applyProtection="1">
      <alignment horizontal="center"/>
    </xf>
    <xf numFmtId="0" fontId="4" fillId="0" borderId="0" xfId="0" applyFont="1" applyFill="1" applyAlignment="1">
      <alignment horizontal="left" vertical="top"/>
    </xf>
    <xf numFmtId="0" fontId="10" fillId="0" borderId="1" xfId="0" applyFont="1" applyFill="1" applyBorder="1" applyAlignment="1" applyProtection="1">
      <alignment horizontal="right"/>
    </xf>
    <xf numFmtId="0" fontId="4" fillId="0" borderId="0" xfId="0" applyFont="1" applyFill="1" applyAlignment="1">
      <alignment vertical="top"/>
    </xf>
    <xf numFmtId="3" fontId="10" fillId="3" borderId="1" xfId="0" applyNumberFormat="1" applyFont="1" applyFill="1" applyBorder="1" applyAlignment="1" applyProtection="1">
      <alignment horizontal="right" vertical="center"/>
    </xf>
    <xf numFmtId="0" fontId="4" fillId="0" borderId="0" xfId="0" quotePrefix="1" applyFont="1" applyFill="1" applyAlignment="1">
      <alignment horizontal="left"/>
    </xf>
    <xf numFmtId="0" fontId="11" fillId="0" borderId="0" xfId="1" applyFont="1"/>
    <xf numFmtId="0" fontId="12" fillId="0" borderId="0" xfId="0" applyFont="1"/>
    <xf numFmtId="0" fontId="13" fillId="0" borderId="0" xfId="0" applyNumberFormat="1" applyFont="1" applyAlignment="1"/>
    <xf numFmtId="0" fontId="14" fillId="4" borderId="0" xfId="0" applyFont="1" applyFill="1" applyAlignment="1"/>
    <xf numFmtId="0" fontId="4" fillId="0" borderId="0" xfId="0" applyFont="1" applyFill="1" applyAlignment="1"/>
    <xf numFmtId="0" fontId="4" fillId="0" borderId="0" xfId="0" quotePrefix="1" applyFont="1" applyFill="1" applyAlignment="1">
      <alignment vertical="top"/>
    </xf>
    <xf numFmtId="164" fontId="10" fillId="5" borderId="1" xfId="0" applyNumberFormat="1" applyFont="1" applyFill="1" applyBorder="1" applyAlignment="1" applyProtection="1">
      <alignment horizontal="right"/>
    </xf>
    <xf numFmtId="164" fontId="10" fillId="3" borderId="1" xfId="0" applyNumberFormat="1" applyFont="1" applyFill="1" applyBorder="1" applyAlignment="1" applyProtection="1">
      <alignment horizontal="right" vertical="center"/>
    </xf>
    <xf numFmtId="0" fontId="15" fillId="0" borderId="0" xfId="0" applyFont="1"/>
    <xf numFmtId="3" fontId="10" fillId="0" borderId="1" xfId="0" applyNumberFormat="1" applyFont="1" applyFill="1" applyBorder="1" applyAlignment="1" applyProtection="1">
      <alignment horizontal="right"/>
    </xf>
    <xf numFmtId="0" fontId="10" fillId="0" borderId="2" xfId="0" applyFont="1" applyBorder="1" applyAlignment="1" applyProtection="1">
      <alignment horizontal="right"/>
    </xf>
    <xf numFmtId="0" fontId="6" fillId="0" borderId="0" xfId="0" applyFont="1" applyAlignment="1">
      <alignment horizontal="right"/>
    </xf>
    <xf numFmtId="0" fontId="16" fillId="6" borderId="3" xfId="0" quotePrefix="1" applyFont="1" applyFill="1" applyBorder="1" applyAlignment="1" applyProtection="1"/>
    <xf numFmtId="164" fontId="10" fillId="5" borderId="1" xfId="0" quotePrefix="1" applyNumberFormat="1" applyFont="1" applyFill="1" applyBorder="1" applyAlignment="1" applyProtection="1">
      <alignment horizontal="center"/>
    </xf>
    <xf numFmtId="0" fontId="11" fillId="4" borderId="0" xfId="1" applyFont="1" applyFill="1"/>
    <xf numFmtId="0" fontId="13" fillId="0" borderId="0" xfId="0" applyFont="1" applyAlignment="1">
      <alignment horizontal="center"/>
    </xf>
    <xf numFmtId="0" fontId="13" fillId="0" borderId="0" xfId="0" applyFont="1"/>
    <xf numFmtId="2" fontId="13" fillId="0" borderId="0" xfId="0" applyNumberFormat="1" applyFont="1"/>
    <xf numFmtId="0" fontId="5" fillId="0" borderId="0" xfId="0" applyFont="1" applyFill="1" applyBorder="1" applyAlignment="1">
      <alignment vertical="center"/>
    </xf>
    <xf numFmtId="0" fontId="10" fillId="0" borderId="1" xfId="0" applyFont="1" applyFill="1" applyBorder="1" applyAlignment="1" applyProtection="1">
      <alignment vertical="center"/>
    </xf>
    <xf numFmtId="0" fontId="8" fillId="2" borderId="4" xfId="1" applyFont="1" applyFill="1" applyBorder="1" applyAlignment="1">
      <alignment horizontal="center"/>
    </xf>
    <xf numFmtId="165" fontId="13" fillId="0" borderId="0" xfId="0" applyNumberFormat="1" applyFont="1"/>
    <xf numFmtId="0" fontId="10" fillId="0" borderId="2" xfId="0" applyFont="1" applyBorder="1" applyAlignment="1" applyProtection="1">
      <alignment horizontal="center"/>
    </xf>
    <xf numFmtId="164" fontId="10" fillId="7" borderId="2" xfId="0" applyNumberFormat="1" applyFont="1" applyFill="1" applyBorder="1" applyAlignment="1" applyProtection="1">
      <alignment horizontal="right"/>
    </xf>
    <xf numFmtId="0" fontId="10" fillId="0" borderId="1" xfId="0" quotePrefix="1" applyFont="1" applyBorder="1" applyAlignment="1" applyProtection="1"/>
    <xf numFmtId="3" fontId="15" fillId="0" borderId="5" xfId="0" applyNumberFormat="1" applyFont="1" applyFill="1" applyBorder="1" applyAlignment="1"/>
    <xf numFmtId="0" fontId="10" fillId="8" borderId="2" xfId="0" applyFont="1" applyFill="1" applyBorder="1" applyAlignment="1" applyProtection="1">
      <alignment vertical="center"/>
    </xf>
    <xf numFmtId="0" fontId="13" fillId="0" borderId="0" xfId="0" applyFont="1" applyFill="1" applyBorder="1" applyAlignment="1">
      <alignment vertical="center"/>
    </xf>
    <xf numFmtId="0" fontId="0" fillId="0" borderId="0" xfId="0" applyFont="1"/>
    <xf numFmtId="164" fontId="10" fillId="7" borderId="2" xfId="0" applyNumberFormat="1" applyFont="1" applyFill="1" applyBorder="1" applyAlignment="1" applyProtection="1">
      <alignment horizontal="center"/>
    </xf>
    <xf numFmtId="0" fontId="17" fillId="0" borderId="0" xfId="0" applyFont="1"/>
    <xf numFmtId="0" fontId="4" fillId="0" borderId="0" xfId="0" quotePrefix="1" applyFont="1" applyFill="1" applyAlignment="1">
      <alignment horizontal="left" vertical="top"/>
    </xf>
    <xf numFmtId="0" fontId="0" fillId="0" borderId="0" xfId="0" applyFont="1" applyFill="1" applyAlignment="1"/>
    <xf numFmtId="0" fontId="18" fillId="0" borderId="0" xfId="0" applyFont="1" applyFill="1" applyAlignment="1"/>
    <xf numFmtId="0" fontId="10" fillId="9" borderId="1" xfId="0" applyFont="1" applyFill="1" applyBorder="1" applyAlignment="1" applyProtection="1">
      <alignment horizontal="right"/>
    </xf>
    <xf numFmtId="0" fontId="19" fillId="0" borderId="0" xfId="0" applyFont="1"/>
    <xf numFmtId="0" fontId="10" fillId="3" borderId="1" xfId="0" applyFont="1" applyFill="1" applyBorder="1" applyAlignment="1" applyProtection="1">
      <alignment vertical="center"/>
    </xf>
    <xf numFmtId="0" fontId="13" fillId="0" borderId="0" xfId="0" applyNumberFormat="1" applyFont="1" applyFill="1" applyBorder="1" applyAlignment="1"/>
    <xf numFmtId="3" fontId="10" fillId="9" borderId="1" xfId="0" applyNumberFormat="1" applyFont="1" applyFill="1" applyBorder="1" applyAlignment="1" applyProtection="1">
      <alignment horizontal="right"/>
    </xf>
    <xf numFmtId="0" fontId="20" fillId="0" borderId="0" xfId="0" applyFont="1" applyFill="1" applyAlignment="1"/>
    <xf numFmtId="0" fontId="6" fillId="0" borderId="0" xfId="0" applyFont="1" applyAlignment="1">
      <alignment horizontal="center"/>
    </xf>
    <xf numFmtId="3" fontId="13" fillId="0" borderId="0" xfId="0" applyNumberFormat="1" applyFont="1" applyAlignment="1"/>
    <xf numFmtId="0" fontId="15" fillId="0" borderId="5" xfId="0" applyFont="1" applyFill="1" applyBorder="1" applyAlignment="1">
      <alignment vertical="center"/>
    </xf>
    <xf numFmtId="0" fontId="15" fillId="0" borderId="5" xfId="0" quotePrefix="1" applyFont="1" applyFill="1" applyBorder="1" applyAlignment="1"/>
    <xf numFmtId="0" fontId="15" fillId="0" borderId="5" xfId="0" quotePrefix="1" applyFont="1" applyFill="1" applyBorder="1" applyAlignment="1">
      <alignment horizontal="right"/>
    </xf>
    <xf numFmtId="0" fontId="10" fillId="10" borderId="6" xfId="0" applyFont="1" applyFill="1" applyBorder="1" applyAlignment="1" applyProtection="1">
      <alignment horizontal="right"/>
    </xf>
    <xf numFmtId="0" fontId="10" fillId="8" borderId="1" xfId="0" applyFont="1" applyFill="1" applyBorder="1" applyAlignment="1" applyProtection="1">
      <alignment vertical="center"/>
    </xf>
    <xf numFmtId="3" fontId="5" fillId="0" borderId="0" xfId="0" applyNumberFormat="1" applyFont="1" applyFill="1" applyAlignment="1"/>
    <xf numFmtId="3" fontId="13" fillId="11" borderId="0" xfId="0" applyNumberFormat="1" applyFont="1" applyFill="1" applyAlignment="1"/>
    <xf numFmtId="0" fontId="20" fillId="0" borderId="0" xfId="0" applyFont="1"/>
    <xf numFmtId="0" fontId="10" fillId="8" borderId="7" xfId="0" applyFont="1" applyFill="1" applyBorder="1" applyAlignment="1" applyProtection="1">
      <alignment vertical="center"/>
    </xf>
    <xf numFmtId="0" fontId="13" fillId="12" borderId="0" xfId="0" applyNumberFormat="1" applyFont="1" applyFill="1" applyAlignment="1"/>
    <xf numFmtId="0" fontId="13" fillId="12" borderId="0" xfId="0" applyFont="1" applyFill="1"/>
    <xf numFmtId="0" fontId="13" fillId="0" borderId="0" xfId="0" quotePrefix="1" applyFont="1" applyFill="1"/>
    <xf numFmtId="0" fontId="13" fillId="0" borderId="0" xfId="0" quotePrefix="1" applyFont="1"/>
    <xf numFmtId="0" fontId="11" fillId="12" borderId="0" xfId="1" applyFont="1" applyFill="1"/>
    <xf numFmtId="3" fontId="13" fillId="13" borderId="0" xfId="0" applyNumberFormat="1" applyFont="1" applyFill="1" applyAlignment="1"/>
    <xf numFmtId="0" fontId="10" fillId="8" borderId="6" xfId="0" applyFont="1" applyFill="1" applyBorder="1" applyAlignment="1" applyProtection="1">
      <alignment vertical="center"/>
    </xf>
    <xf numFmtId="3" fontId="13" fillId="12" borderId="0" xfId="0" applyNumberFormat="1" applyFont="1" applyFill="1" applyAlignment="1"/>
    <xf numFmtId="0" fontId="13" fillId="0" borderId="0" xfId="0" applyNumberFormat="1" applyFont="1"/>
    <xf numFmtId="0" fontId="10" fillId="10" borderId="2" xfId="0" applyFont="1" applyFill="1" applyBorder="1" applyAlignment="1" applyProtection="1">
      <alignment horizontal="right"/>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a="http://schemas.openxmlformats.org/drawingml/2006/main" xmlns:xdr="http://schemas.openxmlformats.org/drawingml/2006/spreadsheetDrawing">
  <xdr:twoCellAnchor editAs="oneCell">
    <xdr:from>
      <xdr:col>0</xdr:col>
      <xdr:colOff>4198002</xdr:colOff>
      <xdr:row>10</xdr:row>
      <xdr:rowOff>0</xdr:rowOff>
    </xdr:from>
    <xdr:to>
      <xdr:col>5</xdr:col>
      <xdr:colOff>208282</xdr:colOff>
      <xdr:row>11</xdr:row>
      <xdr:rowOff>0</xdr:rowOff>
    </xdr:to>
    <xdr:pic>
      <xdr:nvPicPr>
        <xdr:cNvPr id="3" name="Picture 2"/>
        <xdr:cNvPicPr>
          <a:picLocks/>
        </xdr:cNvPicPr>
      </xdr:nvPicPr>
      <xdr:blipFill>
        <a:blip xmlns:r="http://schemas.openxmlformats.org/officeDocument/2006/relationships" r:embed="rId1"/>
        <a:stretch>
          <a:fillRect/>
        </a:stretch>
      </xdr:blipFill>
      <xdr:spPr>
        <a:xfrm>
          <a:off x="4198002" y="2225675"/>
          <a:ext cx="3697028" cy="190500"/>
        </a:xfrm>
        <a:prstGeom prst="rect">
          <a:avLst/>
        </a:prstGeom>
        <a:noFill/>
        <a:ln w="0">
          <a:noFill/>
        </a:ln>
      </xdr:spPr>
    </xdr:pic>
    <xdr:clientData/>
  </xdr:twoCellAnchor>
  <xdr:twoCellAnchor editAs="oneCell">
    <xdr:from>
      <xdr:col>0</xdr:col>
      <xdr:colOff>4198002</xdr:colOff>
      <xdr:row>11</xdr:row>
      <xdr:rowOff>0</xdr:rowOff>
    </xdr:from>
    <xdr:to>
      <xdr:col>5</xdr:col>
      <xdr:colOff>208282</xdr:colOff>
      <xdr:row>12</xdr:row>
      <xdr:rowOff>0</xdr:rowOff>
    </xdr:to>
    <xdr:pic>
      <xdr:nvPicPr>
        <xdr:cNvPr id="4" name="Picture 3"/>
        <xdr:cNvPicPr>
          <a:picLocks/>
        </xdr:cNvPicPr>
      </xdr:nvPicPr>
      <xdr:blipFill>
        <a:blip xmlns:r="http://schemas.openxmlformats.org/officeDocument/2006/relationships" r:embed="rId1"/>
        <a:stretch>
          <a:fillRect/>
        </a:stretch>
      </xdr:blipFill>
      <xdr:spPr>
        <a:xfrm>
          <a:off x="4198002" y="2416175"/>
          <a:ext cx="3697028" cy="190500"/>
        </a:xfrm>
        <a:prstGeom prst="rect">
          <a:avLst/>
        </a:prstGeom>
        <a:noFill/>
        <a:ln w="0">
          <a:noFill/>
        </a:ln>
      </xdr:spPr>
    </xdr:pic>
    <xdr:clientData/>
  </xdr:twoCellAnchor>
  <xdr:twoCellAnchor editAs="oneCell">
    <xdr:from>
      <xdr:col>0</xdr:col>
      <xdr:colOff>4198002</xdr:colOff>
      <xdr:row>12</xdr:row>
      <xdr:rowOff>0</xdr:rowOff>
    </xdr:from>
    <xdr:to>
      <xdr:col>5</xdr:col>
      <xdr:colOff>208282</xdr:colOff>
      <xdr:row>13</xdr:row>
      <xdr:rowOff>0</xdr:rowOff>
    </xdr:to>
    <xdr:pic>
      <xdr:nvPicPr>
        <xdr:cNvPr id="5" name="Picture 4"/>
        <xdr:cNvPicPr>
          <a:picLocks/>
        </xdr:cNvPicPr>
      </xdr:nvPicPr>
      <xdr:blipFill>
        <a:blip xmlns:r="http://schemas.openxmlformats.org/officeDocument/2006/relationships" r:embed="rId1"/>
        <a:stretch>
          <a:fillRect/>
        </a:stretch>
      </xdr:blipFill>
      <xdr:spPr>
        <a:xfrm>
          <a:off x="4198002" y="2606675"/>
          <a:ext cx="3697028" cy="190500"/>
        </a:xfrm>
        <a:prstGeom prst="rect">
          <a:avLst/>
        </a:prstGeom>
        <a:noFill/>
        <a:ln w="0">
          <a:noFill/>
        </a:ln>
      </xdr:spPr>
    </xdr:pic>
    <xdr:clientData/>
  </xdr:twoCellAnchor>
  <xdr:twoCellAnchor editAs="oneCell">
    <xdr:from>
      <xdr:col>0</xdr:col>
      <xdr:colOff>4198002</xdr:colOff>
      <xdr:row>13</xdr:row>
      <xdr:rowOff>0</xdr:rowOff>
    </xdr:from>
    <xdr:to>
      <xdr:col>5</xdr:col>
      <xdr:colOff>208282</xdr:colOff>
      <xdr:row>14</xdr:row>
      <xdr:rowOff>0</xdr:rowOff>
    </xdr:to>
    <xdr:pic>
      <xdr:nvPicPr>
        <xdr:cNvPr id="6" name="Picture 5"/>
        <xdr:cNvPicPr>
          <a:picLocks/>
        </xdr:cNvPicPr>
      </xdr:nvPicPr>
      <xdr:blipFill>
        <a:blip xmlns:r="http://schemas.openxmlformats.org/officeDocument/2006/relationships" r:embed="rId1"/>
        <a:stretch>
          <a:fillRect/>
        </a:stretch>
      </xdr:blipFill>
      <xdr:spPr>
        <a:xfrm>
          <a:off x="4198002" y="2797175"/>
          <a:ext cx="3697028" cy="190500"/>
        </a:xfrm>
        <a:prstGeom prst="rect">
          <a:avLst/>
        </a:prstGeom>
        <a:noFill/>
        <a:ln w="0">
          <a:noFill/>
        </a:ln>
      </xdr:spPr>
    </xdr:pic>
    <xdr:clientData/>
  </xdr:twoCellAnchor>
  <xdr:twoCellAnchor editAs="oneCell">
    <xdr:from>
      <xdr:col>0</xdr:col>
      <xdr:colOff>4198002</xdr:colOff>
      <xdr:row>14</xdr:row>
      <xdr:rowOff>0</xdr:rowOff>
    </xdr:from>
    <xdr:to>
      <xdr:col>5</xdr:col>
      <xdr:colOff>208282</xdr:colOff>
      <xdr:row>15</xdr:row>
      <xdr:rowOff>0</xdr:rowOff>
    </xdr:to>
    <xdr:pic>
      <xdr:nvPicPr>
        <xdr:cNvPr id="7" name="Picture 6"/>
        <xdr:cNvPicPr>
          <a:picLocks/>
        </xdr:cNvPicPr>
      </xdr:nvPicPr>
      <xdr:blipFill>
        <a:blip xmlns:r="http://schemas.openxmlformats.org/officeDocument/2006/relationships" r:embed="rId1"/>
        <a:stretch>
          <a:fillRect/>
        </a:stretch>
      </xdr:blipFill>
      <xdr:spPr>
        <a:xfrm>
          <a:off x="4198002" y="2987675"/>
          <a:ext cx="3697028" cy="190500"/>
        </a:xfrm>
        <a:prstGeom prst="rect">
          <a:avLst/>
        </a:prstGeom>
        <a:noFill/>
        <a:ln w="0">
          <a:noFill/>
        </a:ln>
      </xdr:spPr>
    </xdr:pic>
    <xdr:clientData/>
  </xdr:twoCellAnchor>
  <xdr:twoCellAnchor editAs="oneCell">
    <xdr:from>
      <xdr:col>0</xdr:col>
      <xdr:colOff>4198002</xdr:colOff>
      <xdr:row>15</xdr:row>
      <xdr:rowOff>0</xdr:rowOff>
    </xdr:from>
    <xdr:to>
      <xdr:col>5</xdr:col>
      <xdr:colOff>208282</xdr:colOff>
      <xdr:row>16</xdr:row>
      <xdr:rowOff>0</xdr:rowOff>
    </xdr:to>
    <xdr:pic>
      <xdr:nvPicPr>
        <xdr:cNvPr id="8" name="Picture 7"/>
        <xdr:cNvPicPr>
          <a:picLocks/>
        </xdr:cNvPicPr>
      </xdr:nvPicPr>
      <xdr:blipFill>
        <a:blip xmlns:r="http://schemas.openxmlformats.org/officeDocument/2006/relationships" r:embed="rId1"/>
        <a:stretch>
          <a:fillRect/>
        </a:stretch>
      </xdr:blipFill>
      <xdr:spPr>
        <a:xfrm>
          <a:off x="4198002" y="3178175"/>
          <a:ext cx="3697028" cy="190500"/>
        </a:xfrm>
        <a:prstGeom prst="rect">
          <a:avLst/>
        </a:prstGeom>
        <a:noFill/>
        <a:ln w="0">
          <a:noFill/>
        </a:ln>
      </xdr:spPr>
    </xdr:pic>
    <xdr:clientData/>
  </xdr:twoCellAnchor>
  <xdr:twoCellAnchor editAs="oneCell">
    <xdr:from>
      <xdr:col>0</xdr:col>
      <xdr:colOff>4198002</xdr:colOff>
      <xdr:row>16</xdr:row>
      <xdr:rowOff>0</xdr:rowOff>
    </xdr:from>
    <xdr:to>
      <xdr:col>5</xdr:col>
      <xdr:colOff>208282</xdr:colOff>
      <xdr:row>17</xdr:row>
      <xdr:rowOff>0</xdr:rowOff>
    </xdr:to>
    <xdr:pic>
      <xdr:nvPicPr>
        <xdr:cNvPr id="9" name="Picture 8"/>
        <xdr:cNvPicPr>
          <a:picLocks/>
        </xdr:cNvPicPr>
      </xdr:nvPicPr>
      <xdr:blipFill>
        <a:blip xmlns:r="http://schemas.openxmlformats.org/officeDocument/2006/relationships" r:embed="rId1"/>
        <a:stretch>
          <a:fillRect/>
        </a:stretch>
      </xdr:blipFill>
      <xdr:spPr>
        <a:xfrm>
          <a:off x="4198002" y="3368675"/>
          <a:ext cx="3697028" cy="190500"/>
        </a:xfrm>
        <a:prstGeom prst="rect">
          <a:avLst/>
        </a:prstGeom>
        <a:noFill/>
        <a:ln w="0">
          <a:noFill/>
        </a:ln>
      </xdr:spPr>
    </xdr:pic>
    <xdr:clientData/>
  </xdr:twoCellAnchor>
  <xdr:twoCellAnchor editAs="oneCell">
    <xdr:from>
      <xdr:col>0</xdr:col>
      <xdr:colOff>4198002</xdr:colOff>
      <xdr:row>17</xdr:row>
      <xdr:rowOff>0</xdr:rowOff>
    </xdr:from>
    <xdr:to>
      <xdr:col>5</xdr:col>
      <xdr:colOff>208282</xdr:colOff>
      <xdr:row>18</xdr:row>
      <xdr:rowOff>0</xdr:rowOff>
    </xdr:to>
    <xdr:pic>
      <xdr:nvPicPr>
        <xdr:cNvPr id="10" name="Picture 9"/>
        <xdr:cNvPicPr>
          <a:picLocks/>
        </xdr:cNvPicPr>
      </xdr:nvPicPr>
      <xdr:blipFill>
        <a:blip xmlns:r="http://schemas.openxmlformats.org/officeDocument/2006/relationships" r:embed="rId1"/>
        <a:stretch>
          <a:fillRect/>
        </a:stretch>
      </xdr:blipFill>
      <xdr:spPr>
        <a:xfrm>
          <a:off x="4198002" y="3559175"/>
          <a:ext cx="3697028" cy="190500"/>
        </a:xfrm>
        <a:prstGeom prst="rect">
          <a:avLst/>
        </a:prstGeom>
        <a:noFill/>
        <a:ln w="0">
          <a:noFill/>
        </a:ln>
      </xdr:spPr>
    </xdr:pic>
    <xdr:clientData/>
  </xdr:twoCellAnchor>
  <xdr:twoCellAnchor editAs="oneCell">
    <xdr:from>
      <xdr:col>0</xdr:col>
      <xdr:colOff>4198002</xdr:colOff>
      <xdr:row>9</xdr:row>
      <xdr:rowOff>0</xdr:rowOff>
    </xdr:from>
    <xdr:to>
      <xdr:col>5</xdr:col>
      <xdr:colOff>208282</xdr:colOff>
      <xdr:row>10</xdr:row>
      <xdr:rowOff>0</xdr:rowOff>
    </xdr:to>
    <xdr:pic>
      <xdr:nvPicPr>
        <xdr:cNvPr id="11" name="Picture 10"/>
        <xdr:cNvPicPr>
          <a:picLocks/>
        </xdr:cNvPicPr>
      </xdr:nvPicPr>
      <xdr:blipFill>
        <a:blip xmlns:r="http://schemas.openxmlformats.org/officeDocument/2006/relationships" r:embed="rId2"/>
        <a:stretch>
          <a:fillRect/>
        </a:stretch>
      </xdr:blipFill>
      <xdr:spPr>
        <a:xfrm>
          <a:off x="4198002" y="2035175"/>
          <a:ext cx="3697028"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42578125" defaultRowHeight="14.95"/>
  <cols>
    <col min="1" max="1" width="57.5703125" style="44" customWidth="1"/>
    <col min="2" max="2" width="12.7109375" customWidth="1"/>
    <col min="3" max="6" width="11.7109375" customWidth="1"/>
    <col min="7" max="7" width="19.5703125" customWidth="1"/>
    <col min="8" max="10" width="11.71093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7" t="s">
        <v>27</v>
      </c>
      <c s="7"/>
      <c s="7"/>
      <c s="7"/>
      <c s="7"/>
      <c s="6"/>
    </row>
    <row s="65" customFormat="1">
      <c s="9" t="s">
        <v>15</v>
      </c>
      <c s="9"/>
      <c s="9"/>
      <c s="9"/>
      <c s="9"/>
      <c s="55"/>
    </row>
    <row ht="15" customHeight="1" s="65" customFormat="1">
      <c s="47" t="s">
        <v>98</v>
      </c>
      <c s="11"/>
      <c s="11"/>
      <c s="11"/>
      <c s="11"/>
      <c s="49"/>
    </row>
    <row s="65" customFormat="1">
      <c s="21" t="s">
        <v>26</v>
      </c>
      <c s="11"/>
      <c s="11"/>
      <c s="11"/>
      <c s="11"/>
      <c s="49"/>
    </row>
    <row s="65" customFormat="1">
      <c s="21" t="s">
        <v>52</v>
      </c>
      <c s="11"/>
      <c s="11"/>
      <c s="11"/>
      <c s="11"/>
      <c s="49"/>
    </row>
    <row ht="39" customHeight="1" s="65" customFormat="1">
      <c s="3" t="s">
        <v>140</v>
      </c>
      <c s="3"/>
      <c s="3"/>
      <c s="3"/>
      <c s="3"/>
      <c s="3"/>
      <c s="3"/>
    </row>
    <row ht="15" customHeight="1">
      <c s="15" t="s">
        <v>141</v>
      </c>
      <c s="15"/>
      <c s="15"/>
      <c s="20"/>
      <c s="20"/>
      <c s="20"/>
    </row>
    <row>
      <c s="21" t="s">
        <v>116</v>
      </c>
      <c s="13"/>
      <c s="13"/>
      <c s="13"/>
      <c s="13"/>
      <c s="6"/>
    </row>
    <row ht="16.5" customHeight="1">
      <c s="48"/>
      <c s="6"/>
      <c s="6"/>
      <c s="6"/>
      <c s="6"/>
      <c s="6"/>
    </row>
    <row ht="15" customHeight="1">
      <c s="28" t="s">
        <v>69</v>
      </c>
      <c s="40" t="s">
        <v>68</v>
      </c>
      <c r="F10" t="s">
        <v>40</v>
      </c>
    </row>
    <row ht="15" customHeight="1">
      <c s="28" t="s">
        <v>1</v>
      </c>
      <c s="40" t="s">
        <v>32</v>
      </c>
      <c r="F11" t="s">
        <v>40</v>
      </c>
    </row>
    <row ht="15" customHeight="1">
      <c s="28" t="s">
        <v>0</v>
      </c>
      <c s="40" t="s">
        <v>32</v>
      </c>
      <c r="F12" t="s">
        <v>40</v>
      </c>
    </row>
    <row ht="15" customHeight="1">
      <c s="28" t="s">
        <v>142</v>
      </c>
      <c s="40" t="s">
        <v>32</v>
      </c>
      <c r="F13" t="s">
        <v>40</v>
      </c>
    </row>
    <row ht="15" customHeight="1">
      <c s="28" t="s">
        <v>110</v>
      </c>
      <c s="40" t="s">
        <v>32</v>
      </c>
      <c r="F14" t="s">
        <v>40</v>
      </c>
    </row>
    <row ht="15" customHeight="1">
      <c s="28" t="s">
        <v>17</v>
      </c>
      <c s="40" t="s">
        <v>32</v>
      </c>
      <c r="F15" t="s">
        <v>40</v>
      </c>
    </row>
    <row ht="15" customHeight="1">
      <c s="28" t="s">
        <v>109</v>
      </c>
      <c s="40" t="s">
        <v>32</v>
      </c>
      <c r="F16" t="s">
        <v>40</v>
      </c>
    </row>
    <row ht="15" customHeight="1">
      <c s="28" t="s">
        <v>79</v>
      </c>
      <c s="40" t="s">
        <v>32</v>
      </c>
      <c r="F17" t="s">
        <v>40</v>
      </c>
    </row>
    <row ht="15" customHeight="1">
      <c s="28" t="s">
        <v>117</v>
      </c>
      <c s="40" t="s">
        <v>32</v>
      </c>
      <c r="F18" t="s">
        <v>40</v>
      </c>
    </row>
    <row ht="15" hidden="1" customHeight="1">
      <c s="28" t="s">
        <v>131</v>
      </c>
      <c s="40" t="s">
        <v>60</v>
      </c>
    </row>
    <row ht="15" hidden="1" customHeight="1">
      <c s="28" t="s">
        <v>99</v>
      </c>
      <c s="40" t="s">
        <v>16</v>
      </c>
    </row>
    <row ht="15" hidden="1">
      <c s="28" t="s">
        <v>78</v>
      </c>
      <c s="40" t="s">
        <v>28</v>
      </c>
    </row>
    <row>
      <c/>
    </row>
    <row>
      <c/>
    </row>
    <row ht="15" customHeight="1">
      <c/>
      <c s="10" t="s">
        <v>29</v>
      </c>
      <c s="10"/>
      <c s="10"/>
      <c s="10"/>
      <c s="10"/>
    </row>
    <row>
      <c/>
      <c s="10" t="s">
        <v>18</v>
      </c>
      <c s="10"/>
      <c s="10"/>
      <c s="29" t="s">
        <v>100</v>
      </c>
      <c s="29"/>
    </row>
    <row>
      <c s="28" t="s">
        <v>77</v>
      </c>
      <c s="12" t="s">
        <v>7</v>
      </c>
      <c s="12" t="s">
        <v>58</v>
      </c>
      <c s="50" t="s">
        <v>32</v>
      </c>
      <c s="12" t="s">
        <v>7</v>
      </c>
      <c s="12" t="s">
        <v>58</v>
      </c>
    </row>
    <row>
      <c s="35" t="s">
        <v>45</v>
      </c>
      <c s="25">
        <v>1513</v>
      </c>
      <c s="25">
        <v>262</v>
      </c>
      <c s="54">
        <v>1775</v>
      </c>
      <c s="22">
        <v>0.85239436619718312</v>
      </c>
      <c s="22">
        <v>0.14760563380281691</v>
      </c>
    </row>
    <row>
      <c s="35" t="s">
        <v>97</v>
      </c>
      <c s="25">
        <v>2878.8836000000015</v>
      </c>
      <c s="25">
        <v>1423.3025499999999</v>
      </c>
      <c s="54">
        <v>4302.1861500000005</v>
      </c>
      <c s="22">
        <v>0.66916760447476253</v>
      </c>
      <c s="22">
        <v>0.33083239552523774</v>
      </c>
    </row>
    <row>
      <c s="35" t="s">
        <v>72</v>
      </c>
      <c s="25">
        <v>443</v>
      </c>
      <c s="25">
        <v>224</v>
      </c>
      <c s="54">
        <v>667</v>
      </c>
      <c s="22">
        <v>0.664167916041979</v>
      </c>
      <c s="22">
        <v>0.335832083958021</v>
      </c>
    </row>
    <row>
      <c s="35" t="s">
        <v>85</v>
      </c>
      <c s="25">
        <v>52.000000000000007</v>
      </c>
      <c s="25">
        <v>14.999999999999998</v>
      </c>
      <c s="54">
        <v>67</v>
      </c>
      <c s="22">
        <v>0.77611940298507476</v>
      </c>
      <c s="22">
        <v>0.22388059701492535</v>
      </c>
    </row>
    <row>
      <c s="35" t="s">
        <v>57</v>
      </c>
      <c s="25">
        <v>284.5</v>
      </c>
      <c s="25">
        <v>110</v>
      </c>
      <c s="54">
        <v>394.5</v>
      </c>
      <c s="22">
        <v>0.72116603295310522</v>
      </c>
      <c s="22">
        <v>0.27883396704689478</v>
      </c>
    </row>
    <row>
      <c s="35" t="s">
        <v>146</v>
      </c>
      <c s="25">
        <v>1062</v>
      </c>
      <c s="25">
        <v>300</v>
      </c>
      <c s="54">
        <v>1362</v>
      </c>
      <c s="22">
        <v>0.77973568281938321</v>
      </c>
      <c s="22">
        <v>0.22026431718061673</v>
      </c>
    </row>
    <row>
      <c s="35" t="s">
        <v>36</v>
      </c>
      <c s="25">
        <v>1341.0000000000002</v>
      </c>
      <c s="25">
        <v>805.29999999999984</v>
      </c>
      <c s="54">
        <v>2146.3000000000002</v>
      </c>
      <c s="22">
        <v>0.62479616083492528</v>
      </c>
      <c s="22">
        <v>0.37520383916507466</v>
      </c>
    </row>
    <row>
      <c s="35" t="s">
        <v>22</v>
      </c>
      <c s="25">
        <v>27</v>
      </c>
      <c s="25">
        <v>24</v>
      </c>
      <c s="54">
        <v>51</v>
      </c>
      <c s="22">
        <v>0.52941176470588236</v>
      </c>
      <c s="22">
        <v>0.47058823529411764</v>
      </c>
    </row>
    <row>
      <c s="35" t="s">
        <v>135</v>
      </c>
      <c s="25">
        <v>120</v>
      </c>
      <c s="25">
        <v>57</v>
      </c>
      <c s="54">
        <v>177</v>
      </c>
      <c s="22">
        <v>0.67796610169491522</v>
      </c>
      <c s="22">
        <v>0.32203389830508472</v>
      </c>
    </row>
    <row>
      <c s="35" t="s">
        <v>67</v>
      </c>
      <c s="25">
        <v>99</v>
      </c>
      <c s="25">
        <v>39</v>
      </c>
      <c s="54">
        <v>138</v>
      </c>
      <c s="22">
        <v>0.71739130434782605</v>
      </c>
      <c s="22">
        <v>0.28260869565217389</v>
      </c>
    </row>
    <row>
      <c s="35" t="s">
        <v>84</v>
      </c>
      <c s="25">
        <v>173</v>
      </c>
      <c s="25">
        <v>188</v>
      </c>
      <c s="54">
        <v>361</v>
      </c>
      <c s="22">
        <v>0.47922437673130192</v>
      </c>
      <c s="22">
        <v>0.52077562326869808</v>
      </c>
    </row>
    <row>
      <c s="35" t="s">
        <v>30</v>
      </c>
      <c s="25">
        <v>2332</v>
      </c>
      <c s="25">
        <v>794</v>
      </c>
      <c s="54">
        <v>3126</v>
      </c>
      <c s="22">
        <v>0.74600127959053097</v>
      </c>
      <c s="22">
        <v>0.25399872040946897</v>
      </c>
    </row>
    <row>
      <c s="35" t="s">
        <v>6</v>
      </c>
      <c s="25">
        <v>1008</v>
      </c>
      <c s="25">
        <v>246</v>
      </c>
      <c s="54">
        <v>1254</v>
      </c>
      <c s="22">
        <v>0.80382775119617222</v>
      </c>
      <c s="22">
        <v>0.19617224880382775</v>
      </c>
    </row>
    <row>
      <c s="35" t="s">
        <v>122</v>
      </c>
      <c s="25">
        <v>1328</v>
      </c>
      <c s="25">
        <v>989</v>
      </c>
      <c s="54">
        <v>2317</v>
      </c>
      <c s="22">
        <v>0.57315494173500214</v>
      </c>
      <c s="22">
        <v>0.42684505826499786</v>
      </c>
    </row>
    <row>
      <c s="35" t="s">
        <v>152</v>
      </c>
      <c s="25">
        <v>813</v>
      </c>
      <c s="25">
        <v>659</v>
      </c>
      <c s="54">
        <v>1472</v>
      </c>
      <c s="22">
        <v>0.55230978260869568</v>
      </c>
      <c s="22">
        <v>0.44769021739130432</v>
      </c>
    </row>
    <row>
      <c s="35" t="s">
        <v>44</v>
      </c>
      <c s="25">
        <v>380</v>
      </c>
      <c s="25">
        <v>180</v>
      </c>
      <c s="54">
        <v>560</v>
      </c>
      <c s="22">
        <v>0.6785714285714286</v>
      </c>
      <c s="22">
        <v>0.32142857142857145</v>
      </c>
    </row>
    <row>
      <c s="35" t="s">
        <v>104</v>
      </c>
      <c s="25">
        <v>1918</v>
      </c>
      <c s="25">
        <v>670</v>
      </c>
      <c s="54">
        <v>2588</v>
      </c>
      <c s="22">
        <v>0.74111282843894899</v>
      </c>
      <c s="22">
        <v>0.25888717156105101</v>
      </c>
    </row>
    <row>
      <c s="35" t="s">
        <v>151</v>
      </c>
      <c s="25">
        <v>1589</v>
      </c>
      <c s="25">
        <v>554</v>
      </c>
      <c s="54">
        <v>2143</v>
      </c>
      <c s="22">
        <v>0.74148390107326179</v>
      </c>
      <c s="22">
        <v>0.25851609892673821</v>
      </c>
    </row>
    <row>
      <c s="35" t="s">
        <v>56</v>
      </c>
      <c s="25">
        <v>981</v>
      </c>
      <c s="25">
        <v>657</v>
      </c>
      <c s="54">
        <v>1638</v>
      </c>
      <c s="22">
        <v>0.59890109890109888</v>
      </c>
      <c s="22">
        <v>0.40109890109890112</v>
      </c>
    </row>
    <row>
      <c s="35" t="s">
        <v>71</v>
      </c>
      <c s="25">
        <v>906.70000000000005</v>
      </c>
      <c s="25">
        <v>1122</v>
      </c>
      <c s="54">
        <v>2028.7</v>
      </c>
      <c s="22">
        <v>0.44693646177354956</v>
      </c>
      <c s="22">
        <v>0.55306353822645038</v>
      </c>
    </row>
    <row>
      <c s="35" t="s">
        <v>83</v>
      </c>
      <c s="25">
        <v>14</v>
      </c>
      <c s="25">
        <v>2</v>
      </c>
      <c s="54">
        <v>16</v>
      </c>
      <c s="22">
        <v>0.875</v>
      </c>
      <c s="22">
        <v>0.125</v>
      </c>
    </row>
    <row>
      <c s="35" t="s">
        <v>103</v>
      </c>
      <c s="25">
        <v>1333</v>
      </c>
      <c s="25">
        <v>307</v>
      </c>
      <c s="54">
        <v>1640</v>
      </c>
      <c s="22">
        <v>0.81280487804878043</v>
      </c>
      <c s="22">
        <v>0.18719512195121951</v>
      </c>
    </row>
    <row>
      <c s="35" t="s">
        <v>70</v>
      </c>
      <c s="25">
        <v>2400</v>
      </c>
      <c s="25">
        <v>2607</v>
      </c>
      <c s="54">
        <v>5007</v>
      </c>
      <c s="22">
        <v>0.47932893948472138</v>
      </c>
      <c s="22">
        <v>0.52067106051527856</v>
      </c>
    </row>
    <row>
      <c s="35" t="s">
        <v>55</v>
      </c>
      <c s="25">
        <v>80</v>
      </c>
      <c s="25">
        <v>32</v>
      </c>
      <c s="54">
        <v>112</v>
      </c>
      <c s="22">
        <v>0.7142857142857143</v>
      </c>
      <c s="22">
        <v>0.2857142857142857</v>
      </c>
    </row>
    <row>
      <c s="35" t="s">
        <v>66</v>
      </c>
      <c s="25">
        <v>86</v>
      </c>
      <c s="25">
        <v>204</v>
      </c>
      <c s="54">
        <v>290</v>
      </c>
      <c s="22">
        <v>0.29655172413793102</v>
      </c>
      <c s="22">
        <v>0.70344827586206893</v>
      </c>
    </row>
    <row>
      <c s="35" t="s">
        <v>102</v>
      </c>
      <c s="25">
        <v>144</v>
      </c>
      <c s="25">
        <v>184</v>
      </c>
      <c s="54">
        <v>328</v>
      </c>
      <c s="22">
        <v>0.43902439024390244</v>
      </c>
      <c s="22">
        <v>0.56097560975609762</v>
      </c>
    </row>
    <row>
      <c s="35" t="s">
        <v>145</v>
      </c>
      <c s="25">
        <v>2643</v>
      </c>
      <c s="25">
        <v>2433</v>
      </c>
      <c s="54">
        <v>5076</v>
      </c>
      <c s="22">
        <v>0.5206855791962175</v>
      </c>
      <c s="22">
        <v>0.4793144208037825</v>
      </c>
    </row>
    <row>
      <c s="35" t="s">
        <v>5</v>
      </c>
      <c s="25">
        <v>4034</v>
      </c>
      <c s="25">
        <v>2587.5</v>
      </c>
      <c s="54">
        <v>6621.5</v>
      </c>
      <c s="22">
        <v>0.60922751642377104</v>
      </c>
      <c s="22">
        <v>0.39077248357622896</v>
      </c>
    </row>
    <row>
      <c s="35" t="s">
        <v>92</v>
      </c>
      <c s="25">
        <v>112</v>
      </c>
      <c s="25">
        <v>56</v>
      </c>
      <c s="54">
        <v>168</v>
      </c>
      <c s="22">
        <v>0.66666666666666663</v>
      </c>
      <c s="22">
        <v>0.33333333333333331</v>
      </c>
    </row>
    <row>
      <c s="35" t="s">
        <v>139</v>
      </c>
      <c s="25">
        <v>3216.5</v>
      </c>
      <c s="25">
        <v>1274.0000000000002</v>
      </c>
      <c s="54">
        <v>4490.5</v>
      </c>
      <c s="22">
        <v>0.71628994544037417</v>
      </c>
      <c s="22">
        <v>0.28371005455962595</v>
      </c>
    </row>
    <row>
      <c s="35" t="s">
        <v>21</v>
      </c>
      <c s="25">
        <v>77</v>
      </c>
      <c s="25">
        <v>59</v>
      </c>
      <c s="54">
        <v>136</v>
      </c>
      <c s="22">
        <v>0.56617647058823528</v>
      </c>
      <c s="22">
        <v>0.43382352941176472</v>
      </c>
    </row>
    <row>
      <c s="35" t="s">
        <v>43</v>
      </c>
      <c s="25">
        <v>19</v>
      </c>
      <c s="25">
        <v>43</v>
      </c>
      <c s="54">
        <v>62</v>
      </c>
      <c s="22">
        <v>0.30645161290322581</v>
      </c>
      <c s="22">
        <v>0.69354838709677424</v>
      </c>
    </row>
    <row>
      <c s="35" t="s">
        <v>82</v>
      </c>
      <c s="25">
        <v>608</v>
      </c>
      <c s="25">
        <v>1174.5</v>
      </c>
      <c s="54">
        <v>1782.5</v>
      </c>
      <c s="22">
        <v>0.34109396914446005</v>
      </c>
      <c s="22">
        <v>0.65890603085554</v>
      </c>
    </row>
    <row>
      <c s="35" t="s">
        <v>65</v>
      </c>
      <c s="25">
        <v>596.99999999999989</v>
      </c>
      <c s="25">
        <v>469.16666999999995</v>
      </c>
      <c s="54">
        <v>1066.1666700000001</v>
      </c>
      <c s="22">
        <v>0.55994997480084407</v>
      </c>
      <c s="22">
        <v>0.4400500251991557</v>
      </c>
    </row>
    <row>
      <c s="35" t="s">
        <v>150</v>
      </c>
      <c s="25">
        <v>766</v>
      </c>
      <c s="25">
        <v>879</v>
      </c>
      <c s="54">
        <v>1645</v>
      </c>
      <c s="22">
        <v>0.46565349544072948</v>
      </c>
      <c s="22">
        <v>0.53434650455927046</v>
      </c>
    </row>
    <row>
      <c s="35" t="s">
        <v>4</v>
      </c>
      <c s="25">
        <v>35.5</v>
      </c>
      <c s="25">
        <v>63</v>
      </c>
      <c s="54">
        <v>98.5</v>
      </c>
      <c s="22">
        <v>0.3604060913705584</v>
      </c>
      <c s="22">
        <v>0.63959390862944165</v>
      </c>
    </row>
    <row>
      <c s="35" t="s">
        <v>3</v>
      </c>
      <c s="25">
        <v>459</v>
      </c>
      <c s="25">
        <v>781</v>
      </c>
      <c s="54">
        <v>1240</v>
      </c>
      <c s="22">
        <v>0.37016129032258066</v>
      </c>
      <c s="22">
        <v>0.62983870967741939</v>
      </c>
    </row>
    <row>
      <c s="35" t="s">
        <v>39</v>
      </c>
      <c s="25">
        <v>259</v>
      </c>
      <c s="25">
        <v>274</v>
      </c>
      <c s="54">
        <v>533</v>
      </c>
      <c s="22">
        <v>0.48592870544090055</v>
      </c>
      <c s="22">
        <v>0.51407129455909939</v>
      </c>
    </row>
    <row>
      <c s="35" t="s">
        <v>42</v>
      </c>
      <c s="25">
        <v>217.5</v>
      </c>
      <c s="25">
        <v>480</v>
      </c>
      <c s="54">
        <v>697.5</v>
      </c>
      <c s="22">
        <v>0.31182795698924731</v>
      </c>
      <c s="22">
        <v>0.68817204301075274</v>
      </c>
    </row>
    <row>
      <c s="35" t="s">
        <v>134</v>
      </c>
      <c s="25">
        <v>1342</v>
      </c>
      <c s="25">
        <v>4189</v>
      </c>
      <c s="54">
        <v>5531</v>
      </c>
      <c s="22">
        <v>0.24263243536431026</v>
      </c>
      <c s="22">
        <v>0.75736756463568977</v>
      </c>
    </row>
    <row>
      <c s="35" t="s">
        <v>64</v>
      </c>
      <c s="25">
        <v>402</v>
      </c>
      <c s="25">
        <v>811</v>
      </c>
      <c s="54">
        <v>1213</v>
      </c>
      <c s="22">
        <v>0.33140972794723828</v>
      </c>
      <c s="22">
        <v>0.66859027205276178</v>
      </c>
    </row>
    <row>
      <c s="35" t="s">
        <v>112</v>
      </c>
      <c s="25">
        <v>297</v>
      </c>
      <c s="25">
        <v>1398</v>
      </c>
      <c s="54">
        <v>1695</v>
      </c>
      <c s="22">
        <v>0.17522123893805311</v>
      </c>
      <c s="22">
        <v>0.82477876106194692</v>
      </c>
    </row>
    <row>
      <c s="35" t="s">
        <v>41</v>
      </c>
      <c s="25">
        <v>554</v>
      </c>
      <c s="25">
        <v>1004</v>
      </c>
      <c s="54">
        <v>1558</v>
      </c>
      <c s="22">
        <v>0.35558408215661103</v>
      </c>
      <c s="22">
        <v>0.64441591784338892</v>
      </c>
    </row>
    <row>
      <c s="35" t="s">
        <v>54</v>
      </c>
      <c s="25">
        <v>51</v>
      </c>
      <c s="25">
        <v>316.5</v>
      </c>
      <c s="54">
        <v>367.5</v>
      </c>
      <c s="22">
        <v>0.13877551020408163</v>
      </c>
      <c s="22">
        <v>0.86122448979591837</v>
      </c>
    </row>
    <row>
      <c s="35" t="s">
        <v>63</v>
      </c>
      <c s="25">
        <v>556.5</v>
      </c>
      <c s="25">
        <v>666.5</v>
      </c>
      <c s="54">
        <v>1223</v>
      </c>
      <c s="22">
        <v>0.45502861815208506</v>
      </c>
      <c s="22">
        <v>0.54497138184791494</v>
      </c>
    </row>
    <row>
      <c s="35" t="s">
        <v>144</v>
      </c>
      <c s="25">
        <v>22</v>
      </c>
      <c s="25">
        <v>39</v>
      </c>
      <c s="54">
        <v>61</v>
      </c>
      <c s="22">
        <v>0.36065573770491804</v>
      </c>
      <c s="22">
        <v>0.63934426229508201</v>
      </c>
    </row>
    <row>
      <c s="35" t="s">
        <v>2</v>
      </c>
      <c s="25">
        <v>71</v>
      </c>
      <c s="25">
        <v>42</v>
      </c>
      <c s="54">
        <v>113</v>
      </c>
      <c s="22">
        <v>0.62831858407079644</v>
      </c>
      <c s="22">
        <v>0.37168141592920356</v>
      </c>
    </row>
    <row>
      <c s="35" t="s">
        <v>35</v>
      </c>
      <c s="25">
        <v>14</v>
      </c>
      <c s="25">
        <v>36</v>
      </c>
      <c s="54">
        <v>50</v>
      </c>
      <c s="22">
        <v>0.28000000000000003</v>
      </c>
      <c s="22">
        <v>0.71999999999999997</v>
      </c>
    </row>
    <row>
      <c s="35" t="s">
        <v>101</v>
      </c>
      <c s="25">
        <v>54</v>
      </c>
      <c s="25">
        <v>132</v>
      </c>
      <c s="54">
        <v>186</v>
      </c>
      <c s="22">
        <v>0.29032258064516131</v>
      </c>
      <c s="22">
        <v>0.70967741935483875</v>
      </c>
    </row>
    <row>
      <c s="35" t="s">
        <v>133</v>
      </c>
      <c s="25">
        <v>20</v>
      </c>
      <c s="25">
        <v>15</v>
      </c>
      <c s="54">
        <v>35</v>
      </c>
      <c s="22">
        <v>0.5714285714285714</v>
      </c>
      <c s="22">
        <v>0.42857142857142855</v>
      </c>
    </row>
    <row>
      <c s="35" t="s">
        <v>149</v>
      </c>
      <c s="25">
        <v>1981</v>
      </c>
      <c s="25">
        <v>1329</v>
      </c>
      <c s="54">
        <v>3310</v>
      </c>
      <c s="22">
        <v>0.59848942598187316</v>
      </c>
      <c s="22">
        <v>0.4015105740181269</v>
      </c>
    </row>
    <row>
      <c s="35" t="s">
        <v>121</v>
      </c>
      <c s="25">
        <v>545</v>
      </c>
      <c s="25">
        <v>914</v>
      </c>
      <c s="54">
        <v>1459</v>
      </c>
      <c s="22">
        <v>0.37354352296093213</v>
      </c>
      <c s="22">
        <v>0.62645647703906782</v>
      </c>
    </row>
    <row>
      <c s="35" t="s">
        <v>34</v>
      </c>
      <c s="25">
        <v>3</v>
      </c>
      <c s="25">
        <v>5</v>
      </c>
      <c s="54">
        <v>8</v>
      </c>
      <c s="22">
        <v>0.375</v>
      </c>
      <c s="22">
        <v>0.625</v>
      </c>
    </row>
    <row>
      <c s="35" t="s">
        <v>120</v>
      </c>
      <c s="25">
        <v>237</v>
      </c>
      <c s="25">
        <v>187</v>
      </c>
      <c s="54">
        <v>424</v>
      </c>
      <c s="22">
        <v>0.55896226415094341</v>
      </c>
      <c s="22">
        <v>0.44103773584905659</v>
      </c>
    </row>
    <row>
      <c s="35" t="s">
        <v>62</v>
      </c>
      <c s="25">
        <v>21</v>
      </c>
      <c s="25">
        <v>17</v>
      </c>
      <c s="54">
        <v>38</v>
      </c>
      <c s="22">
        <v>0.55263157894736847</v>
      </c>
      <c s="22">
        <v>0.44736842105263158</v>
      </c>
    </row>
    <row>
      <c s="35" t="s">
        <v>33</v>
      </c>
      <c s="25">
        <v>98</v>
      </c>
      <c s="25">
        <v>165</v>
      </c>
      <c s="54">
        <v>263</v>
      </c>
      <c s="22">
        <v>0.37262357414448671</v>
      </c>
      <c s="22">
        <v>0.62737642585551334</v>
      </c>
    </row>
    <row>
      <c s="35" t="s">
        <v>148</v>
      </c>
      <c s="25">
        <v>307</v>
      </c>
      <c s="25">
        <v>70</v>
      </c>
      <c s="54">
        <v>377</v>
      </c>
      <c s="22">
        <v>0.81432360742705567</v>
      </c>
      <c s="22">
        <v>0.1856763925729443</v>
      </c>
    </row>
    <row>
      <c s="35" t="s">
        <v>91</v>
      </c>
      <c s="25">
        <v>16</v>
      </c>
      <c s="25">
        <v>2</v>
      </c>
      <c s="54">
        <v>18</v>
      </c>
      <c s="22">
        <v>0.88888888888888884</v>
      </c>
      <c s="22">
        <v>0.1111111111111111</v>
      </c>
    </row>
    <row>
      <c s="35" t="s">
        <v>132</v>
      </c>
      <c s="25">
        <v>2051.5668999999998</v>
      </c>
      <c s="25">
        <v>1358.3333999999995</v>
      </c>
      <c s="54">
        <v>3409.9003000000002</v>
      </c>
      <c s="22">
        <v>0.60165011276136127</v>
      </c>
      <c s="22">
        <v>0.39834988723863846</v>
      </c>
    </row>
    <row>
      <c s="35" t="s">
        <v>81</v>
      </c>
      <c s="25">
        <v>32</v>
      </c>
      <c s="25">
        <v>11</v>
      </c>
      <c s="54">
        <v>43</v>
      </c>
      <c s="22">
        <v>0.7441860465116279</v>
      </c>
      <c s="22">
        <v>0.2558139534883721</v>
      </c>
    </row>
    <row>
      <c s="35" t="s">
        <v>119</v>
      </c>
      <c s="25">
        <v>115</v>
      </c>
      <c s="25">
        <v>55</v>
      </c>
      <c s="54">
        <v>170</v>
      </c>
      <c s="22">
        <v>0.67647058823529416</v>
      </c>
      <c s="22">
        <v>0.3235294117647059</v>
      </c>
    </row>
    <row>
      <c s="35" t="s">
        <v>143</v>
      </c>
      <c s="25">
        <v>1</v>
      </c>
      <c s="25"/>
      <c s="54">
        <v>1</v>
      </c>
      <c s="22">
        <v>1</v>
      </c>
      <c s="22"/>
    </row>
    <row>
      <c s="35" t="s">
        <v>53</v>
      </c>
      <c s="25">
        <v>920</v>
      </c>
      <c s="25">
        <v>302.5</v>
      </c>
      <c s="54">
        <v>1222.5</v>
      </c>
      <c s="22">
        <v>0.75255623721881393</v>
      </c>
      <c s="22">
        <v>0.2474437627811861</v>
      </c>
    </row>
    <row>
      <c s="35" t="s">
        <v>61</v>
      </c>
      <c s="25">
        <v>17</v>
      </c>
      <c s="25">
        <v>5</v>
      </c>
      <c s="54">
        <v>22</v>
      </c>
      <c s="22">
        <v>0.77272727272727271</v>
      </c>
      <c s="22">
        <v>0.22727272727272727</v>
      </c>
    </row>
    <row>
      <c s="35" t="s">
        <v>20</v>
      </c>
      <c s="25">
        <v>501</v>
      </c>
      <c s="25">
        <v>467</v>
      </c>
      <c s="54">
        <v>968</v>
      </c>
      <c s="22">
        <v>0.5175619834710744</v>
      </c>
      <c s="22">
        <v>0.4824380165289256</v>
      </c>
    </row>
    <row>
      <c s="35" t="s">
        <v>80</v>
      </c>
      <c s="25">
        <v>160</v>
      </c>
      <c s="25">
        <v>136</v>
      </c>
      <c s="54">
        <v>296</v>
      </c>
      <c s="22">
        <v>0.54054054054054057</v>
      </c>
      <c s="22">
        <v>0.45945945945945948</v>
      </c>
    </row>
    <row>
      <c s="35" t="s">
        <v>19</v>
      </c>
      <c s="25">
        <v>165</v>
      </c>
      <c s="25">
        <v>214</v>
      </c>
      <c s="54">
        <v>379</v>
      </c>
      <c s="22">
        <v>0.43535620052770446</v>
      </c>
      <c s="22">
        <v>0.56464379947229548</v>
      </c>
    </row>
    <row>
      <c s="35" t="s">
        <v>118</v>
      </c>
      <c s="25">
        <v>342.00000000000006</v>
      </c>
      <c s="25">
        <v>218.99999999999994</v>
      </c>
      <c s="54">
        <v>561.00000000000011</v>
      </c>
      <c s="22">
        <v>0.60962566844919786</v>
      </c>
      <c s="22">
        <v>0.39037433155080198</v>
      </c>
    </row>
    <row>
      <c s="35" t="s">
        <v>111</v>
      </c>
      <c s="25">
        <v>122</v>
      </c>
      <c s="25">
        <v>96</v>
      </c>
      <c s="54">
        <v>218</v>
      </c>
      <c s="22">
        <v>0.55963302752293576</v>
      </c>
      <c s="22">
        <v>0.44036697247706424</v>
      </c>
    </row>
    <row>
      <c s="52" t="s">
        <v>32</v>
      </c>
      <c s="14">
        <v>47367.650499999996</v>
      </c>
      <c s="14">
        <v>37429.602619999998</v>
      </c>
      <c s="14">
        <v>84797.253120000023</v>
      </c>
      <c s="23">
        <v>0.5585988785859386</v>
      </c>
      <c s="23">
        <v>0.44140112141406107</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34"/>
      <c s="2"/>
      <c s="2"/>
      <c s="2"/>
      <c s="2"/>
      <c s="2"/>
      <c s="2"/>
      <c s="2"/>
      <c s="2"/>
      <c s="2"/>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5">
    <mergeCell ref="A6:G6"/>
    <mergeCell ref="A7:C7"/>
    <mergeCell ref="B24:F24"/>
    <mergeCell ref="B25:D25"/>
    <mergeCell ref="E25:F25"/>
  </mergeCells>
  <pageMargins left="0.70866141732283472" right="0.70866141732283472" top="0.78740157480314965" bottom="0.78740157480314965" header="0.31496062992125984" footer="0.31496062992125984"/>
  <pageSetup paperSize="9" scale="81" fitToHeight="0" orientation="landscape"/>
  <headerFooter>
    <oddHeader>&amp;L&amp;"Tahoma,Standard"&amp;10unidata.gv.at&amp;R&amp;"Tahoma,Standard"&amp;10&amp;D</oddHeader>
    <oddFooter>&amp;R&amp;"Tahoma,Standard"&amp;10&amp;P/&amp;N</oddFooter>
  </headerFooter>
  <rowBreaks count="2" manualBreakCount="2">
    <brk id="41" max="8" man="1"/>
    <brk id="75" max="8" man="1"/>
  </rowBreaks>
  <drawing r:id="rId1"/>
</worksheet>
</file>

<file path=xl/worksheets/sheet2.xml><?xml version="1.0" encoding="utf-8"?>
<worksheet xmlns:r="http://schemas.openxmlformats.org/officeDocument/2006/relationships" xmlns="http://schemas.openxmlformats.org/spreadsheetml/2006/main">
  <dimension ref="A1:Z34"/>
  <sheetViews>
    <sheetView workbookViewId="0">
      <selection activeCell="E32" sqref="E32"/>
    </sheetView>
  </sheetViews>
  <sheetFormatPr defaultColWidth="9.140625" defaultRowHeight="13.6"/>
  <cols>
    <col min="1" max="1" width="13.5703125" style="32" customWidth="1"/>
    <col min="2" max="2" width="40.85546875" style="32" customWidth="1"/>
    <col min="3" max="3" width="28.140625" style="32" customWidth="1"/>
    <col min="4" max="4" width="16.28515625" style="32" customWidth="1"/>
    <col min="5" max="5" width="19.42578125" style="32" customWidth="1"/>
    <col min="6" max="6" width="11.140625" style="32" customWidth="1"/>
    <col min="7" max="7" width="9.140625" style="32" customWidth="1"/>
    <col min="8" max="8" width="17.28515625" style="32" customWidth="1"/>
    <col min="9" max="9" width="19.5703125" style="32" customWidth="1"/>
    <col min="10" max="12" width="12.42578125" style="32" customWidth="1"/>
    <col min="13" max="13" width="16" style="32" customWidth="1"/>
    <col min="14" max="14" width="14.28515625" style="32" customWidth="1"/>
    <col min="15" max="15" width="18.28515625" style="32" customWidth="1"/>
    <col min="16" max="25" width="9.140625" style="32" customWidth="1"/>
    <col min="26" max="26" width="9.140625" style="32" hidden="1" customWidth="1"/>
    <col min="27" max="27" width="9.140625" style="32" customWidth="1"/>
    <col min="28" max="16384" width="9.140625" style="32"/>
  </cols>
  <sheetData>
    <row>
      <c s="75"/>
      <c r="H1" s="37">
        <v>129806172700000000</v>
      </c>
      <c r="Z1" s="33" t="b">
        <f>0=1</f>
        <v>0</v>
      </c>
    </row>
    <row>
      <c r="Z2" s="33" t="b">
        <f>1=1</f>
        <v>1</v>
      </c>
    </row>
    <row>
      <c r="Z3" s="33"/>
    </row>
    <row>
      <c r="I4" s="32" t="s">
        <v>59</v>
      </c>
      <c s="36" t="s">
        <v>113</v>
      </c>
      <c s="8"/>
      <c s="8"/>
      <c s="8"/>
      <c s="8"/>
      <c s="8"/>
    </row>
    <row>
      <c r="J5" s="30" t="s">
        <v>46</v>
      </c>
      <c s="16" t="s">
        <v>86</v>
      </c>
      <c s="16" t="s">
        <v>105</v>
      </c>
      <c s="30" t="s">
        <v>153</v>
      </c>
      <c s="71" t="s">
        <v>123</v>
      </c>
      <c s="16" t="s">
        <v>8</v>
      </c>
    </row>
    <row>
      <c r="B6" s="27" t="s">
        <v>124</v>
      </c>
      <c s="19" t="s">
        <v>136</v>
      </c>
      <c s="59" t="s">
        <v>23</v>
      </c>
      <c s="5" t="s">
        <v>87</v>
      </c>
    </row>
    <row>
      <c r="C7" s="17"/>
      <c s="24" t="s">
        <v>24</v>
      </c>
      <c s="5" t="s">
        <v>93</v>
      </c>
    </row>
    <row>
      <c r="C8" s="24" t="s">
        <v>9</v>
      </c>
      <c s="17"/>
    </row>
    <row>
      <c r="C9" s="17"/>
      <c s="19" t="s">
        <v>47</v>
      </c>
      <c s="51"/>
    </row>
    <row>
      <c r="C10" s="19" t="s">
        <v>73</v>
      </c>
      <c s="60" t="s">
        <v>106</v>
      </c>
      <c s="5" t="s">
        <v>31</v>
      </c>
    </row>
    <row>
      <c r="B11" s="27" t="s">
        <v>88</v>
      </c>
      <c s="58" t="s">
        <v>74</v>
      </c>
      <c s="41">
        <v>60398</v>
      </c>
      <c s="5" t="s">
        <v>48</v>
      </c>
    </row>
    <row>
      <c r="B12" s="27"/>
      <c s="43"/>
      <c s="53"/>
      <c s="56" t="s">
        <v>114</v>
      </c>
    </row>
    <row>
      <c r="B13" s="27" t="s">
        <v>75</v>
      </c>
      <c s="68" t="s">
        <v>37</v>
      </c>
      <c s="74">
        <v>1212</v>
      </c>
      <c s="32" t="b">
        <v>0</v>
      </c>
      <c s="5" t="s">
        <v>107</v>
      </c>
    </row>
    <row ht="12.75" hidden="1">
      <c r="B14" s="27"/>
      <c s="68"/>
      <c s="67"/>
      <c s="32" t="b">
        <v>0</v>
      </c>
    </row>
    <row>
      <c r="B15" s="27" t="s">
        <v>137</v>
      </c>
      <c s="32" t="s">
        <v>147</v>
      </c>
      <c s="57">
        <v>1212</v>
      </c>
      <c s="32" t="b">
        <v>0</v>
      </c>
      <c s="5" t="s">
        <v>38</v>
      </c>
    </row>
    <row ht="12.75" hidden="1">
      <c r="B16" s="27"/>
      <c r="D16" s="18"/>
      <c s="32" t="b">
        <v>0</v>
      </c>
      <c s="5"/>
    </row>
    <row>
      <c r="B17" s="27"/>
      <c s="32" t="s">
        <v>49</v>
      </c>
      <c s="72">
        <v>3434</v>
      </c>
      <c s="32" t="b">
        <v>0</v>
      </c>
      <c s="5" t="s">
        <v>108</v>
      </c>
    </row>
    <row>
      <c r="B18" s="27"/>
      <c r="D18" s="18"/>
      <c s="32" t="b">
        <v>0</v>
      </c>
      <c s="5"/>
    </row>
    <row>
      <c r="B19" s="27"/>
      <c s="32" t="s">
        <v>10</v>
      </c>
      <c s="64">
        <v>3434</v>
      </c>
      <c s="32" t="b">
        <v>0</v>
      </c>
      <c s="5" t="s">
        <v>125</v>
      </c>
    </row>
    <row>
      <c r="B20" s="27"/>
      <c r="D20" s="18"/>
      <c s="32" t="b">
        <v>0</v>
      </c>
      <c s="5"/>
    </row>
    <row>
      <c r="B21" s="27"/>
      <c s="32" t="s">
        <v>126</v>
      </c>
      <c s="63">
        <v>5656</v>
      </c>
      <c s="32" t="b">
        <v>0</v>
      </c>
      <c s="5" t="s">
        <v>154</v>
      </c>
    </row>
    <row>
      <c r="B22" s="27"/>
      <c r="E22" s="5"/>
      <c r="I22" s="46"/>
    </row>
    <row>
      <c r="B23" s="31" t="s">
        <v>11</v>
      </c>
      <c s="31"/>
    </row>
    <row>
      <c r="B24" s="4" t="s">
        <v>89</v>
      </c>
      <c s="4" t="s">
        <v>50</v>
      </c>
      <c s="4" t="s">
        <v>25</v>
      </c>
      <c s="4" t="s">
        <v>127</v>
      </c>
      <c s="4"/>
      <c s="4"/>
      <c s="4" t="s">
        <v>155</v>
      </c>
    </row>
    <row>
      <c s="32" t="s">
        <v>94</v>
      </c>
      <c r="C25" s="69" t="s">
        <v>90</v>
      </c>
      <c s="26" t="s">
        <v>12</v>
      </c>
      <c s="26">
        <v>1234.5599999999999</v>
      </c>
      <c s="5" t="s">
        <v>115</v>
      </c>
      <c r="H25" s="32" t="s">
        <v>128</v>
      </c>
    </row>
    <row>
      <c s="32" t="s">
        <v>138</v>
      </c>
      <c r="C26" s="69" t="s">
        <v>90</v>
      </c>
      <c s="26" t="s">
        <v>12</v>
      </c>
      <c s="26">
        <v>1234.5599999999999</v>
      </c>
      <c s="5" t="s">
        <v>95</v>
      </c>
      <c r="H26" s="32" t="s">
        <v>156</v>
      </c>
    </row>
    <row>
      <c r="C27" s="69" t="s">
        <v>90</v>
      </c>
      <c s="38" t="s">
        <v>12</v>
      </c>
      <c s="26">
        <v>1234.5599999999999</v>
      </c>
      <c r="H27" s="32" t="s">
        <v>96</v>
      </c>
    </row>
    <row>
      <c r="C28" s="70" t="s">
        <v>90</v>
      </c>
      <c s="38" t="s">
        <v>76</v>
      </c>
      <c s="26">
        <v>1234.5599999999999</v>
      </c>
      <c r="H28" s="32" t="s">
        <v>51</v>
      </c>
    </row>
    <row>
      <c r="C29" s="70" t="s">
        <v>90</v>
      </c>
      <c s="38" t="s">
        <v>29</v>
      </c>
      <c s="26">
        <v>1234.5599999999999</v>
      </c>
      <c r="H29" s="32" t="s">
        <v>157</v>
      </c>
    </row>
    <row>
      <c r="C30" s="70" t="s">
        <v>13</v>
      </c>
      <c s="38" t="s">
        <v>18</v>
      </c>
      <c s="26">
        <v>1234.5599999999999</v>
      </c>
    </row>
    <row>
      <c r="C31" s="70" t="s">
        <v>129</v>
      </c>
      <c s="76" t="s">
        <v>32</v>
      </c>
      <c s="61">
        <v>1234.5599999999999</v>
      </c>
    </row>
    <row>
      <c r="C32" s="70" t="s">
        <v>13</v>
      </c>
      <c s="45" t="s">
        <v>100</v>
      </c>
      <c s="39">
        <v>1234.5599999999999</v>
      </c>
    </row>
    <row>
      <c r="C33" s="70" t="s">
        <v>14</v>
      </c>
      <c s="42" t="s">
        <v>32</v>
      </c>
      <c s="73">
        <v>1234.5599999999999</v>
      </c>
    </row>
    <row>
      <c r="C34" s="70" t="s">
        <v>130</v>
      </c>
      <c s="66" t="s">
        <v>32</v>
      </c>
      <c s="62">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
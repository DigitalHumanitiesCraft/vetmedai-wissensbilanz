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0725" windowHeight="8370"/>
  </bookViews>
  <sheets>
    <sheet name="Tab" sheetId="1" r:id="rId1"/>
    <sheet name="XLCubedFormats" sheetId="2" state="hidden" r:id="rId2"/>
  </sheets>
  <definedNames>
    <definedName name="_xlnm.Print_Area" localSheetId="0">Tab!$A$1:$J$38</definedName>
    <definedName name="XL3DisableCameraObjects" hidden="1">XLCubedFormats!A1</definedName>
    <definedName name="XL3ObjLocationdcaf9519_7ef5_47ea_8997_19f88d5ec079">Tab!$A$9</definedName>
  </definedNames>
  <calcPr calcId="40001"/>
</workbook>
</file>

<file path=xl/sharedStrings.xml><?xml version="1.0" encoding="utf-8"?>
<sst xmlns="http://schemas.openxmlformats.org/spreadsheetml/2006/main" uniqueCount="98">
  <si>
    <t>Universität</t>
  </si>
  <si>
    <t>Semester und Datenstichtag</t>
  </si>
  <si>
    <t>Veterinärmedizinische Studien</t>
  </si>
  <si>
    <t>Frauen</t>
  </si>
  <si>
    <t>Slicer Button Background</t>
  </si>
  <si>
    <t>Grid Title</t>
  </si>
  <si>
    <t>Oth Written Member</t>
  </si>
  <si>
    <t>Fill in Grid Name, Dimension or Both</t>
  </si>
  <si>
    <t xml:space="preserve">Ordentliche Studien </t>
  </si>
  <si>
    <t>[ALLG Wertart].[Wertart]</t>
  </si>
  <si>
    <t>(Members of Studienfach (Fachcode)) - (Erweiterungsstudium, Zweitfach)</t>
  </si>
  <si>
    <t>Staatengruppe (Ö, EU, andere)</t>
  </si>
  <si>
    <t>Absolutwert</t>
  </si>
  <si>
    <t>Künstlerische Studien</t>
  </si>
  <si>
    <t>All Marital Status</t>
  </si>
  <si>
    <t>Male</t>
  </si>
  <si>
    <t>Member1 Name</t>
  </si>
  <si>
    <t>Studien Universitäten</t>
  </si>
  <si>
    <t>ord. Studium</t>
  </si>
  <si>
    <t>Begonnene Studien</t>
  </si>
  <si>
    <t>&lt;-- default Column Member Format</t>
  </si>
  <si>
    <t>[STU Studium].[Studiengruppe-UG #Langtext#]</t>
  </si>
  <si>
    <t>Gesamt</t>
  </si>
  <si>
    <t>Alternate Rows</t>
  </si>
  <si>
    <t>&lt;--  writeable cell format</t>
  </si>
  <si>
    <t xml:space="preserve"> </t>
  </si>
  <si>
    <t>Interdisziplinäre Studien</t>
  </si>
  <si>
    <t>Geistes- und kulturwissenschaftliche Studien</t>
  </si>
  <si>
    <t>Sozial- und wirtschaftswissenschaftliche Studien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</si>
  <si>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</si>
  <si>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</si>
  <si>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</si>
  <si>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</si>
  <si>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</si>
  <si>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</si>
  <si>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Dadurch sind Studien auf ganze Zahlen zu runden und es kann zu Abweichungen zwischen der Gesamtsumme und den addierten Detailergebnissen kommen.</t>
  </si>
  <si>
    <t>Männer</t>
  </si>
  <si>
    <t>Slice Name (Optional)</t>
  </si>
  <si>
    <t>Naturwissenschaftliche Studien</t>
  </si>
  <si>
    <t>Studienjahr 2024/25</t>
  </si>
  <si>
    <t>ALLG Semester.Studienjahr (Langbezeichnung)</t>
  </si>
  <si>
    <t>Lehramtsstudien</t>
  </si>
  <si>
    <t>Customer</t>
  </si>
  <si>
    <t>-All Customer</t>
  </si>
  <si>
    <t>Default Alternate Row Member Format --&gt;</t>
  </si>
  <si>
    <t>Studien von Erstzugelassenen</t>
  </si>
  <si>
    <t>Studientyp</t>
  </si>
  <si>
    <t>Bundesland Universität</t>
  </si>
  <si>
    <t>Individuelle Studien</t>
  </si>
  <si>
    <t>Slicer Item</t>
  </si>
  <si>
    <t>&lt;-- default Slicer Member Format</t>
  </si>
  <si>
    <t>Default Row Member Format --&gt;</t>
  </si>
  <si>
    <t>Grid/Table Name</t>
  </si>
  <si>
    <t>[Measures]</t>
  </si>
  <si>
    <t>(Members of Universität (Codex)) - (~)</t>
  </si>
  <si>
    <t>&lt;-- writeable Slicer Member Format</t>
  </si>
  <si>
    <t>Slice Format 1</t>
  </si>
  <si>
    <t>&lt;-- Gesamtzeile</t>
  </si>
  <si>
    <t>3) Formatierung der Gesamtspalte und -zeile (siehe E25:E26)</t>
  </si>
  <si>
    <t>(ohne Erweiterungsstudien; bei kombinationspflichtigen Studien bis STJ 2015/16 nur Erstfach gezählt)</t>
  </si>
  <si>
    <t>Studienfach (Fachcode)</t>
  </si>
  <si>
    <t>Frauen-/Männeranteil in %</t>
  </si>
  <si>
    <t>Slicer Button</t>
  </si>
  <si>
    <t>+2009</t>
  </si>
  <si>
    <t>&lt;-- default alternate row cell format</t>
  </si>
  <si>
    <t>&lt;--  written cell format</t>
  </si>
  <si>
    <t>Studienart</t>
  </si>
  <si>
    <t>Ingenieurwissenschaftliche Studien</t>
  </si>
  <si>
    <t>Display Formats For:</t>
  </si>
  <si>
    <t>Enabled?</t>
  </si>
  <si>
    <t>&lt;-- Gesamtspalte</t>
  </si>
  <si>
    <t>Datenprüfung und -aufbereitung: bmfwf, Abt. I/10</t>
  </si>
  <si>
    <t>Studiengruppe-UG (Langtext)</t>
  </si>
  <si>
    <t>Universität-Ausrichtung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</si>
  <si>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</si>
  <si>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</si>
  <si>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</si>
  <si>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</si>
  <si>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</si>
  <si>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</si>
  <si>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</si>
  <si>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Universität (Codex)</t>
  </si>
  <si>
    <t>Sonstige Studienaktivitäten</t>
  </si>
  <si>
    <t>Medizinische Studien</t>
  </si>
  <si>
    <t>Marital Status</t>
  </si>
  <si>
    <t>Default Writeable Member Format --&gt;</t>
  </si>
  <si>
    <t>Slice Format 2</t>
  </si>
  <si>
    <t>Quelle: Datenmeldungen der Universitäten auf Basis UHSBV zum jeweiligen Stichtag</t>
  </si>
  <si>
    <t>Rechtswissenschaftliche Studien</t>
  </si>
  <si>
    <t>Writeable Member</t>
  </si>
  <si>
    <t>Ordentliche Studien im ersten Semester nach nationalen Gruppen von Studien</t>
  </si>
  <si>
    <t>Theologische Studien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</si>
  <si>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</si>
  <si>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</si>
  <si>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</si>
  <si>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</si>
  <si>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</si>
  <si>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Anmerkung: Ab dem WS 2016 erfolgt die zähltechnische Abbildung der Studien auf Basis des Verteilungsschlüssels gemäß § 22 Abs. 2 und Abs. 5 bis 7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</si>
</sst>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sz val="10"/>
      <color rgb="FF262626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0"/>
      <color theme="1" tint="0.34998626667073579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10"/>
      <color rgb="FF595959"/>
      <name val="Tahoma"/>
      <family val="2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sz val="10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Fill="1" applyBorder="1"/>
    <xf numFmtId="0" fontId="3" fillId="0" borderId="0" xfId="0" quotePrefix="1" applyFont="1" applyFill="1" applyAlignment="1">
      <alignment horizontal="left" vertical="top" wrapText="1"/>
    </xf>
    <xf numFmtId="3" fontId="4" fillId="0" borderId="0" xfId="0" applyNumberFormat="1" applyFont="1" applyFill="1" applyBorder="1"/>
    <xf numFmtId="0" fontId="5" fillId="0" borderId="0" xfId="0" applyFont="1"/>
    <xf numFmtId="0" fontId="0" fillId="0" borderId="0" xfId="0" applyFill="1" applyAlignment="1"/>
    <xf numFmtId="0" fontId="6" fillId="0" borderId="0" xfId="0" applyFont="1"/>
    <xf numFmtId="0" fontId="7" fillId="2" borderId="0" xfId="1" applyFont="1" applyFill="1" applyBorder="1" applyAlignment="1">
      <alignment horizontal="center"/>
    </xf>
    <xf numFmtId="0" fontId="8" fillId="0" borderId="1" xfId="0" quotePrefix="1" applyFont="1" applyFill="1" applyBorder="1" applyAlignment="1" applyProtection="1">
      <alignment horizontal="center"/>
    </xf>
    <xf numFmtId="0" fontId="9" fillId="0" borderId="0" xfId="0" applyFont="1" applyFill="1" applyAlignment="1">
      <alignment vertical="top"/>
    </xf>
    <xf numFmtId="0" fontId="3" fillId="0" borderId="0" xfId="0" applyFont="1" applyFill="1" applyAlignment="1"/>
    <xf numFmtId="0" fontId="10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8" fillId="0" borderId="1" xfId="0" applyFont="1" applyFill="1" applyBorder="1" applyAlignment="1" applyProtection="1">
      <alignment horizontal="right"/>
    </xf>
    <xf numFmtId="0" fontId="11" fillId="3" borderId="0" xfId="0" applyFont="1" applyFill="1" applyAlignment="1"/>
    <xf numFmtId="0" fontId="12" fillId="0" borderId="0" xfId="1" applyFont="1"/>
    <xf numFmtId="3" fontId="8" fillId="4" borderId="1" xfId="0" applyNumberFormat="1" applyFont="1" applyFill="1" applyBorder="1" applyAlignment="1" applyProtection="1">
      <alignment horizontal="right" vertical="center"/>
    </xf>
    <xf numFmtId="0" fontId="13" fillId="0" borderId="0" xfId="0" applyFont="1"/>
    <xf numFmtId="0" fontId="14" fillId="0" borderId="0" xfId="0" applyNumberFormat="1" applyFont="1" applyAlignment="1"/>
    <xf numFmtId="0" fontId="15" fillId="5" borderId="2" xfId="0" quotePrefix="1" applyFont="1" applyFill="1" applyBorder="1" applyAlignment="1" applyProtection="1"/>
    <xf numFmtId="0" fontId="12" fillId="3" borderId="0" xfId="1" applyFont="1" applyFill="1"/>
    <xf numFmtId="3" fontId="8" fillId="0" borderId="1" xfId="0" applyNumberFormat="1" applyFont="1" applyFill="1" applyBorder="1" applyAlignment="1" applyProtection="1">
      <alignment horizontal="right"/>
    </xf>
    <xf numFmtId="164" fontId="8" fillId="6" borderId="1" xfId="0" applyNumberFormat="1" applyFont="1" applyFill="1" applyBorder="1" applyAlignment="1" applyProtection="1">
      <alignment horizontal="right"/>
    </xf>
    <xf numFmtId="0" fontId="16" fillId="0" borderId="0" xfId="0" applyFont="1"/>
    <xf numFmtId="0" fontId="6" fillId="0" borderId="0" xfId="0" applyFont="1" applyAlignment="1">
      <alignment horizontal="right"/>
    </xf>
    <xf numFmtId="164" fontId="8" fillId="4" borderId="1" xfId="0" applyNumberFormat="1" applyFont="1" applyFill="1" applyBorder="1" applyAlignment="1" applyProtection="1">
      <alignment horizontal="right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8" fillId="0" borderId="3" xfId="0" applyFont="1" applyBorder="1" applyAlignment="1" applyProtection="1">
      <alignment horizontal="right"/>
    </xf>
    <xf numFmtId="164" fontId="8" fillId="6" borderId="1" xfId="0" quotePrefix="1" applyNumberFormat="1" applyFont="1" applyFill="1" applyBorder="1" applyAlignment="1" applyProtection="1">
      <alignment horizontal="center"/>
    </xf>
    <xf numFmtId="164" fontId="8" fillId="7" borderId="3" xfId="0" applyNumberFormat="1" applyFont="1" applyFill="1" applyBorder="1" applyAlignment="1" applyProtection="1">
      <alignment horizontal="center"/>
    </xf>
    <xf numFmtId="0" fontId="14" fillId="0" borderId="0" xfId="0" applyNumberFormat="1" applyFont="1"/>
    <xf numFmtId="0" fontId="3" fillId="0" borderId="0" xfId="0" applyFont="1" applyFill="1" applyAlignment="1">
      <alignment horizontal="left" vertical="top" wrapText="1"/>
    </xf>
    <xf numFmtId="0" fontId="16" fillId="0" borderId="4" xfId="0" quotePrefix="1" applyFont="1" applyFill="1" applyBorder="1" applyAlignment="1">
      <alignment horizontal="right"/>
    </xf>
    <xf numFmtId="0" fontId="17" fillId="0" borderId="0" xfId="0" applyFont="1"/>
    <xf numFmtId="0" fontId="18" fillId="0" borderId="0" xfId="0" applyFont="1" applyFill="1" applyAlignment="1"/>
    <xf numFmtId="0" fontId="8" fillId="8" borderId="1" xfId="0" applyFont="1" applyFill="1" applyBorder="1" applyAlignment="1" applyProtection="1">
      <alignment horizontal="right"/>
    </xf>
    <xf numFmtId="0" fontId="8" fillId="9" borderId="1" xfId="0" applyFont="1" applyFill="1" applyBorder="1" applyAlignment="1" applyProtection="1">
      <alignment vertical="center"/>
    </xf>
    <xf numFmtId="0" fontId="8" fillId="0" borderId="1" xfId="0" applyFont="1" applyFill="1" applyBorder="1" applyAlignment="1" applyProtection="1">
      <alignment vertical="center"/>
    </xf>
    <xf numFmtId="0" fontId="16" fillId="0" borderId="4" xfId="0" applyFont="1" applyFill="1" applyBorder="1" applyAlignment="1">
      <alignment vertical="center"/>
    </xf>
    <xf numFmtId="0" fontId="8" fillId="9" borderId="5" xfId="0" applyFont="1" applyFill="1" applyBorder="1" applyAlignment="1" applyProtection="1">
      <alignment vertical="center"/>
    </xf>
    <xf numFmtId="0" fontId="8" fillId="10" borderId="3" xfId="0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/>
    <xf numFmtId="164" fontId="8" fillId="7" borderId="3" xfId="0" applyNumberFormat="1" applyFont="1" applyFill="1" applyBorder="1" applyAlignment="1" applyProtection="1">
      <alignment horizontal="right"/>
    </xf>
    <xf numFmtId="2" fontId="14" fillId="0" borderId="0" xfId="0" applyNumberFormat="1" applyFont="1"/>
    <xf numFmtId="0" fontId="14" fillId="0" borderId="0" xfId="0" quotePrefix="1" applyFont="1" applyFill="1"/>
    <xf numFmtId="0" fontId="19" fillId="0" borderId="0" xfId="0" applyFont="1"/>
    <xf numFmtId="0" fontId="0" fillId="0" borderId="0" xfId="0" applyFont="1"/>
    <xf numFmtId="0" fontId="14" fillId="0" borderId="0" xfId="0" applyFont="1" applyFill="1" applyBorder="1" applyAlignment="1">
      <alignment vertical="center"/>
    </xf>
    <xf numFmtId="3" fontId="5" fillId="0" borderId="0" xfId="0" applyNumberFormat="1" applyFont="1" applyFill="1" applyAlignment="1"/>
    <xf numFmtId="0" fontId="0" fillId="0" borderId="0" xfId="0" applyFont="1" applyFill="1" applyAlignment="1"/>
    <xf numFmtId="0" fontId="3" fillId="0" borderId="0" xfId="0" quotePrefix="1" applyFont="1" applyFill="1" applyAlignment="1"/>
    <xf numFmtId="0" fontId="3" fillId="0" borderId="0" xfId="0" quotePrefix="1" applyFont="1" applyFill="1" applyAlignment="1">
      <alignment vertical="top"/>
    </xf>
    <xf numFmtId="0" fontId="8" fillId="10" borderId="6" xfId="0" applyFont="1" applyFill="1" applyBorder="1" applyAlignment="1" applyProtection="1">
      <alignment horizontal="right"/>
    </xf>
    <xf numFmtId="0" fontId="8" fillId="0" borderId="1" xfId="0" quotePrefix="1" applyFont="1" applyBorder="1" applyAlignment="1" applyProtection="1"/>
    <xf numFmtId="0" fontId="14" fillId="0" borderId="0" xfId="0" quotePrefix="1" applyFont="1"/>
    <xf numFmtId="0" fontId="20" fillId="0" borderId="0" xfId="0" applyFont="1"/>
    <xf numFmtId="165" fontId="14" fillId="0" borderId="0" xfId="0" applyNumberFormat="1" applyFont="1"/>
    <xf numFmtId="3" fontId="8" fillId="8" borderId="1" xfId="0" applyNumberFormat="1" applyFont="1" applyFill="1" applyBorder="1" applyAlignment="1" applyProtection="1">
      <alignment horizontal="right"/>
    </xf>
    <xf numFmtId="0" fontId="16" fillId="0" borderId="4" xfId="0" quotePrefix="1" applyFont="1" applyFill="1" applyBorder="1" applyAlignment="1"/>
    <xf numFmtId="0" fontId="20" fillId="0" borderId="0" xfId="0" applyFont="1" applyFill="1" applyAlignment="1"/>
    <xf numFmtId="0" fontId="8" fillId="0" borderId="3" xfId="0" applyFont="1" applyBorder="1" applyAlignment="1" applyProtection="1">
      <alignment horizontal="center"/>
    </xf>
    <xf numFmtId="3" fontId="16" fillId="0" borderId="4" xfId="0" applyNumberFormat="1" applyFont="1" applyFill="1" applyBorder="1" applyAlignment="1"/>
    <xf numFmtId="3" fontId="14" fillId="0" borderId="0" xfId="0" applyNumberFormat="1" applyFont="1" applyAlignment="1"/>
    <xf numFmtId="3" fontId="14" fillId="11" borderId="0" xfId="0" applyNumberFormat="1" applyFont="1" applyFill="1" applyAlignment="1"/>
    <xf numFmtId="0" fontId="5" fillId="0" borderId="0" xfId="0" applyFont="1" applyFill="1" applyBorder="1" applyAlignment="1">
      <alignment vertical="center"/>
    </xf>
    <xf numFmtId="0" fontId="8" fillId="4" borderId="1" xfId="0" applyFont="1" applyFill="1" applyBorder="1" applyAlignment="1" applyProtection="1">
      <alignment vertical="center"/>
    </xf>
    <xf numFmtId="3" fontId="14" fillId="12" borderId="0" xfId="0" applyNumberFormat="1" applyFont="1" applyFill="1" applyAlignment="1"/>
    <xf numFmtId="3" fontId="14" fillId="13" borderId="0" xfId="0" applyNumberFormat="1" applyFont="1" applyFill="1" applyAlignment="1"/>
    <xf numFmtId="0" fontId="12" fillId="12" borderId="0" xfId="1" applyFont="1" applyFill="1"/>
    <xf numFmtId="0" fontId="3" fillId="0" borderId="0" xfId="0" quotePrefix="1" applyFont="1" applyFill="1" applyAlignment="1">
      <alignment horizontal="left" vertical="top"/>
    </xf>
    <xf numFmtId="0" fontId="14" fillId="12" borderId="0" xfId="0" applyNumberFormat="1" applyFont="1" applyFill="1" applyAlignment="1"/>
    <xf numFmtId="0" fontId="14" fillId="12" borderId="0" xfId="0" applyFont="1" applyFill="1"/>
    <xf numFmtId="0" fontId="7" fillId="2" borderId="7" xfId="1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3500139</xdr:colOff>
      <xdr:row>7</xdr:row>
      <xdr:rowOff>209550</xdr:rowOff>
    </xdr:from>
    <xdr:to>
      <xdr:col>5</xdr:col>
      <xdr:colOff>281181</xdr:colOff>
      <xdr:row>8</xdr:row>
      <xdr:rowOff>189865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0139" y="153162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3500139</xdr:colOff>
      <xdr:row>9</xdr:row>
      <xdr:rowOff>0</xdr:rowOff>
    </xdr:from>
    <xdr:to>
      <xdr:col>5</xdr:col>
      <xdr:colOff>281181</xdr:colOff>
      <xdr:row>10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0139" y="172148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3500139</xdr:colOff>
      <xdr:row>10</xdr:row>
      <xdr:rowOff>0</xdr:rowOff>
    </xdr:from>
    <xdr:to>
      <xdr:col>5</xdr:col>
      <xdr:colOff>281181</xdr:colOff>
      <xdr:row>11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0139" y="191135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3500139</xdr:colOff>
      <xdr:row>10</xdr:row>
      <xdr:rowOff>189865</xdr:rowOff>
    </xdr:from>
    <xdr:to>
      <xdr:col>5</xdr:col>
      <xdr:colOff>281181</xdr:colOff>
      <xdr:row>11</xdr:row>
      <xdr:rowOff>189865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0139" y="210121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3500139</xdr:colOff>
      <xdr:row>11</xdr:row>
      <xdr:rowOff>189865</xdr:rowOff>
    </xdr:from>
    <xdr:to>
      <xdr:col>5</xdr:col>
      <xdr:colOff>281181</xdr:colOff>
      <xdr:row>13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0139" y="229108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3500139</xdr:colOff>
      <xdr:row>13</xdr:row>
      <xdr:rowOff>0</xdr:rowOff>
    </xdr:from>
    <xdr:to>
      <xdr:col>5</xdr:col>
      <xdr:colOff>281181</xdr:colOff>
      <xdr:row>14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0139" y="248094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3500139</xdr:colOff>
      <xdr:row>14</xdr:row>
      <xdr:rowOff>0</xdr:rowOff>
    </xdr:from>
    <xdr:to>
      <xdr:col>5</xdr:col>
      <xdr:colOff>281181</xdr:colOff>
      <xdr:row>15</xdr:row>
      <xdr:rowOff>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0139" y="267081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2592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3200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38091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44174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159658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81088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6280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20640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9"/>
  <sheetViews>
    <sheetView tabSelected="1" workbookViewId="0"/>
  </sheetViews>
  <sheetFormatPr defaultColWidth="11.42578125" defaultRowHeight="14.95"/>
  <cols>
    <col min="1" max="1" width="48" style="48" customWidth="1"/>
    <col min="2" max="10" width="11.7109375" customWidth="1"/>
    <col min="11" max="11" width="11.42578125" customWidth="1"/>
    <col min="12" max="12" width="9.85546875" customWidth="1"/>
    <col min="13" max="13" width="7.42578125" customWidth="1"/>
    <col min="14" max="14" width="11.42578125" customWidth="1"/>
    <col min="15" max="15" width="9.85546875" customWidth="1"/>
    <col min="16" max="16" width="7.42578125" customWidth="1"/>
    <col min="17" max="17" width="11.42578125" customWidth="1"/>
    <col min="18" max="18" width="7.42578125" customWidth="1"/>
    <col min="19" max="19" width="11.42578125" customWidth="1"/>
    <col min="20" max="20" width="9.85546875" customWidth="1"/>
    <col min="21" max="21" width="7.42578125" customWidth="1"/>
    <col min="22" max="22" width="11.42578125" customWidth="1"/>
    <col min="23" max="23" width="9.85546875" customWidth="1"/>
    <col min="24" max="24" width="7.42578125" customWidth="1"/>
    <col min="25" max="25" width="11.425781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1" t="s">
        <v>17</v>
      </c>
      <c s="11"/>
      <c s="11"/>
      <c s="11"/>
      <c s="11"/>
      <c s="5"/>
    </row>
    <row s="57" customFormat="1">
      <c s="9" t="s">
        <v>90</v>
      </c>
      <c s="9"/>
      <c s="9"/>
      <c s="9"/>
      <c s="9"/>
      <c s="61"/>
    </row>
    <row ht="15" customHeight="1" s="57" customFormat="1">
      <c s="71" t="s">
        <v>59</v>
      </c>
      <c s="12"/>
      <c s="12"/>
      <c s="12"/>
      <c s="12"/>
      <c s="36"/>
    </row>
    <row s="57" customFormat="1">
      <c s="2" t="s">
        <v>97</v>
      </c>
      <c s="2"/>
      <c s="2"/>
      <c s="2"/>
      <c s="2"/>
      <c s="2"/>
      <c s="2"/>
      <c s="2"/>
      <c s="2"/>
      <c s="2"/>
    </row>
    <row ht="14.25" customHeight="1" s="57" customFormat="1">
      <c s="2" t="s">
        <v>35</v>
      </c>
      <c s="2"/>
      <c s="2"/>
      <c s="2"/>
      <c s="2"/>
      <c s="2"/>
      <c s="2"/>
      <c s="2"/>
      <c s="2"/>
      <c s="33"/>
    </row>
    <row ht="15" customHeight="1">
      <c s="52" t="s">
        <v>87</v>
      </c>
      <c s="10"/>
      <c s="10"/>
      <c s="10"/>
      <c s="10"/>
      <c s="10"/>
    </row>
    <row ht="15" customHeight="1">
      <c s="53" t="s">
        <v>71</v>
      </c>
      <c s="13"/>
      <c s="13"/>
      <c s="13"/>
      <c s="13"/>
      <c s="5"/>
    </row>
    <row ht="16.5" customHeight="1">
      <c s="51"/>
      <c s="5"/>
      <c s="5"/>
      <c s="5"/>
      <c s="5"/>
      <c s="5"/>
    </row>
    <row>
      <c s="20" t="s">
        <v>40</v>
      </c>
      <c s="55" t="s">
        <v>39</v>
      </c>
      <c r="F9" t="s">
        <v>25</v>
      </c>
    </row>
    <row>
      <c s="20" t="s">
        <v>1</v>
      </c>
      <c s="55" t="s">
        <v>22</v>
      </c>
      <c r="F10" t="s">
        <v>25</v>
      </c>
    </row>
    <row>
      <c s="20" t="s">
        <v>0</v>
      </c>
      <c s="55" t="s">
        <v>22</v>
      </c>
      <c r="F11" t="s">
        <v>25</v>
      </c>
    </row>
    <row>
      <c s="20" t="s">
        <v>11</v>
      </c>
      <c s="55" t="s">
        <v>22</v>
      </c>
      <c r="F12" t="s">
        <v>25</v>
      </c>
    </row>
    <row>
      <c s="20" t="s">
        <v>66</v>
      </c>
      <c s="55" t="s">
        <v>22</v>
      </c>
      <c r="F13" t="s">
        <v>25</v>
      </c>
    </row>
    <row>
      <c s="20" t="s">
        <v>47</v>
      </c>
      <c s="55" t="s">
        <v>22</v>
      </c>
      <c r="F14" t="s">
        <v>25</v>
      </c>
    </row>
    <row>
      <c s="20" t="s">
        <v>73</v>
      </c>
      <c s="55" t="s">
        <v>22</v>
      </c>
      <c r="F15" t="s">
        <v>25</v>
      </c>
    </row>
    <row ht="15" hidden="1">
      <c s="20" t="s">
        <v>81</v>
      </c>
      <c s="55" t="s">
        <v>54</v>
      </c>
    </row>
    <row ht="15" hidden="1">
      <c s="20" t="s">
        <v>60</v>
      </c>
      <c s="55" t="s">
        <v>10</v>
      </c>
    </row>
    <row ht="15" hidden="1">
      <c s="20" t="s">
        <v>46</v>
      </c>
      <c s="55" t="s">
        <v>18</v>
      </c>
    </row>
    <row>
      <c/>
    </row>
    <row>
      <c/>
    </row>
    <row ht="15" customHeight="1">
      <c/>
      <c s="8" t="s">
        <v>19</v>
      </c>
      <c s="8"/>
      <c s="8"/>
      <c s="8"/>
      <c s="8"/>
    </row>
    <row ht="15" customHeight="1">
      <c/>
      <c s="8" t="s">
        <v>12</v>
      </c>
      <c s="8"/>
      <c s="8"/>
      <c s="30" t="s">
        <v>61</v>
      </c>
      <c s="30"/>
    </row>
    <row>
      <c s="20" t="s">
        <v>72</v>
      </c>
      <c s="14" t="s">
        <v>3</v>
      </c>
      <c s="14" t="s">
        <v>36</v>
      </c>
      <c s="37" t="s">
        <v>22</v>
      </c>
      <c s="14" t="s">
        <v>3</v>
      </c>
      <c s="14" t="s">
        <v>36</v>
      </c>
    </row>
    <row>
      <c s="39" t="s">
        <v>27</v>
      </c>
      <c s="22">
        <v>11616</v>
      </c>
      <c s="22">
        <v>4592.2999999999975</v>
      </c>
      <c s="59">
        <v>16208.299999999999</v>
      </c>
      <c s="23">
        <v>0.71666985433389074</v>
      </c>
      <c s="23">
        <v>0.2833301456661092</v>
      </c>
    </row>
    <row>
      <c s="39" t="s">
        <v>67</v>
      </c>
      <c s="22">
        <v>7620.0000000000018</v>
      </c>
      <c s="22">
        <v>12927.166670000001</v>
      </c>
      <c s="59">
        <v>20547.166669999999</v>
      </c>
      <c s="23">
        <v>0.37085405118777881</v>
      </c>
      <c s="23">
        <v>0.62914594881222141</v>
      </c>
    </row>
    <row>
      <c s="39" t="s">
        <v>13</v>
      </c>
      <c s="22">
        <v>1215</v>
      </c>
      <c s="22">
        <v>823</v>
      </c>
      <c s="59">
        <v>2038</v>
      </c>
      <c s="23">
        <v>0.59617271835132479</v>
      </c>
      <c s="23">
        <v>0.40382728164867515</v>
      </c>
    </row>
    <row>
      <c s="39" t="s">
        <v>41</v>
      </c>
      <c s="22">
        <v>2806.8836000000019</v>
      </c>
      <c s="22">
        <v>1373.3025499999999</v>
      </c>
      <c s="59">
        <v>5360.5903500000013</v>
      </c>
      <c s="23">
        <v>0.52361464255518075</v>
      </c>
      <c s="23">
        <v>0.25618494612258508</v>
      </c>
    </row>
    <row>
      <c s="39" t="s">
        <v>83</v>
      </c>
      <c s="22">
        <v>2217.5669000000003</v>
      </c>
      <c s="22">
        <v>1424.3333999999998</v>
      </c>
      <c s="59">
        <v>3641.9003000000002</v>
      </c>
      <c s="23">
        <v>0.60890379124326932</v>
      </c>
      <c s="23">
        <v>0.39109620875673057</v>
      </c>
    </row>
    <row>
      <c s="39" t="s">
        <v>38</v>
      </c>
      <c s="22">
        <v>8220</v>
      </c>
      <c s="22">
        <v>5079.9999999999991</v>
      </c>
      <c s="59">
        <v>13300</v>
      </c>
      <c s="23">
        <v>0.61804511278195484</v>
      </c>
      <c s="23">
        <v>0.38195488721804505</v>
      </c>
    </row>
    <row>
      <c s="39" t="s">
        <v>88</v>
      </c>
      <c s="22">
        <v>4058</v>
      </c>
      <c s="22">
        <v>2598.5</v>
      </c>
      <c s="59">
        <v>6656.5</v>
      </c>
      <c s="23">
        <v>0.6096296852700368</v>
      </c>
      <c s="23">
        <v>0.3903703147299632</v>
      </c>
    </row>
    <row>
      <c s="39" t="s">
        <v>28</v>
      </c>
      <c s="22">
        <v>8110.6999999999998</v>
      </c>
      <c s="22">
        <v>7734</v>
      </c>
      <c s="59">
        <v>15844.700000000001</v>
      </c>
      <c s="23">
        <v>0.51188725567539928</v>
      </c>
      <c s="23">
        <v>0.48811274432460061</v>
      </c>
    </row>
    <row>
      <c s="39" t="s">
        <v>91</v>
      </c>
      <c s="22">
        <v>240</v>
      </c>
      <c s="22">
        <v>239</v>
      </c>
      <c s="59">
        <v>479</v>
      </c>
      <c s="23">
        <v>0.5010438413361169</v>
      </c>
      <c s="23">
        <v>0.4989561586638831</v>
      </c>
    </row>
    <row>
      <c s="39" t="s">
        <v>48</v>
      </c>
      <c s="22">
        <v>215</v>
      </c>
      <c s="22">
        <v>149</v>
      </c>
      <c s="59">
        <v>364</v>
      </c>
      <c s="23">
        <v>0.59065934065934067</v>
      </c>
      <c s="23">
        <v>0.40934065934065933</v>
      </c>
    </row>
    <row>
      <c s="39" t="s">
        <v>82</v>
      </c>
      <c s="22">
        <v>14</v>
      </c>
      <c s="22">
        <v>4</v>
      </c>
      <c s="59">
        <v>18</v>
      </c>
      <c s="23">
        <v>0.77777777777777779</v>
      </c>
      <c s="23">
        <v>0.22222222222222221</v>
      </c>
    </row>
    <row>
      <c s="39" t="s">
        <v>2</v>
      </c>
      <c s="22">
        <v>318</v>
      </c>
      <c s="22">
        <v>74</v>
      </c>
      <c s="59">
        <v>392</v>
      </c>
      <c s="23">
        <v>0.81122448979591832</v>
      </c>
      <c s="23">
        <v>0.18877551020408162</v>
      </c>
    </row>
    <row>
      <c s="39" t="s">
        <v>26</v>
      </c>
      <c s="22">
        <v>716.5</v>
      </c>
      <c s="22">
        <v>411.00000000000011</v>
      </c>
      <c s="59">
        <v>1127.5</v>
      </c>
      <c s="23">
        <v>0.63547671840354769</v>
      </c>
      <c s="23">
        <v>0.36452328159645242</v>
      </c>
    </row>
    <row>
      <c s="67" t="s">
        <v>22</v>
      </c>
      <c s="17">
        <v>47367.650500000003</v>
      </c>
      <c s="17">
        <v>37429.602619999998</v>
      </c>
      <c s="17">
        <v>85977.657319999984</v>
      </c>
      <c s="26">
        <v>0.55092976450500952</v>
      </c>
      <c s="26">
        <v>0.43534103843619365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66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5">
    <mergeCell ref="A4:J4"/>
    <mergeCell ref="A5:I5"/>
    <mergeCell ref="B21:F21"/>
    <mergeCell ref="B22:D22"/>
    <mergeCell ref="E22:F22"/>
  </mergeCells>
  <pageMargins left="0.70866141732283472" right="0.70866141732283472" top="0.78740157480314965" bottom="0.78740157480314965" header="0.31496062992125984" footer="0.31496062992125984"/>
  <pageSetup paperSize="9" scale="85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32" sqref="E32"/>
    </sheetView>
  </sheetViews>
  <sheetFormatPr defaultColWidth="9.140625" defaultRowHeight="13.6"/>
  <cols>
    <col min="1" max="1" width="13.5703125" style="27" customWidth="1"/>
    <col min="2" max="2" width="40.85546875" style="27" customWidth="1"/>
    <col min="3" max="3" width="28.140625" style="27" customWidth="1"/>
    <col min="4" max="4" width="16.42578125" style="27" customWidth="1"/>
    <col min="5" max="5" width="19.42578125" style="27" customWidth="1"/>
    <col min="6" max="6" width="11.140625" style="27" customWidth="1"/>
    <col min="7" max="7" width="9.140625" style="27" customWidth="1"/>
    <col min="8" max="8" width="17.42578125" style="27" customWidth="1"/>
    <col min="9" max="9" width="19.5703125" style="27" customWidth="1"/>
    <col min="10" max="12" width="12.42578125" style="27" customWidth="1"/>
    <col min="13" max="13" width="16" style="27" customWidth="1"/>
    <col min="14" max="14" width="14.42578125" style="27" customWidth="1"/>
    <col min="15" max="15" width="18.42578125" style="27" customWidth="1"/>
    <col min="16" max="25" width="9.140625" style="27" customWidth="1"/>
    <col min="26" max="26" width="9.140625" style="27" hidden="1" customWidth="1"/>
    <col min="27" max="27" width="9.140625" style="27" customWidth="1"/>
    <col min="28" max="16384" width="9.140625" style="27"/>
  </cols>
  <sheetData>
    <row>
      <c s="32"/>
      <c r="H1" s="58">
        <v>129806172700000000</v>
      </c>
      <c r="Z1" s="45" t="b">
        <f>0=1</f>
        <v>0</v>
      </c>
    </row>
    <row>
      <c r="Z2" s="45" t="b">
        <f>1=1</f>
        <v>1</v>
      </c>
    </row>
    <row>
      <c r="Z3" s="45"/>
    </row>
    <row>
      <c r="I4" s="27" t="s">
        <v>37</v>
      </c>
      <c s="74" t="s">
        <v>68</v>
      </c>
      <c s="7"/>
      <c s="7"/>
      <c s="7"/>
      <c s="7"/>
      <c s="7"/>
    </row>
    <row>
      <c r="J5" s="21" t="s">
        <v>29</v>
      </c>
      <c s="16" t="s">
        <v>49</v>
      </c>
      <c s="16" t="s">
        <v>62</v>
      </c>
      <c s="21" t="s">
        <v>92</v>
      </c>
      <c s="70" t="s">
        <v>74</v>
      </c>
      <c s="16" t="s">
        <v>4</v>
      </c>
    </row>
    <row>
      <c r="B6" s="25" t="s">
        <v>75</v>
      </c>
      <c s="15" t="s">
        <v>84</v>
      </c>
      <c s="60" t="s">
        <v>14</v>
      </c>
      <c s="6" t="s">
        <v>50</v>
      </c>
    </row>
    <row>
      <c r="C7" s="18"/>
      <c s="24" t="s">
        <v>15</v>
      </c>
      <c s="6" t="s">
        <v>55</v>
      </c>
    </row>
    <row>
      <c r="C8" s="24" t="s">
        <v>5</v>
      </c>
      <c s="18"/>
    </row>
    <row>
      <c r="C9" s="18"/>
      <c s="15" t="s">
        <v>30</v>
      </c>
      <c s="35"/>
    </row>
    <row>
      <c r="C10" s="15" t="s">
        <v>42</v>
      </c>
      <c s="34" t="s">
        <v>63</v>
      </c>
      <c s="6" t="s">
        <v>20</v>
      </c>
    </row>
    <row>
      <c r="B11" s="25" t="s">
        <v>51</v>
      </c>
      <c s="40" t="s">
        <v>43</v>
      </c>
      <c s="63">
        <v>60398</v>
      </c>
      <c s="6" t="s">
        <v>31</v>
      </c>
    </row>
    <row>
      <c r="B12" s="25"/>
      <c s="49"/>
      <c s="43"/>
      <c s="75" t="s">
        <v>69</v>
      </c>
    </row>
    <row>
      <c r="B13" s="25" t="s">
        <v>44</v>
      </c>
      <c s="73" t="s">
        <v>23</v>
      </c>
      <c s="68">
        <v>1212</v>
      </c>
      <c s="27" t="b">
        <v>0</v>
      </c>
      <c s="6" t="s">
        <v>64</v>
      </c>
    </row>
    <row ht="12.75" hidden="1">
      <c r="B14" s="25"/>
      <c s="73"/>
      <c s="72"/>
      <c s="27" t="b">
        <v>0</v>
      </c>
    </row>
    <row>
      <c r="B15" s="25" t="s">
        <v>85</v>
      </c>
      <c s="27" t="s">
        <v>89</v>
      </c>
      <c s="64">
        <v>1212</v>
      </c>
      <c s="27" t="b">
        <v>0</v>
      </c>
      <c s="6" t="s">
        <v>24</v>
      </c>
    </row>
    <row ht="12.75" hidden="1">
      <c r="B16" s="25"/>
      <c r="D16" s="19"/>
      <c s="27" t="b">
        <v>0</v>
      </c>
      <c s="6"/>
    </row>
    <row>
      <c r="B17" s="25"/>
      <c s="27" t="s">
        <v>32</v>
      </c>
      <c s="69">
        <v>3434</v>
      </c>
      <c s="27" t="b">
        <v>0</v>
      </c>
      <c s="6" t="s">
        <v>65</v>
      </c>
    </row>
    <row>
      <c r="B18" s="25"/>
      <c r="D18" s="19"/>
      <c s="27" t="b">
        <v>0</v>
      </c>
      <c s="6"/>
    </row>
    <row>
      <c r="B19" s="25"/>
      <c s="27" t="s">
        <v>6</v>
      </c>
      <c s="65">
        <v>3434</v>
      </c>
      <c s="27" t="b">
        <v>0</v>
      </c>
      <c s="6" t="s">
        <v>76</v>
      </c>
    </row>
    <row>
      <c r="B20" s="25"/>
      <c r="D20" s="19"/>
      <c s="27" t="b">
        <v>0</v>
      </c>
      <c s="6"/>
    </row>
    <row>
      <c r="B21" s="25"/>
      <c s="27" t="s">
        <v>77</v>
      </c>
      <c s="50">
        <v>5656</v>
      </c>
      <c s="27" t="b">
        <v>0</v>
      </c>
      <c s="6" t="s">
        <v>93</v>
      </c>
    </row>
    <row>
      <c r="B22" s="25"/>
      <c r="E22" s="6"/>
      <c r="I22" s="47"/>
    </row>
    <row>
      <c r="B23" s="28" t="s">
        <v>7</v>
      </c>
      <c s="28"/>
    </row>
    <row>
      <c r="B24" s="4" t="s">
        <v>52</v>
      </c>
      <c s="4" t="s">
        <v>33</v>
      </c>
      <c s="4" t="s">
        <v>16</v>
      </c>
      <c s="4" t="s">
        <v>78</v>
      </c>
      <c s="4"/>
      <c s="4"/>
      <c s="4" t="s">
        <v>94</v>
      </c>
    </row>
    <row>
      <c s="27" t="s">
        <v>56</v>
      </c>
      <c r="C25" s="46" t="s">
        <v>53</v>
      </c>
      <c s="29" t="s">
        <v>8</v>
      </c>
      <c s="29">
        <v>1234.5599999999999</v>
      </c>
      <c s="6" t="s">
        <v>70</v>
      </c>
      <c r="H25" s="27" t="s">
        <v>79</v>
      </c>
    </row>
    <row>
      <c s="27" t="s">
        <v>86</v>
      </c>
      <c r="C26" s="46" t="s">
        <v>53</v>
      </c>
      <c s="29" t="s">
        <v>8</v>
      </c>
      <c s="29">
        <v>1234.5599999999999</v>
      </c>
      <c s="6" t="s">
        <v>57</v>
      </c>
      <c r="H26" s="27" t="s">
        <v>95</v>
      </c>
    </row>
    <row>
      <c r="C27" s="46" t="s">
        <v>53</v>
      </c>
      <c s="62" t="s">
        <v>8</v>
      </c>
      <c s="29">
        <v>1234.5599999999999</v>
      </c>
      <c r="H27" s="27" t="s">
        <v>58</v>
      </c>
    </row>
    <row>
      <c r="C28" s="56" t="s">
        <v>53</v>
      </c>
      <c s="62" t="s">
        <v>45</v>
      </c>
      <c s="29">
        <v>1234.5599999999999</v>
      </c>
      <c r="H28" s="27" t="s">
        <v>34</v>
      </c>
    </row>
    <row>
      <c r="C29" s="56" t="s">
        <v>53</v>
      </c>
      <c s="62" t="s">
        <v>19</v>
      </c>
      <c s="29">
        <v>1234.5599999999999</v>
      </c>
      <c r="H29" s="27" t="s">
        <v>96</v>
      </c>
    </row>
    <row>
      <c r="C30" s="56" t="s">
        <v>9</v>
      </c>
      <c s="62" t="s">
        <v>12</v>
      </c>
      <c s="29">
        <v>1234.5599999999999</v>
      </c>
    </row>
    <row>
      <c r="C31" s="56" t="s">
        <v>80</v>
      </c>
      <c s="42" t="s">
        <v>22</v>
      </c>
      <c s="54">
        <v>1234.5599999999999</v>
      </c>
    </row>
    <row>
      <c r="C32" s="56" t="s">
        <v>9</v>
      </c>
      <c s="31" t="s">
        <v>61</v>
      </c>
      <c s="44">
        <v>1234.5599999999999</v>
      </c>
    </row>
    <row>
      <c r="C33" s="56" t="s">
        <v>21</v>
      </c>
      <c s="41" t="s">
        <v>22</v>
      </c>
      <c s="38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
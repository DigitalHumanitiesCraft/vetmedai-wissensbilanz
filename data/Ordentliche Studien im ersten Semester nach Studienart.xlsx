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10725" windowHeight="8370"/>
  </bookViews>
  <sheets>
    <sheet name="Tab" sheetId="1" r:id="rId1"/>
    <sheet name="XLCubedFormats" sheetId="2" state="hidden" r:id="rId2"/>
  </sheets>
  <definedNames>
    <definedName name="_xlnm.Print_Area" localSheetId="0">Tab!$A$1:$J$28</definedName>
    <definedName name="XL3DisableCameraObjects" hidden="1">XLCubedFormats!A1</definedName>
    <definedName name="XL3ObjLocation6dd36f0e_b97c_4129_8553_f637565fde5f">Tab!$A$10</definedName>
  </definedNames>
  <calcPr calcId="40001"/>
</workbook>
</file>

<file path=xl/sharedStrings.xml><?xml version="1.0" encoding="utf-8"?>
<sst xmlns="http://schemas.openxmlformats.org/spreadsheetml/2006/main" uniqueCount="90">
  <si>
    <t>Universität</t>
  </si>
  <si>
    <t>Semester und Datenstichtag</t>
  </si>
  <si>
    <t>Frauen</t>
  </si>
  <si>
    <t>Slicer Button Background</t>
  </si>
  <si>
    <t>Grid Title</t>
  </si>
  <si>
    <t>Oth Written Member</t>
  </si>
  <si>
    <t>Fill in Grid Name, Dimension or Both</t>
  </si>
  <si>
    <t xml:space="preserve">Ordentliche Studien </t>
  </si>
  <si>
    <t>[ALLG Wertart].[Wertart]</t>
  </si>
  <si>
    <t>(Members of Studienfach (Fachcode)) - (Erweiterungsstudium, Zweitfach)</t>
  </si>
  <si>
    <t>Staatengruppe (Ö, EU, andere)</t>
  </si>
  <si>
    <t>Absolutwert</t>
  </si>
  <si>
    <t>Diplomstudium</t>
  </si>
  <si>
    <t>All Marital Status</t>
  </si>
  <si>
    <t>Male</t>
  </si>
  <si>
    <t>Member1 Name</t>
  </si>
  <si>
    <t>Studien Universitäten</t>
  </si>
  <si>
    <t>ord. Studium</t>
  </si>
  <si>
    <t>Begonnene Studien</t>
  </si>
  <si>
    <t>&lt;-- default Column Member Format</t>
  </si>
  <si>
    <t>Gesamt</t>
  </si>
  <si>
    <t>Alternate Rows</t>
  </si>
  <si>
    <t>&lt;--  writeable cell format</t>
  </si>
  <si>
    <t xml:space="preserve"> </t>
  </si>
  <si>
    <t>Slicer Title</t>
  </si>
  <si>
    <t>Calendar Period</t>
  </si>
  <si>
    <t>&lt;-- default cell format</t>
  </si>
  <si>
    <t>Written Member</t>
  </si>
  <si>
    <t>Dimension/Column</t>
  </si>
  <si>
    <t>4) Prozentangaben werden standardmäßig mit einer Kommastelle angezeigt</t>
  </si>
  <si>
    <t>Dadurch sind Studien auf ganze Zahlen zu runden und es kann zu Abweichungen zwischen der Gesamtsumme und den addierten Detailergebnissen kommen.</t>
  </si>
  <si>
    <t>Bachelorstudium</t>
  </si>
  <si>
    <t>Männer</t>
  </si>
  <si>
    <t>Slice Name (Optional)</t>
  </si>
  <si>
    <t>UA, UB, UC, UD, UE, UF, UG, UH, UI, UJ, UK, UL, UM, UN, UO, UQ, UR, US, UT, UU, UV, UW, UZ</t>
  </si>
  <si>
    <t>[STU Studium].[Studienart]</t>
  </si>
  <si>
    <t>Studienjahr 2024/25</t>
  </si>
  <si>
    <t>ALLG Semester.Studienjahr (Langbezeichnung)</t>
  </si>
  <si>
    <t>Customer</t>
  </si>
  <si>
    <t>-All Customer</t>
  </si>
  <si>
    <t>Default Alternate Row Member Format --&gt;</t>
  </si>
  <si>
    <t>Studien von Erstzugelassenen</t>
  </si>
  <si>
    <t>Studientyp</t>
  </si>
  <si>
    <t>Bundesland Universität</t>
  </si>
  <si>
    <t>Doktoratsstudium</t>
  </si>
  <si>
    <t>Slicer Item</t>
  </si>
  <si>
    <t>&lt;-- default Slicer Member Format</t>
  </si>
  <si>
    <t>Default Row Member Format --&gt;</t>
  </si>
  <si>
    <t>Grid/Table Name</t>
  </si>
  <si>
    <t>[Measures]</t>
  </si>
  <si>
    <t>ISCED2013 3.Ebene (Code, Langtext)</t>
  </si>
  <si>
    <t>&lt;-- writeable Slicer Member Format</t>
  </si>
  <si>
    <t>Slice Format 1</t>
  </si>
  <si>
    <t>&lt;-- Gesamtzeile</t>
  </si>
  <si>
    <t>3) Formatierung der Gesamtspalte und -zeile (siehe E25:E26)</t>
  </si>
  <si>
    <t>(ohne Erweiterungsstudien; bei kombinationspflichtigen Studien bis STJ 2015/16 nur Erstfach gezählt)</t>
  </si>
  <si>
    <t>Studienfach (Fachcode)</t>
  </si>
  <si>
    <t>Frauen-/Männeranteil in %</t>
  </si>
  <si>
    <t>Slicer Button</t>
  </si>
  <si>
    <t>+2009</t>
  </si>
  <si>
    <t>&lt;-- default alternate row cell format</t>
  </si>
  <si>
    <t>&lt;--  written cell format</t>
  </si>
  <si>
    <t>Studienart</t>
  </si>
  <si>
    <t>Display Formats For:</t>
  </si>
  <si>
    <t>Enabled?</t>
  </si>
  <si>
    <t>&lt;-- Gesamtspalte</t>
  </si>
  <si>
    <t>Datenprüfung und -aufbereitung: bmfwf, Abt. I/10</t>
  </si>
  <si>
    <t>Universität-Ausrichtung</t>
  </si>
  <si>
    <t>Masterstudium</t>
  </si>
  <si>
    <t>Slicer Button Hover</t>
  </si>
  <si>
    <t>Label Format--&gt;</t>
  </si>
  <si>
    <t>&lt;--  written cell by another user cell format</t>
  </si>
  <si>
    <t>Summary Written Member</t>
  </si>
  <si>
    <t>Data Format</t>
  </si>
  <si>
    <t>[SU Studierende].[Geschlecht]</t>
  </si>
  <si>
    <t>1) Spaltenüberschrift mittels Menüpunkt Daten/Gruppieren/Gruppieren ausblenden</t>
  </si>
  <si>
    <t>Ordentliche Studien im ersten Semester an Universitäten nach Studienart</t>
  </si>
  <si>
    <t>Marital Status</t>
  </si>
  <si>
    <t>Default Writeable Member Format --&gt;</t>
  </si>
  <si>
    <t>Slice Format 2</t>
  </si>
  <si>
    <t>Universität (Codex)</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</si>
  <si>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</si>
  <si>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</si>
  <si>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Writeable Member</t>
  </si>
  <si>
    <t>Slicer Button Selected</t>
  </si>
  <si>
    <t>&lt;--  summary written cell</t>
  </si>
  <si>
    <t>Formatierungsrichtlinien</t>
  </si>
  <si>
    <t>2) Wenn möglich die nicht hierarchische Darstellung eines Slicers wählen (Slicer Type)</t>
  </si>
  <si>
    <t>5) Formatierung von Zahlen prüfen (Ganzzahl oder Zahl mit einer Kommastelle)</t>
  </si>
  <si>
    <t>Anmerkung: Ab dem WS 2016 erfolgt die zähltechnische Abbildung der Studien auf Basis des Verteilungsschlüssels gemäß § 22 Abs. 2 und Abs. 5 bis 7 UHSBV.</t>
  </si>
</sst>
</file>

<file path=xl/styles.xml><?xml version="1.0" encoding="utf-8"?>
<styleSheet xmlns="http://schemas.openxmlformats.org/spreadsheetml/2006/main">
  <numFmts count="2">
    <numFmt numFmtId="164" formatCode="0.0%"/>
    <numFmt numFmtId="165" formatCode=";;;"/>
  </numFmts>
  <fonts count="35">
    <font>
      <sz val="11"/>
      <color theme="1"/>
      <name val="Calibri"/>
      <family val="2"/>
      <scheme val="minor"/>
    </font>
    <font>
      <sz val="11"/>
      <color indexed="8"/>
      <name val="Calibri"/>
      <family val="2"/>
    </font>
    <font>
      <sz val="11"/>
      <name val="Calibri"/>
      <family val="2"/>
      <scheme val="minor"/>
    </font>
    <font>
      <sz val="10"/>
      <color rgb="FF000000"/>
      <name val="Tahoma"/>
      <family val="2"/>
    </font>
    <font>
      <b/>
      <sz val="11"/>
      <name val="Calibri"/>
      <family val="2"/>
      <scheme val="minor"/>
    </font>
    <font>
      <b/>
      <sz val="10"/>
      <name val="Tahoma"/>
      <family val="2"/>
    </font>
    <font>
      <b/>
      <sz val="8"/>
      <color indexed="23"/>
      <name val="Tahoma"/>
      <family val="2"/>
    </font>
    <font>
      <b/>
      <sz val="11"/>
      <color rgb="FF000000"/>
      <name val="Tahoma"/>
      <family val="2"/>
    </font>
    <font>
      <sz val="9"/>
      <name val="Tahoma"/>
      <family val="2"/>
    </font>
    <font>
      <sz val="10"/>
      <color rgb="FF262626"/>
      <name val="Tahoma"/>
      <family val="2"/>
    </font>
    <font>
      <sz val="11"/>
      <color rgb="FF000000"/>
      <name val="Tahoma"/>
      <family val="2"/>
    </font>
    <font>
      <sz val="10"/>
      <color theme="1" tint="0.34998626667073579"/>
      <name val="Tahoma"/>
      <family val="2"/>
    </font>
    <font>
      <sz val="10"/>
      <name val="Tahoma"/>
      <family val="2"/>
    </font>
    <font>
      <sz val="8"/>
      <name val="Tahoma"/>
      <family val="2"/>
    </font>
    <font>
      <sz val="10"/>
      <color theme="1" tint="0.0499893185216834"/>
      <name val="Tahoma"/>
      <family val="2"/>
    </font>
    <font>
      <sz val="10"/>
      <color rgb="FF595959"/>
      <name val="Tahoma"/>
    </font>
    <font>
      <sz val="10"/>
      <color theme="1" tint="0.14996795556505021"/>
      <name val="Tahoma"/>
      <family val="2"/>
    </font>
    <font>
      <b/>
      <sz val="11"/>
      <color theme="1"/>
      <name val="Calibri"/>
      <family val="2"/>
      <scheme val="minor"/>
    </font>
    <font>
      <sz val="10"/>
      <color rgb="FFFF0000"/>
      <name val="Tahoma"/>
      <family val="2"/>
    </font>
    <font>
      <b/>
      <sz val="8"/>
      <color rgb="FFFF0000"/>
      <name val="Tahoma"/>
      <family val="2"/>
    </font>
    <font>
      <sz val="11"/>
      <color theme="0"/>
      <name val="Calibri"/>
      <family val="2"/>
      <scheme val="minor"/>
    </font>
    <font>
      <b/>
      <sz val="11"/>
      <color theme="3"/>
      <name val="Calibri"/>
      <family val="2"/>
      <scheme val="minor"/>
    </font>
    <font>
      <sz val="11"/>
      <color rgb="FFFA7D00"/>
      <name val="Calibri"/>
      <family val="2"/>
      <scheme val="minor"/>
    </font>
    <font>
      <b/>
      <sz val="18"/>
      <color theme="3"/>
      <name val="Cambria"/>
      <family val="2"/>
      <scheme val="major"/>
    </font>
    <font>
      <b/>
      <sz val="11"/>
      <color rgb="FF3F3F3F"/>
      <name val="Calibri"/>
      <family val="2"/>
      <scheme val="minor"/>
    </font>
    <font>
      <b/>
      <sz val="15"/>
      <color theme="3"/>
      <name val="Calibri"/>
      <family val="2"/>
      <scheme val="minor"/>
    </font>
    <font>
      <sz val="11"/>
      <color rgb="FFFF0000"/>
      <name val="Calibri"/>
      <family val="2"/>
      <scheme val="minor"/>
    </font>
    <font>
      <b/>
      <sz val="11"/>
      <color rgb="FFFA7D00"/>
      <name val="Calibri"/>
      <family val="2"/>
      <scheme val="minor"/>
    </font>
    <font>
      <b/>
      <sz val="13"/>
      <color theme="3"/>
      <name val="Calibri"/>
      <family val="2"/>
      <scheme val="minor"/>
    </font>
    <font>
      <b/>
      <sz val="11"/>
      <color theme="0"/>
      <name val="Calibri"/>
      <family val="2"/>
      <scheme val="minor"/>
    </font>
    <font>
      <sz val="11"/>
      <color rgb="FF9C6500"/>
      <name val="Calibri"/>
      <family val="2"/>
      <scheme val="minor"/>
    </font>
    <font>
      <sz val="11"/>
      <color rgb="FF3F3F76"/>
      <name val="Calibri"/>
      <family val="2"/>
      <scheme val="minor"/>
    </font>
    <font>
      <sz val="11"/>
      <color rgb="FF006100"/>
      <name val="Calibri"/>
      <family val="2"/>
      <scheme val="minor"/>
    </font>
    <font>
      <sz val="11"/>
      <color rgb="FF9C0006"/>
      <name val="Calibri"/>
      <family val="2"/>
      <scheme val="minor"/>
    </font>
    <font>
      <i/>
      <sz val="11"/>
      <color rgb="FF7F7F7F"/>
      <name val="Calibri"/>
      <family val="2"/>
      <scheme val="minor"/>
    </font>
  </fonts>
  <fills count="14">
    <fill>
      <patternFill patternType="none"/>
    </fill>
    <fill>
      <patternFill patternType="gray125"/>
    </fill>
    <fill>
      <patternFill patternType="solid">
        <fgColor indexed="22"/>
        <bgColor indexed="64"/>
      </patternFill>
    </fill>
    <fill>
      <patternFill patternType="solid">
        <fgColor theme="3" tint="0.79995117038483843"/>
        <bgColor indexed="64"/>
      </patternFill>
    </fill>
    <fill>
      <patternFill patternType="solid">
        <fgColor rgb="FFD9D9D9"/>
        <bgColor rgb="FFFFFFFF"/>
      </patternFill>
    </fill>
    <fill>
      <patternFill patternType="solid">
        <fgColor rgb="FFC0C0C0"/>
        <bgColor rgb="FFFFFFFF"/>
      </patternFill>
    </fill>
    <fill>
      <patternFill patternType="solid">
        <fgColor rgb="FFC6D9F1"/>
        <bgColor rgb="FFFFFFFF"/>
      </patternFill>
    </fill>
    <fill>
      <patternFill patternType="solid">
        <fgColor rgb="FFDDDDDD"/>
        <bgColor indexed="64"/>
      </patternFill>
    </fill>
    <fill>
      <patternFill patternType="solid">
        <fgColor rgb="FFDDDDDD"/>
        <bgColor rgb="FFFFFFFF"/>
      </patternFill>
    </fill>
    <fill>
      <patternFill patternType="solid">
        <fgColor indexed="43"/>
        <bgColor indexed="64"/>
      </patternFill>
    </fill>
    <fill>
      <patternFill patternType="solid">
        <fgColor rgb="FFD9D9D9"/>
        <bgColor indexed="64"/>
      </patternFill>
    </fill>
    <fill>
      <patternFill patternType="solid">
        <fgColor rgb="FFC0C0C0"/>
        <bgColor indexed="64"/>
      </patternFill>
    </fill>
    <fill>
      <patternFill patternType="solid">
        <fgColor indexed="42"/>
        <bgColor indexed="64"/>
      </patternFill>
    </fill>
    <fill>
      <patternFill patternType="solid">
        <fgColor indexed="40"/>
        <bgColor indexed="64"/>
      </patternFill>
    </fill>
  </fills>
  <borders count="8">
    <border>
      <left/>
      <right/>
      <top/>
      <bottom/>
      <diagonal/>
    </border>
    <border>
      <left style="hair">
        <color rgb="FFC0C0C0"/>
      </left>
      <right style="hair">
        <color rgb="FFC0C0C0"/>
      </right>
      <top style="hair">
        <color rgb="FFC0C0C0"/>
      </top>
      <bottom style="hair">
        <color rgb="FFC0C0C0"/>
      </bottom>
      <diagonal/>
    </border>
    <border>
      <left style="hair">
        <color rgb="FFC0C0C0"/>
      </left>
      <right/>
      <top style="hair">
        <color rgb="FFC0C0C0"/>
      </top>
      <bottom/>
      <diagonal/>
    </border>
    <border>
      <left/>
      <right style="hair">
        <color rgb="FFC0C0C0"/>
      </right>
      <top/>
      <bottom/>
      <diagonal/>
    </border>
    <border>
      <left style="hair">
        <color rgb="FFC0C0C0"/>
      </left>
      <right style="hair">
        <color rgb="FFC0C0C0"/>
      </right>
      <top style="hair">
        <color rgb="FFC0C0C0"/>
      </top>
      <bottom/>
      <diagonal/>
    </border>
    <border>
      <left style="hair">
        <color indexed="22"/>
      </left>
      <right style="hair">
        <color indexed="22"/>
      </right>
      <top style="hair">
        <color indexed="22"/>
      </top>
      <bottom style="hair">
        <color indexed="22"/>
      </bottom>
      <diagonal/>
    </border>
    <border>
      <left style="thin">
        <color indexed="23"/>
      </left>
      <right/>
      <top/>
      <bottom/>
      <diagonal/>
    </border>
    <border>
      <left style="hair">
        <color rgb="FFC0C0C0"/>
      </left>
      <right/>
      <top style="hair">
        <color rgb="FFC0C0C0"/>
      </top>
      <bottom style="hair">
        <color rgb="FFC0C0C0"/>
      </bottom>
      <diagonal/>
    </border>
  </borders>
  <cellStyleXfs count="2">
    <xf numFmtId="0" fontId="0" fillId="0" borderId="0"/>
    <xf numFmtId="0" fontId="1" fillId="0" borderId="0"/>
  </cellStyleXfs>
  <cellXfs count="75">
    <xf numFmtId="0" fontId="0" fillId="0" borderId="0" xfId="0"/>
    <xf numFmtId="0" fontId="2" fillId="0" borderId="0" xfId="0" applyFont="1" applyFill="1" applyBorder="1"/>
    <xf numFmtId="0" fontId="3" fillId="0" borderId="0" xfId="0" quotePrefix="1" applyFont="1" applyFill="1" applyAlignment="1">
      <alignment horizontal="left" vertical="top" wrapText="1"/>
    </xf>
    <xf numFmtId="3" fontId="4" fillId="0" borderId="0" xfId="0" applyNumberFormat="1" applyFont="1" applyFill="1" applyBorder="1"/>
    <xf numFmtId="0" fontId="5" fillId="0" borderId="0" xfId="0" applyFont="1"/>
    <xf numFmtId="0" fontId="6" fillId="0" borderId="0" xfId="0" applyFont="1"/>
    <xf numFmtId="0" fontId="7" fillId="0" borderId="0" xfId="0" applyFont="1" applyFill="1" applyAlignment="1">
      <alignment vertical="top"/>
    </xf>
    <xf numFmtId="0" fontId="8" fillId="2" borderId="0" xfId="1" applyFont="1" applyFill="1" applyBorder="1" applyAlignment="1">
      <alignment horizontal="center"/>
    </xf>
    <xf numFmtId="0" fontId="3" fillId="0" borderId="0" xfId="0" applyFont="1" applyFill="1" applyAlignment="1">
      <alignment vertical="top"/>
    </xf>
    <xf numFmtId="0" fontId="3" fillId="0" borderId="0" xfId="0" applyFont="1" applyFill="1" applyAlignment="1"/>
    <xf numFmtId="0" fontId="9" fillId="0" borderId="1" xfId="0" quotePrefix="1" applyFont="1" applyFill="1" applyBorder="1" applyAlignment="1" applyProtection="1">
      <alignment horizontal="center"/>
    </xf>
    <xf numFmtId="0" fontId="10" fillId="0" borderId="0" xfId="0" applyFont="1" applyFill="1" applyAlignment="1">
      <alignment vertical="center"/>
    </xf>
    <xf numFmtId="0" fontId="7" fillId="0" borderId="0" xfId="0" applyFont="1" applyFill="1" applyAlignment="1">
      <alignment horizontal="left" vertical="top"/>
    </xf>
    <xf numFmtId="0" fontId="9" fillId="0" borderId="1" xfId="0" applyFont="1" applyFill="1" applyBorder="1" applyAlignment="1" applyProtection="1">
      <alignment horizontal="right"/>
    </xf>
    <xf numFmtId="0" fontId="11" fillId="3" borderId="0" xfId="0" applyFont="1" applyFill="1" applyAlignment="1"/>
    <xf numFmtId="3" fontId="9" fillId="4" borderId="1" xfId="0" applyNumberFormat="1" applyFont="1" applyFill="1" applyBorder="1" applyAlignment="1" applyProtection="1">
      <alignment horizontal="right" vertical="center"/>
    </xf>
    <xf numFmtId="0" fontId="12" fillId="0" borderId="0" xfId="0" applyNumberFormat="1" applyFont="1" applyAlignment="1"/>
    <xf numFmtId="0" fontId="13" fillId="0" borderId="0" xfId="1" applyFont="1"/>
    <xf numFmtId="0" fontId="14" fillId="0" borderId="0" xfId="0" applyFont="1"/>
    <xf numFmtId="0" fontId="9" fillId="0" borderId="2" xfId="0" applyFont="1" applyBorder="1" applyAlignment="1" applyProtection="1">
      <alignment horizontal="right"/>
    </xf>
    <xf numFmtId="0" fontId="12" fillId="0" borderId="0" xfId="0" applyFont="1" applyAlignment="1">
      <alignment horizontal="center"/>
    </xf>
    <xf numFmtId="164" fontId="9" fillId="5" borderId="1" xfId="0" quotePrefix="1" applyNumberFormat="1" applyFont="1" applyFill="1" applyBorder="1" applyAlignment="1" applyProtection="1">
      <alignment horizontal="center"/>
    </xf>
    <xf numFmtId="0" fontId="15" fillId="6" borderId="3" xfId="0" quotePrefix="1" applyFont="1" applyFill="1" applyBorder="1" applyAlignment="1" applyProtection="1"/>
    <xf numFmtId="0" fontId="6" fillId="0" borderId="0" xfId="0" applyFont="1" applyAlignment="1">
      <alignment horizontal="right"/>
    </xf>
    <xf numFmtId="0" fontId="12" fillId="0" borderId="0" xfId="0" applyFont="1"/>
    <xf numFmtId="0" fontId="16" fillId="0" borderId="0" xfId="0" applyFont="1"/>
    <xf numFmtId="0" fontId="13" fillId="3" borderId="0" xfId="1" applyFont="1" applyFill="1"/>
    <xf numFmtId="0" fontId="9" fillId="7" borderId="2" xfId="0" applyFont="1" applyFill="1" applyBorder="1" applyAlignment="1" applyProtection="1">
      <alignment horizontal="right"/>
    </xf>
    <xf numFmtId="0" fontId="9" fillId="7" borderId="4" xfId="0" applyFont="1" applyFill="1" applyBorder="1" applyAlignment="1" applyProtection="1">
      <alignment horizontal="right"/>
    </xf>
    <xf numFmtId="164" fontId="9" fillId="5" borderId="1" xfId="0" applyNumberFormat="1" applyFont="1" applyFill="1" applyBorder="1" applyAlignment="1" applyProtection="1">
      <alignment horizontal="right"/>
    </xf>
    <xf numFmtId="3" fontId="9" fillId="0" borderId="1" xfId="0" applyNumberFormat="1" applyFont="1" applyFill="1" applyBorder="1" applyAlignment="1" applyProtection="1">
      <alignment horizontal="right"/>
    </xf>
    <xf numFmtId="164" fontId="9" fillId="4" borderId="1" xfId="0" applyNumberFormat="1" applyFont="1" applyFill="1" applyBorder="1" applyAlignment="1" applyProtection="1">
      <alignment horizontal="right" vertical="center"/>
    </xf>
    <xf numFmtId="0" fontId="0" fillId="0" borderId="0" xfId="0" applyFill="1" applyAlignment="1"/>
    <xf numFmtId="0" fontId="9" fillId="8" borderId="1" xfId="0" applyFont="1" applyFill="1" applyBorder="1" applyAlignment="1" applyProtection="1">
      <alignment horizontal="right"/>
    </xf>
    <xf numFmtId="0" fontId="9" fillId="0" borderId="4" xfId="0" applyFont="1" applyBorder="1" applyAlignment="1" applyProtection="1">
      <alignment horizontal="right"/>
    </xf>
    <xf numFmtId="0" fontId="12" fillId="0" borderId="0" xfId="0" quotePrefix="1" applyFont="1" applyFill="1"/>
    <xf numFmtId="0" fontId="12" fillId="0" borderId="0" xfId="0" applyNumberFormat="1" applyFont="1" applyFill="1" applyBorder="1" applyAlignment="1"/>
    <xf numFmtId="0" fontId="12" fillId="9" borderId="0" xfId="0" applyFont="1" applyFill="1"/>
    <xf numFmtId="0" fontId="9" fillId="10" borderId="1" xfId="0" applyFont="1" applyFill="1" applyBorder="1" applyAlignment="1" applyProtection="1">
      <alignment vertical="center"/>
    </xf>
    <xf numFmtId="0" fontId="17" fillId="0" borderId="0" xfId="0" applyFont="1"/>
    <xf numFmtId="0" fontId="18" fillId="0" borderId="0" xfId="0" applyFont="1"/>
    <xf numFmtId="164" fontId="9" fillId="11" borderId="2" xfId="0" applyNumberFormat="1" applyFont="1" applyFill="1" applyBorder="1" applyAlignment="1" applyProtection="1">
      <alignment horizontal="right"/>
    </xf>
    <xf numFmtId="0" fontId="19" fillId="0" borderId="0" xfId="0" applyFont="1"/>
    <xf numFmtId="3" fontId="9" fillId="8" borderId="1" xfId="0" applyNumberFormat="1" applyFont="1" applyFill="1" applyBorder="1" applyAlignment="1" applyProtection="1">
      <alignment horizontal="right"/>
    </xf>
    <xf numFmtId="3" fontId="16" fillId="0" borderId="5" xfId="0" applyNumberFormat="1" applyFont="1" applyFill="1" applyBorder="1" applyAlignment="1"/>
    <xf numFmtId="3" fontId="12" fillId="12" borderId="0" xfId="0" applyNumberFormat="1" applyFont="1" applyFill="1" applyAlignment="1"/>
    <xf numFmtId="0" fontId="3" fillId="0" borderId="0" xfId="0" quotePrefix="1" applyFont="1" applyFill="1" applyAlignment="1">
      <alignment vertical="top"/>
    </xf>
    <xf numFmtId="0" fontId="0" fillId="0" borderId="0" xfId="0" applyFont="1"/>
    <xf numFmtId="165" fontId="12" fillId="0" borderId="0" xfId="0" applyNumberFormat="1" applyFont="1"/>
    <xf numFmtId="0" fontId="12" fillId="9" borderId="0" xfId="0" applyNumberFormat="1" applyFont="1" applyFill="1" applyAlignment="1"/>
    <xf numFmtId="0" fontId="13" fillId="9" borderId="0" xfId="1" applyFont="1" applyFill="1"/>
    <xf numFmtId="0" fontId="9" fillId="0" borderId="1" xfId="0" quotePrefix="1" applyFont="1" applyBorder="1" applyAlignment="1" applyProtection="1"/>
    <xf numFmtId="0" fontId="12" fillId="0" borderId="0" xfId="0" quotePrefix="1" applyFont="1"/>
    <xf numFmtId="0" fontId="3" fillId="0" borderId="0" xfId="0" quotePrefix="1" applyFont="1" applyFill="1" applyAlignment="1"/>
    <xf numFmtId="3" fontId="12" fillId="0" borderId="0" xfId="0" applyNumberFormat="1" applyFont="1" applyAlignment="1"/>
    <xf numFmtId="0" fontId="6" fillId="0" borderId="0" xfId="0" applyFont="1" applyAlignment="1">
      <alignment horizontal="center"/>
    </xf>
    <xf numFmtId="0" fontId="16" fillId="0" borderId="5" xfId="0" quotePrefix="1" applyFont="1" applyFill="1" applyBorder="1" applyAlignment="1"/>
    <xf numFmtId="0" fontId="9" fillId="0" borderId="2" xfId="0" applyFont="1" applyBorder="1" applyAlignment="1" applyProtection="1">
      <alignment horizontal="center"/>
    </xf>
    <xf numFmtId="0" fontId="3" fillId="0" borderId="0" xfId="0" quotePrefix="1" applyFont="1" applyFill="1" applyAlignment="1">
      <alignment horizontal="left" vertical="top"/>
    </xf>
    <xf numFmtId="0" fontId="12" fillId="0" borderId="0" xfId="0" applyNumberFormat="1" applyFont="1"/>
    <xf numFmtId="0" fontId="9" fillId="4" borderId="1" xfId="0" applyFont="1" applyFill="1" applyBorder="1" applyAlignment="1" applyProtection="1">
      <alignment vertical="center"/>
    </xf>
    <xf numFmtId="2" fontId="12" fillId="0" borderId="0" xfId="0" applyNumberFormat="1" applyFont="1"/>
    <xf numFmtId="0" fontId="9" fillId="0" borderId="1" xfId="0" applyFont="1" applyFill="1" applyBorder="1" applyAlignment="1" applyProtection="1">
      <alignment vertical="center"/>
    </xf>
    <xf numFmtId="0" fontId="17" fillId="0" borderId="0" xfId="0" applyFont="1" applyFill="1" applyAlignment="1"/>
    <xf numFmtId="3" fontId="5" fillId="0" borderId="0" xfId="0" applyNumberFormat="1" applyFont="1" applyFill="1" applyAlignment="1"/>
    <xf numFmtId="3" fontId="12" fillId="13" borderId="0" xfId="0" applyNumberFormat="1" applyFont="1" applyFill="1" applyAlignment="1"/>
    <xf numFmtId="0" fontId="8" fillId="2" borderId="6" xfId="1" applyFont="1" applyFill="1" applyBorder="1" applyAlignment="1">
      <alignment horizontal="center"/>
    </xf>
    <xf numFmtId="3" fontId="12" fillId="9" borderId="0" xfId="0" applyNumberFormat="1" applyFont="1" applyFill="1" applyAlignment="1"/>
    <xf numFmtId="0" fontId="12" fillId="0" borderId="0" xfId="0" applyFont="1" applyFill="1" applyBorder="1" applyAlignment="1">
      <alignment vertical="center"/>
    </xf>
    <xf numFmtId="0" fontId="3" fillId="0" borderId="0" xfId="0" applyFont="1" applyFill="1" applyAlignment="1">
      <alignment horizontal="left" vertical="top" wrapText="1"/>
    </xf>
    <xf numFmtId="0" fontId="9" fillId="10" borderId="7" xfId="0" applyFont="1" applyFill="1" applyBorder="1" applyAlignment="1" applyProtection="1">
      <alignment vertical="center"/>
    </xf>
    <xf numFmtId="0" fontId="16" fillId="0" borderId="5" xfId="0" quotePrefix="1" applyFont="1" applyFill="1" applyBorder="1" applyAlignment="1">
      <alignment horizontal="right"/>
    </xf>
    <xf numFmtId="0" fontId="5" fillId="0" borderId="0" xfId="0" applyFont="1" applyFill="1" applyBorder="1" applyAlignment="1">
      <alignment vertical="center"/>
    </xf>
    <xf numFmtId="0" fontId="16" fillId="0" borderId="5" xfId="0" applyFont="1" applyFill="1" applyBorder="1" applyAlignment="1">
      <alignment vertical="center"/>
    </xf>
    <xf numFmtId="164" fontId="9" fillId="11" borderId="2" xfId="0" applyNumberFormat="1" applyFont="1" applyFill="1" applyBorder="1" applyAlignment="1" applyProtection="1">
      <alignment horizontal="center"/>
    </xf>
  </cellXfs>
  <cellStyles count="2">
    <cellStyle name="Normal" xfId="0" builtinId="0"/>
    <cellStyle name="Normal_Sheet1" xfId="1"/>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drawing1.xml><?xml version="1.0" encoding="utf-8"?>
<xdr:wsDr xmlns:a="http://schemas.openxmlformats.org/drawingml/2006/main" xmlns:xdr="http://schemas.openxmlformats.org/drawingml/2006/spreadsheetDrawing">
  <xdr:twoCellAnchor editAs="oneCell">
    <xdr:from>
      <xdr:col>1</xdr:col>
      <xdr:colOff>0</xdr:colOff>
      <xdr:row>9</xdr:row>
      <xdr:rowOff>190500</xdr:rowOff>
    </xdr:from>
    <xdr:to>
      <xdr:col>5</xdr:col>
      <xdr:colOff>208282</xdr:colOff>
      <xdr:row>11</xdr:row>
      <xdr:rowOff>0</xdr:rowOff>
    </xdr:to>
    <xdr:pic>
      <xdr:nvPicPr>
        <xdr:cNvPr id="3" name="Picture 2"/>
        <xdr:cNvPicPr>
          <a:picLocks/>
        </xdr:cNvPicPr>
      </xdr:nvPicPr>
      <xdr:blipFill>
        <a:blip xmlns:r="http://schemas.openxmlformats.org/officeDocument/2006/relationships" r:embed="rId1"/>
        <a:stretch>
          <a:fillRect/>
        </a:stretch>
      </xdr:blipFill>
      <xdr:spPr>
        <a:xfrm>
          <a:off x="2968624" y="2205990"/>
          <a:ext cx="3697028" cy="190500"/>
        </a:xfrm>
        <a:prstGeom prst="rect">
          <a:avLst/>
        </a:prstGeom>
        <a:noFill/>
        <a:ln w="0">
          <a:noFill/>
        </a:ln>
      </xdr:spPr>
    </xdr:pic>
    <xdr:clientData/>
  </xdr:twoCellAnchor>
  <xdr:twoCellAnchor editAs="oneCell">
    <xdr:from>
      <xdr:col>1</xdr:col>
      <xdr:colOff>0</xdr:colOff>
      <xdr:row>10</xdr:row>
      <xdr:rowOff>190500</xdr:rowOff>
    </xdr:from>
    <xdr:to>
      <xdr:col>5</xdr:col>
      <xdr:colOff>208282</xdr:colOff>
      <xdr:row>12</xdr:row>
      <xdr:rowOff>0</xdr:rowOff>
    </xdr:to>
    <xdr:pic>
      <xdr:nvPicPr>
        <xdr:cNvPr id="4" name="Picture 3"/>
        <xdr:cNvPicPr>
          <a:picLocks/>
        </xdr:cNvPicPr>
      </xdr:nvPicPr>
      <xdr:blipFill>
        <a:blip xmlns:r="http://schemas.openxmlformats.org/officeDocument/2006/relationships" r:embed="rId1"/>
        <a:stretch>
          <a:fillRect/>
        </a:stretch>
      </xdr:blipFill>
      <xdr:spPr>
        <a:xfrm>
          <a:off x="2968624" y="2396490"/>
          <a:ext cx="3697028" cy="190500"/>
        </a:xfrm>
        <a:prstGeom prst="rect">
          <a:avLst/>
        </a:prstGeom>
        <a:noFill/>
        <a:ln w="0">
          <a:noFill/>
        </a:ln>
      </xdr:spPr>
    </xdr:pic>
    <xdr:clientData/>
  </xdr:twoCellAnchor>
  <xdr:twoCellAnchor editAs="oneCell">
    <xdr:from>
      <xdr:col>1</xdr:col>
      <xdr:colOff>0</xdr:colOff>
      <xdr:row>11</xdr:row>
      <xdr:rowOff>190500</xdr:rowOff>
    </xdr:from>
    <xdr:to>
      <xdr:col>5</xdr:col>
      <xdr:colOff>208282</xdr:colOff>
      <xdr:row>13</xdr:row>
      <xdr:rowOff>0</xdr:rowOff>
    </xdr:to>
    <xdr:pic>
      <xdr:nvPicPr>
        <xdr:cNvPr id="5" name="Picture 4"/>
        <xdr:cNvPicPr>
          <a:picLocks/>
        </xdr:cNvPicPr>
      </xdr:nvPicPr>
      <xdr:blipFill>
        <a:blip xmlns:r="http://schemas.openxmlformats.org/officeDocument/2006/relationships" r:embed="rId1"/>
        <a:stretch>
          <a:fillRect/>
        </a:stretch>
      </xdr:blipFill>
      <xdr:spPr>
        <a:xfrm>
          <a:off x="2968624" y="2586990"/>
          <a:ext cx="3697028" cy="190500"/>
        </a:xfrm>
        <a:prstGeom prst="rect">
          <a:avLst/>
        </a:prstGeom>
        <a:noFill/>
        <a:ln w="0">
          <a:noFill/>
        </a:ln>
      </xdr:spPr>
    </xdr:pic>
    <xdr:clientData/>
  </xdr:twoCellAnchor>
  <xdr:twoCellAnchor editAs="oneCell">
    <xdr:from>
      <xdr:col>1</xdr:col>
      <xdr:colOff>0</xdr:colOff>
      <xdr:row>12</xdr:row>
      <xdr:rowOff>190500</xdr:rowOff>
    </xdr:from>
    <xdr:to>
      <xdr:col>5</xdr:col>
      <xdr:colOff>208282</xdr:colOff>
      <xdr:row>14</xdr:row>
      <xdr:rowOff>0</xdr:rowOff>
    </xdr:to>
    <xdr:pic>
      <xdr:nvPicPr>
        <xdr:cNvPr id="6" name="Picture 5"/>
        <xdr:cNvPicPr>
          <a:picLocks/>
        </xdr:cNvPicPr>
      </xdr:nvPicPr>
      <xdr:blipFill>
        <a:blip xmlns:r="http://schemas.openxmlformats.org/officeDocument/2006/relationships" r:embed="rId1"/>
        <a:stretch>
          <a:fillRect/>
        </a:stretch>
      </xdr:blipFill>
      <xdr:spPr>
        <a:xfrm>
          <a:off x="2968624" y="2777490"/>
          <a:ext cx="3697028" cy="190500"/>
        </a:xfrm>
        <a:prstGeom prst="rect">
          <a:avLst/>
        </a:prstGeom>
        <a:noFill/>
        <a:ln w="0">
          <a:noFill/>
        </a:ln>
      </xdr:spPr>
    </xdr:pic>
    <xdr:clientData/>
  </xdr:twoCellAnchor>
  <xdr:twoCellAnchor editAs="oneCell">
    <xdr:from>
      <xdr:col>1</xdr:col>
      <xdr:colOff>0</xdr:colOff>
      <xdr:row>13</xdr:row>
      <xdr:rowOff>190500</xdr:rowOff>
    </xdr:from>
    <xdr:to>
      <xdr:col>5</xdr:col>
      <xdr:colOff>208282</xdr:colOff>
      <xdr:row>15</xdr:row>
      <xdr:rowOff>0</xdr:rowOff>
    </xdr:to>
    <xdr:pic>
      <xdr:nvPicPr>
        <xdr:cNvPr id="7" name="Picture 6"/>
        <xdr:cNvPicPr>
          <a:picLocks/>
        </xdr:cNvPicPr>
      </xdr:nvPicPr>
      <xdr:blipFill>
        <a:blip xmlns:r="http://schemas.openxmlformats.org/officeDocument/2006/relationships" r:embed="rId1"/>
        <a:stretch>
          <a:fillRect/>
        </a:stretch>
      </xdr:blipFill>
      <xdr:spPr>
        <a:xfrm>
          <a:off x="2968624" y="2967990"/>
          <a:ext cx="3697028" cy="190500"/>
        </a:xfrm>
        <a:prstGeom prst="rect">
          <a:avLst/>
        </a:prstGeom>
        <a:noFill/>
        <a:ln w="0">
          <a:noFill/>
        </a:ln>
      </xdr:spPr>
    </xdr:pic>
    <xdr:clientData/>
  </xdr:twoCellAnchor>
  <xdr:twoCellAnchor editAs="oneCell">
    <xdr:from>
      <xdr:col>1</xdr:col>
      <xdr:colOff>0</xdr:colOff>
      <xdr:row>14</xdr:row>
      <xdr:rowOff>190500</xdr:rowOff>
    </xdr:from>
    <xdr:to>
      <xdr:col>5</xdr:col>
      <xdr:colOff>208282</xdr:colOff>
      <xdr:row>16</xdr:row>
      <xdr:rowOff>0</xdr:rowOff>
    </xdr:to>
    <xdr:pic>
      <xdr:nvPicPr>
        <xdr:cNvPr id="8" name="Picture 7"/>
        <xdr:cNvPicPr>
          <a:picLocks/>
        </xdr:cNvPicPr>
      </xdr:nvPicPr>
      <xdr:blipFill>
        <a:blip xmlns:r="http://schemas.openxmlformats.org/officeDocument/2006/relationships" r:embed="rId1"/>
        <a:stretch>
          <a:fillRect/>
        </a:stretch>
      </xdr:blipFill>
      <xdr:spPr>
        <a:xfrm>
          <a:off x="2968624" y="3158490"/>
          <a:ext cx="3697028" cy="190500"/>
        </a:xfrm>
        <a:prstGeom prst="rect">
          <a:avLst/>
        </a:prstGeom>
        <a:noFill/>
        <a:ln w="0">
          <a:noFill/>
        </a:ln>
      </xdr:spPr>
    </xdr:pic>
    <xdr:clientData/>
  </xdr:twoCellAnchor>
  <xdr:twoCellAnchor editAs="oneCell">
    <xdr:from>
      <xdr:col>1</xdr:col>
      <xdr:colOff>0</xdr:colOff>
      <xdr:row>8</xdr:row>
      <xdr:rowOff>189865</xdr:rowOff>
    </xdr:from>
    <xdr:to>
      <xdr:col>5</xdr:col>
      <xdr:colOff>208282</xdr:colOff>
      <xdr:row>10</xdr:row>
      <xdr:rowOff>0</xdr:rowOff>
    </xdr:to>
    <xdr:pic>
      <xdr:nvPicPr>
        <xdr:cNvPr id="9" name="Picture 8"/>
        <xdr:cNvPicPr>
          <a:picLocks/>
        </xdr:cNvPicPr>
      </xdr:nvPicPr>
      <xdr:blipFill>
        <a:blip xmlns:r="http://schemas.openxmlformats.org/officeDocument/2006/relationships" r:embed="rId2"/>
        <a:stretch>
          <a:fillRect/>
        </a:stretch>
      </xdr:blipFill>
      <xdr:spPr>
        <a:xfrm>
          <a:off x="2968624" y="2015490"/>
          <a:ext cx="3697028" cy="190500"/>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pageSetUpPr fitToPage="1"/>
  </sheetPr>
  <dimension ref="A1:K640"/>
  <sheetViews>
    <sheetView tabSelected="1" workbookViewId="0"/>
  </sheetViews>
  <sheetFormatPr defaultColWidth="11.42578125" defaultRowHeight="14.95"/>
  <cols>
    <col min="1" max="1" width="40.7109375" style="47" customWidth="1"/>
    <col min="2" max="2" width="12.7109375" customWidth="1"/>
    <col min="3" max="10" width="11.7109375" customWidth="1"/>
    <col min="11" max="11" width="11.28515625" customWidth="1"/>
    <col min="12" max="12" width="9.85546875" customWidth="1"/>
    <col min="13" max="13" width="7.28515625" customWidth="1"/>
    <col min="14" max="14" width="11.28515625" customWidth="1"/>
    <col min="15" max="15" width="9.85546875" customWidth="1"/>
    <col min="16" max="16" width="7.28515625" customWidth="1"/>
    <col min="17" max="17" width="11.28515625" customWidth="1"/>
    <col min="18" max="18" width="7.28515625" customWidth="1"/>
    <col min="19" max="19" width="11.28515625" customWidth="1"/>
    <col min="20" max="20" width="9.85546875" customWidth="1"/>
    <col min="21" max="21" width="7.28515625" customWidth="1"/>
    <col min="22" max="22" width="11.28515625" customWidth="1"/>
    <col min="23" max="23" width="9.85546875" customWidth="1"/>
    <col min="24" max="24" width="7.28515625" customWidth="1"/>
    <col min="25" max="25" width="11.28515625" customWidth="1"/>
    <col min="26" max="26" width="17.140625" customWidth="1"/>
    <col min="27" max="27" width="6.7109375" customWidth="1"/>
    <col min="28" max="28" width="7.140625" customWidth="1"/>
    <col min="29" max="29" width="17.140625" customWidth="1"/>
    <col min="30" max="30" width="6.7109375" customWidth="1"/>
    <col min="31" max="31" width="7.140625" customWidth="1"/>
    <col min="32" max="32" width="17.140625" customWidth="1"/>
    <col min="33" max="33" width="6.7109375" customWidth="1"/>
    <col min="34" max="34" width="7.140625" customWidth="1"/>
  </cols>
  <sheetData>
    <row>
      <c s="11" t="s">
        <v>16</v>
      </c>
      <c s="11"/>
      <c s="11"/>
      <c s="11"/>
      <c s="11"/>
      <c s="32"/>
    </row>
    <row s="39" customFormat="1">
      <c s="6" t="s">
        <v>76</v>
      </c>
      <c s="6"/>
      <c s="6"/>
      <c s="6"/>
      <c s="6"/>
      <c s="63"/>
    </row>
    <row ht="15" customHeight="1" s="39" customFormat="1">
      <c s="58" t="s">
        <v>55</v>
      </c>
      <c s="12"/>
      <c s="12"/>
      <c s="12"/>
      <c s="12"/>
      <c s="63"/>
    </row>
    <row s="39" customFormat="1">
      <c s="2" t="s">
        <v>89</v>
      </c>
      <c s="2"/>
      <c s="2"/>
      <c s="2"/>
      <c s="2"/>
      <c s="2"/>
      <c s="2"/>
      <c s="2"/>
      <c s="2"/>
      <c s="2"/>
    </row>
    <row s="39" customFormat="1">
      <c s="2" t="s">
        <v>30</v>
      </c>
      <c s="2"/>
      <c s="2"/>
      <c s="2"/>
      <c s="2"/>
      <c s="2"/>
      <c s="2"/>
      <c s="2"/>
      <c s="2"/>
      <c s="2"/>
    </row>
    <row ht="39" customHeight="1" s="39" customFormat="1">
      <c s="2" t="s">
        <v>81</v>
      </c>
      <c s="2"/>
      <c s="2"/>
      <c s="2"/>
      <c s="2"/>
      <c s="2"/>
      <c s="2"/>
      <c s="2"/>
      <c s="2"/>
      <c s="69"/>
    </row>
    <row ht="15" customHeight="1">
      <c s="53" t="s">
        <v>82</v>
      </c>
      <c s="9"/>
      <c s="9"/>
      <c s="9"/>
      <c s="9"/>
      <c s="9"/>
    </row>
    <row>
      <c s="46" t="s">
        <v>66</v>
      </c>
      <c s="8"/>
      <c s="8"/>
      <c s="8"/>
      <c s="8"/>
      <c s="32"/>
    </row>
    <row>
      <c s="8"/>
      <c s="8"/>
      <c s="8"/>
      <c s="8"/>
      <c s="8"/>
      <c s="32"/>
    </row>
    <row ht="15" customHeight="1">
      <c s="22" t="s">
        <v>37</v>
      </c>
      <c s="51" t="s">
        <v>36</v>
      </c>
      <c r="F10" t="s">
        <v>23</v>
      </c>
    </row>
    <row ht="15" customHeight="1">
      <c s="22" t="s">
        <v>1</v>
      </c>
      <c s="51" t="s">
        <v>20</v>
      </c>
      <c r="F11" t="s">
        <v>23</v>
      </c>
    </row>
    <row ht="15" customHeight="1">
      <c s="22" t="s">
        <v>0</v>
      </c>
      <c s="51" t="s">
        <v>20</v>
      </c>
      <c r="F12" t="s">
        <v>23</v>
      </c>
    </row>
    <row ht="15" customHeight="1">
      <c s="22" t="s">
        <v>50</v>
      </c>
      <c s="51" t="s">
        <v>20</v>
      </c>
      <c r="F13" t="s">
        <v>23</v>
      </c>
    </row>
    <row ht="15" customHeight="1">
      <c s="22" t="s">
        <v>10</v>
      </c>
      <c s="51" t="s">
        <v>20</v>
      </c>
      <c r="F14" t="s">
        <v>23</v>
      </c>
    </row>
    <row ht="15" customHeight="1">
      <c s="22" t="s">
        <v>43</v>
      </c>
      <c s="51" t="s">
        <v>20</v>
      </c>
      <c r="F15" t="s">
        <v>23</v>
      </c>
    </row>
    <row ht="15" customHeight="1">
      <c s="22" t="s">
        <v>67</v>
      </c>
      <c s="51" t="s">
        <v>20</v>
      </c>
      <c r="F16" t="s">
        <v>23</v>
      </c>
    </row>
    <row ht="15" hidden="1" customHeight="1">
      <c s="22" t="s">
        <v>56</v>
      </c>
      <c s="51" t="s">
        <v>9</v>
      </c>
    </row>
    <row ht="15" hidden="1">
      <c s="22" t="s">
        <v>42</v>
      </c>
      <c s="51" t="s">
        <v>17</v>
      </c>
    </row>
    <row ht="15" hidden="1">
      <c s="22" t="s">
        <v>80</v>
      </c>
      <c s="51" t="s">
        <v>34</v>
      </c>
    </row>
    <row>
      <c/>
    </row>
    <row ht="15" customHeight="1">
      <c/>
    </row>
    <row>
      <c/>
      <c s="10" t="s">
        <v>18</v>
      </c>
      <c s="10"/>
      <c s="10"/>
      <c s="10"/>
      <c s="10"/>
    </row>
    <row>
      <c/>
      <c s="10" t="s">
        <v>11</v>
      </c>
      <c s="10"/>
      <c s="10"/>
      <c s="21" t="s">
        <v>57</v>
      </c>
      <c s="21"/>
    </row>
    <row>
      <c s="22" t="s">
        <v>62</v>
      </c>
      <c s="13" t="s">
        <v>2</v>
      </c>
      <c s="13" t="s">
        <v>32</v>
      </c>
      <c s="33" t="s">
        <v>20</v>
      </c>
      <c s="13" t="s">
        <v>2</v>
      </c>
      <c s="13" t="s">
        <v>32</v>
      </c>
    </row>
    <row>
      <c s="62" t="s">
        <v>31</v>
      </c>
      <c s="30">
        <v>26994.619249999989</v>
      </c>
      <c s="30">
        <v>20886.614600000001</v>
      </c>
      <c s="43">
        <v>47881.233850000004</v>
      </c>
      <c s="29">
        <v>0.56378286605076666</v>
      </c>
      <c s="29">
        <v>0.436217133949233</v>
      </c>
    </row>
    <row>
      <c s="62" t="s">
        <v>12</v>
      </c>
      <c s="30">
        <v>4497</v>
      </c>
      <c s="30">
        <v>2512</v>
      </c>
      <c s="43">
        <v>7009</v>
      </c>
      <c s="29">
        <v>0.64160365244685402</v>
      </c>
      <c s="29">
        <v>0.35839634755314598</v>
      </c>
    </row>
    <row>
      <c s="62" t="s">
        <v>68</v>
      </c>
      <c s="30">
        <v>13966.931249999998</v>
      </c>
      <c s="30">
        <v>11994.988020000003</v>
      </c>
      <c s="43">
        <v>25961.919269999995</v>
      </c>
      <c s="29">
        <v>0.53797760884879298</v>
      </c>
      <c s="29">
        <v>0.46202239115120725</v>
      </c>
    </row>
    <row>
      <c s="62" t="s">
        <v>44</v>
      </c>
      <c s="30">
        <v>1909.1000000000004</v>
      </c>
      <c s="30">
        <v>2036.0000000000007</v>
      </c>
      <c s="43">
        <v>3945.0999999999999</v>
      </c>
      <c s="29">
        <v>0.48391675749664148</v>
      </c>
      <c s="29">
        <v>0.5160832425033588</v>
      </c>
    </row>
    <row>
      <c s="60" t="s">
        <v>20</v>
      </c>
      <c s="15">
        <v>47367.650499999996</v>
      </c>
      <c s="15">
        <v>37429.602619999998</v>
      </c>
      <c s="15">
        <v>84797.253120000023</v>
      </c>
      <c s="31">
        <v>0.5585988785859386</v>
      </c>
      <c s="31">
        <v>0.44140112141406107</v>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row>
    <row>
      <c s="1"/>
      <c s="1"/>
      <c s="1"/>
      <c s="1"/>
      <c s="1"/>
      <c s="1"/>
      <c s="1"/>
      <c s="1"/>
      <c s="1"/>
      <c s="1"/>
      <c s="1"/>
    </row>
    <row>
      <c s="1"/>
      <c s="1"/>
      <c s="1"/>
      <c s="1"/>
      <c s="1"/>
      <c s="1"/>
      <c s="1"/>
      <c s="1"/>
      <c s="1"/>
      <c s="1"/>
      <c s="1"/>
    </row>
    <row>
      <c s="72"/>
      <c s="3"/>
      <c s="3"/>
      <c s="3"/>
      <c s="3"/>
      <c s="3"/>
      <c s="3"/>
      <c s="3"/>
      <c s="3"/>
      <c s="3"/>
      <c s="1"/>
    </row>
    <row>
      <c s="1"/>
      <c s="1"/>
      <c s="1"/>
      <c s="1"/>
      <c s="1"/>
      <c s="1"/>
      <c s="1"/>
      <c s="1"/>
      <c s="1"/>
      <c s="1"/>
      <c s="1"/>
    </row>
    <row>
      <c s="1"/>
      <c s="1"/>
      <c s="1"/>
      <c s="1"/>
      <c s="1"/>
      <c s="1"/>
      <c s="1"/>
      <c s="1"/>
      <c s="1"/>
      <c s="1"/>
      <c s="1"/>
    </row>
    <row>
      <c s="1"/>
      <c s="1"/>
      <c s="1"/>
      <c s="1"/>
      <c s="1"/>
      <c s="1"/>
      <c s="1"/>
      <c s="1"/>
      <c s="1"/>
      <c s="1"/>
      <c s="1"/>
    </row>
    <row>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6">
    <mergeCell ref="A4:J4"/>
    <mergeCell ref="A5:J5"/>
    <mergeCell ref="A6:I6"/>
    <mergeCell ref="B22:F22"/>
    <mergeCell ref="B23:D23"/>
    <mergeCell ref="E23:F23"/>
  </mergeCells>
  <pageMargins left="0.70866141732283472" right="0.70866141732283472" top="0.78740157480314965" bottom="0.78740157480314965" header="0.31496062992125984" footer="0.31496062992125984"/>
  <pageSetup paperSize="9" scale="89" orientation="landscape"/>
  <headerFooter>
    <oddHeader>&amp;L&amp;"Tahoma,Standard"&amp;10unidata.gv.at&amp;R&amp;"Tahoma,Standard"&amp;10&amp;D</oddHeader>
    <oddFooter>&amp;R&amp;"Tahoma,Standard"&amp;10&amp;P/&amp;N</oddFooter>
  </headerFooter>
  <drawing r:id="rId1"/>
</worksheet>
</file>

<file path=xl/worksheets/sheet2.xml><?xml version="1.0" encoding="utf-8"?>
<worksheet xmlns:r="http://schemas.openxmlformats.org/officeDocument/2006/relationships" xmlns="http://schemas.openxmlformats.org/spreadsheetml/2006/main">
  <dimension ref="A1:Z33"/>
  <sheetViews>
    <sheetView workbookViewId="0">
      <selection activeCell="E32" sqref="E32"/>
    </sheetView>
  </sheetViews>
  <sheetFormatPr defaultColWidth="9.140625" defaultRowHeight="13.6"/>
  <cols>
    <col min="1" max="1" width="13.5703125" style="24" customWidth="1"/>
    <col min="2" max="2" width="40.85546875" style="24" customWidth="1"/>
    <col min="3" max="3" width="28.140625" style="24" customWidth="1"/>
    <col min="4" max="4" width="16.28515625" style="24" customWidth="1"/>
    <col min="5" max="5" width="19.42578125" style="24" customWidth="1"/>
    <col min="6" max="6" width="11.140625" style="24" customWidth="1"/>
    <col min="7" max="7" width="9.140625" style="24" customWidth="1"/>
    <col min="8" max="8" width="17.28515625" style="24" customWidth="1"/>
    <col min="9" max="9" width="19.5703125" style="24" customWidth="1"/>
    <col min="10" max="12" width="12.42578125" style="24" customWidth="1"/>
    <col min="13" max="13" width="16" style="24" customWidth="1"/>
    <col min="14" max="14" width="14.28515625" style="24" customWidth="1"/>
    <col min="15" max="15" width="18.28515625" style="24" customWidth="1"/>
    <col min="16" max="25" width="9.140625" style="24" customWidth="1"/>
    <col min="26" max="26" width="9.140625" style="24" hidden="1" customWidth="1"/>
    <col min="27" max="27" width="9.140625" style="24" customWidth="1"/>
    <col min="28" max="16384" width="9.140625" style="24"/>
  </cols>
  <sheetData>
    <row>
      <c s="59"/>
      <c r="H1" s="48">
        <v>129806172700000000</v>
      </c>
      <c r="Z1" s="61" t="b">
        <f>0=1</f>
        <v>0</v>
      </c>
    </row>
    <row>
      <c r="Z2" s="61" t="b">
        <f>1=1</f>
        <v>1</v>
      </c>
    </row>
    <row>
      <c r="Z3" s="61"/>
    </row>
    <row>
      <c r="I4" s="24" t="s">
        <v>33</v>
      </c>
      <c s="66" t="s">
        <v>63</v>
      </c>
      <c s="7"/>
      <c s="7"/>
      <c s="7"/>
      <c s="7"/>
      <c s="7"/>
    </row>
    <row>
      <c r="J5" s="26" t="s">
        <v>24</v>
      </c>
      <c s="17" t="s">
        <v>45</v>
      </c>
      <c s="17" t="s">
        <v>58</v>
      </c>
      <c s="26" t="s">
        <v>84</v>
      </c>
      <c s="50" t="s">
        <v>69</v>
      </c>
      <c s="17" t="s">
        <v>3</v>
      </c>
    </row>
    <row>
      <c r="B6" s="23" t="s">
        <v>70</v>
      </c>
      <c s="14" t="s">
        <v>77</v>
      </c>
      <c s="56" t="s">
        <v>13</v>
      </c>
      <c s="5" t="s">
        <v>46</v>
      </c>
    </row>
    <row>
      <c r="C7" s="18"/>
      <c s="25" t="s">
        <v>14</v>
      </c>
      <c s="5" t="s">
        <v>51</v>
      </c>
    </row>
    <row>
      <c r="C8" s="25" t="s">
        <v>4</v>
      </c>
      <c s="18"/>
    </row>
    <row>
      <c r="C9" s="18"/>
      <c s="14" t="s">
        <v>25</v>
      </c>
      <c s="42"/>
    </row>
    <row>
      <c r="C10" s="14" t="s">
        <v>38</v>
      </c>
      <c s="71" t="s">
        <v>59</v>
      </c>
      <c s="5" t="s">
        <v>19</v>
      </c>
    </row>
    <row>
      <c r="B11" s="23" t="s">
        <v>47</v>
      </c>
      <c s="73" t="s">
        <v>39</v>
      </c>
      <c s="44">
        <v>60398</v>
      </c>
      <c s="5" t="s">
        <v>26</v>
      </c>
    </row>
    <row>
      <c r="B12" s="23"/>
      <c s="68"/>
      <c s="36"/>
      <c s="55" t="s">
        <v>64</v>
      </c>
    </row>
    <row>
      <c r="B13" s="23" t="s">
        <v>40</v>
      </c>
      <c s="37" t="s">
        <v>21</v>
      </c>
      <c s="67">
        <v>1212</v>
      </c>
      <c s="24" t="b">
        <v>0</v>
      </c>
      <c s="5" t="s">
        <v>60</v>
      </c>
    </row>
    <row ht="12.75" hidden="1">
      <c r="B14" s="23"/>
      <c s="37"/>
      <c s="49"/>
      <c s="24" t="b">
        <v>0</v>
      </c>
    </row>
    <row>
      <c r="B15" s="23" t="s">
        <v>78</v>
      </c>
      <c s="24" t="s">
        <v>83</v>
      </c>
      <c s="54">
        <v>1212</v>
      </c>
      <c s="24" t="b">
        <v>0</v>
      </c>
      <c s="5" t="s">
        <v>22</v>
      </c>
    </row>
    <row ht="12.75" hidden="1">
      <c r="B16" s="23"/>
      <c r="D16" s="16"/>
      <c s="24" t="b">
        <v>0</v>
      </c>
      <c s="5"/>
    </row>
    <row>
      <c r="B17" s="23"/>
      <c s="24" t="s">
        <v>27</v>
      </c>
      <c s="45">
        <v>3434</v>
      </c>
      <c s="24" t="b">
        <v>0</v>
      </c>
      <c s="5" t="s">
        <v>61</v>
      </c>
    </row>
    <row>
      <c r="B18" s="23"/>
      <c r="D18" s="16"/>
      <c s="24" t="b">
        <v>0</v>
      </c>
      <c s="5"/>
    </row>
    <row>
      <c r="B19" s="23"/>
      <c s="24" t="s">
        <v>5</v>
      </c>
      <c s="65">
        <v>3434</v>
      </c>
      <c s="24" t="b">
        <v>0</v>
      </c>
      <c s="5" t="s">
        <v>71</v>
      </c>
    </row>
    <row>
      <c r="B20" s="23"/>
      <c r="D20" s="16"/>
      <c s="24" t="b">
        <v>0</v>
      </c>
      <c s="5"/>
    </row>
    <row>
      <c r="B21" s="23"/>
      <c s="24" t="s">
        <v>72</v>
      </c>
      <c s="64">
        <v>5656</v>
      </c>
      <c s="24" t="b">
        <v>0</v>
      </c>
      <c s="5" t="s">
        <v>85</v>
      </c>
    </row>
    <row>
      <c r="B22" s="23"/>
      <c r="E22" s="5"/>
      <c r="I22" s="40"/>
    </row>
    <row>
      <c r="B23" s="20" t="s">
        <v>6</v>
      </c>
      <c s="20"/>
    </row>
    <row>
      <c r="B24" s="4" t="s">
        <v>48</v>
      </c>
      <c s="4" t="s">
        <v>28</v>
      </c>
      <c s="4" t="s">
        <v>15</v>
      </c>
      <c s="4" t="s">
        <v>73</v>
      </c>
      <c s="4"/>
      <c s="4"/>
      <c s="4" t="s">
        <v>86</v>
      </c>
    </row>
    <row>
      <c s="24" t="s">
        <v>52</v>
      </c>
      <c r="C25" s="35" t="s">
        <v>74</v>
      </c>
      <c s="27" t="s">
        <v>20</v>
      </c>
      <c s="28">
        <v>1234.5599999999999</v>
      </c>
      <c s="5" t="s">
        <v>65</v>
      </c>
      <c r="H25" s="24" t="s">
        <v>75</v>
      </c>
    </row>
    <row>
      <c s="24" t="s">
        <v>79</v>
      </c>
      <c r="C26" s="35" t="s">
        <v>74</v>
      </c>
      <c s="19" t="s">
        <v>20</v>
      </c>
      <c s="34">
        <v>1234.5599999999999</v>
      </c>
      <c s="5" t="s">
        <v>53</v>
      </c>
      <c r="H26" s="24" t="s">
        <v>87</v>
      </c>
    </row>
    <row>
      <c r="C27" s="35" t="s">
        <v>74</v>
      </c>
      <c s="27" t="s">
        <v>20</v>
      </c>
      <c s="28">
        <v>1234.5599999999999</v>
      </c>
      <c r="H27" s="24" t="s">
        <v>54</v>
      </c>
    </row>
    <row>
      <c r="C28" s="52" t="s">
        <v>49</v>
      </c>
      <c s="57" t="s">
        <v>7</v>
      </c>
      <c s="19">
        <v>1234.5599999999999</v>
      </c>
      <c r="H28" s="24" t="s">
        <v>29</v>
      </c>
    </row>
    <row>
      <c r="C29" s="52" t="s">
        <v>49</v>
      </c>
      <c s="57" t="s">
        <v>41</v>
      </c>
      <c s="19">
        <v>1234.5599999999999</v>
      </c>
      <c r="H29" s="24" t="s">
        <v>88</v>
      </c>
    </row>
    <row>
      <c r="C30" s="52" t="s">
        <v>49</v>
      </c>
      <c s="57" t="s">
        <v>18</v>
      </c>
      <c s="19">
        <v>1234.5599999999999</v>
      </c>
    </row>
    <row>
      <c r="C31" s="52" t="s">
        <v>8</v>
      </c>
      <c s="57" t="s">
        <v>11</v>
      </c>
      <c s="19">
        <v>1234.5599999999999</v>
      </c>
    </row>
    <row>
      <c r="C32" s="52" t="s">
        <v>8</v>
      </c>
      <c s="74" t="s">
        <v>57</v>
      </c>
      <c s="41">
        <v>1234.5599999999999</v>
      </c>
    </row>
    <row>
      <c r="C33" s="52" t="s">
        <v>35</v>
      </c>
      <c s="70" t="s">
        <v>20</v>
      </c>
      <c s="38">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
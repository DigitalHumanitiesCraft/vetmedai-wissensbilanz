
<file path=[Content_Types].xml><?xml version="1.0" encoding="utf-8"?>
<Types xmlns="http://schemas.openxmlformats.org/package/2006/content-types">
  <Default Extension="rels" ContentType="application/vnd.openxmlformats-package.relationships+xml"/>
  <Override PartName="/xl/media/image1.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3.25.102"/>
  <workbookPr defaultThemeVersion="124226"/>
  <bookViews>
    <workbookView xWindow="0" yWindow="0" windowWidth="18570" windowHeight="7860"/>
  </bookViews>
  <sheets>
    <sheet name="Tab" sheetId="1" r:id="rId1"/>
    <sheet name="Tabelle2" sheetId="2" state="hidden" r:id="rId2"/>
    <sheet name="XLCubedFormats" sheetId="3" state="hidden" r:id="rId3"/>
  </sheets>
  <definedNames>
    <definedName name="_xlnm.Print_Area" localSheetId="0">Tab!$A$1:$O$42</definedName>
    <definedName name="XL3DisableCameraObjects" hidden="1">XLCubedFormats!A1</definedName>
    <definedName name="XL3ObjLocation4ce36e46_dfbc_4f06_9b19_f57cfc0f7650">Tab!$A$12</definedName>
  </definedNames>
  <calcPr calcId="40001"/>
</workbook>
</file>

<file path=xl/sharedStrings.xml><?xml version="1.0" encoding="utf-8"?>
<sst xmlns="http://schemas.openxmlformats.org/spreadsheetml/2006/main" uniqueCount="580">
  <si>
    <t>Slicer Button Background</t>
  </si>
  <si>
    <t>Grid Title</t>
  </si>
  <si>
    <t>Oth Written Member</t>
  </si>
  <si>
    <t>Fill in Grid Name, Dimension or Both</t>
  </si>
  <si>
    <t xml:space="preserve">      UR</t>
  </si>
  <si>
    <t>Semester und Datenstichtag</t>
  </si>
  <si>
    <t xml:space="preserve">      UV</t>
  </si>
  <si>
    <t>UB Studienjahr 2014/15</t>
  </si>
  <si>
    <t>UD Studienjahr 2013/14</t>
  </si>
  <si>
    <t>UF Studienjahr 2017/18</t>
  </si>
  <si>
    <t>UH Studienjahr 2016/17</t>
  </si>
  <si>
    <t>UJ Studienjahr 2015/16</t>
  </si>
  <si>
    <t>UL Studienjahr 2014/15</t>
  </si>
  <si>
    <t>UN Studienjahr 2013/14</t>
  </si>
  <si>
    <t>UR Studienjahr 2016/17</t>
  </si>
  <si>
    <t>UT Studienjahr 2015/16</t>
  </si>
  <si>
    <t>UU Studienjahr 2019/20</t>
  </si>
  <si>
    <t>UV Studienjahr 2014/15</t>
  </si>
  <si>
    <t>UC</t>
  </si>
  <si>
    <t>UG</t>
  </si>
  <si>
    <t>UW Studienjahr 2020/21</t>
  </si>
  <si>
    <t>UK Studienjahr 2021/22</t>
  </si>
  <si>
    <t>UU Studienjahr 2021/22</t>
  </si>
  <si>
    <t>UI Studienjahr 2022/23</t>
  </si>
  <si>
    <t>US Studienjahr 2022/23</t>
  </si>
  <si>
    <t>UE Studienjahr 2024/25</t>
  </si>
  <si>
    <t>UO Studienjahr 2024/25</t>
  </si>
  <si>
    <t>UG Studienjahr 2023/24</t>
  </si>
  <si>
    <t>UQ Studienjahr 2023/24</t>
  </si>
  <si>
    <t>Studienjahr 2022/23</t>
  </si>
  <si>
    <t>UA Studienjahr 2008/09</t>
  </si>
  <si>
    <t>UW Studienjahr 2007/08</t>
  </si>
  <si>
    <t>UC Studienjahr 2007/08</t>
  </si>
  <si>
    <t>UM Studienjahr 2007/08</t>
  </si>
  <si>
    <t>UC Studienjahr 2025/26</t>
  </si>
  <si>
    <t>UM Studienjahr 2025/26</t>
  </si>
  <si>
    <t>Universität</t>
  </si>
  <si>
    <t>All Marital Status</t>
  </si>
  <si>
    <t>Male</t>
  </si>
  <si>
    <t>Member1 Name</t>
  </si>
  <si>
    <t xml:space="preserve">      Techn.Universität Wien</t>
  </si>
  <si>
    <t xml:space="preserve">      Medizinische Universität Graz</t>
  </si>
  <si>
    <t>LIEFIDF_III_1_8</t>
  </si>
  <si>
    <t>Studienjahr 2016/17</t>
  </si>
  <si>
    <t>UA Studienjahr 2019/20</t>
  </si>
  <si>
    <t>UE Studienjahr 2018/19</t>
  </si>
  <si>
    <t>UF Studienjahr 2012/13</t>
  </si>
  <si>
    <t>UG Studienjahr 2017/18</t>
  </si>
  <si>
    <t>UH Studienjahr 2011/12</t>
  </si>
  <si>
    <t>UI Studienjahr 2016/17</t>
  </si>
  <si>
    <t>UK Studienjahr 2019/20</t>
  </si>
  <si>
    <t>UO Studienjahr 2018/19</t>
  </si>
  <si>
    <t>UQ Studienjahr 2017/18</t>
  </si>
  <si>
    <t>UR Studienjahr 2011/12</t>
  </si>
  <si>
    <t>US Studienjahr 2016/17</t>
  </si>
  <si>
    <t>UU Studienjahr 2015/16</t>
  </si>
  <si>
    <t>UW Studienjahr 2014/15</t>
  </si>
  <si>
    <t>UO</t>
  </si>
  <si>
    <t>UK</t>
  </si>
  <si>
    <t>US</t>
  </si>
  <si>
    <t>UC Studienjahr 2020/21</t>
  </si>
  <si>
    <t>UM Studienjahr 2020/21</t>
  </si>
  <si>
    <t>UA Studienjahr 2021/22</t>
  </si>
  <si>
    <t>2021/22</t>
  </si>
  <si>
    <t>UR Studienjahr 2023/24</t>
  </si>
  <si>
    <t>UJ Studienjahr 2010/11</t>
  </si>
  <si>
    <t>UT Studienjahr 2010/11</t>
  </si>
  <si>
    <t>UH Studienjahr 2009/10</t>
  </si>
  <si>
    <t>UR Studienjahr 2009/10</t>
  </si>
  <si>
    <t>UV Studienjahr 2008/09</t>
  </si>
  <si>
    <t>UB Studienjahr 2008/09</t>
  </si>
  <si>
    <t>UL Studienjahr 2008/09</t>
  </si>
  <si>
    <t>UN Studienjahr 2007/08</t>
  </si>
  <si>
    <t>UD Studienjahr 2025/26</t>
  </si>
  <si>
    <t>UN Studienjahr 2025/26</t>
  </si>
  <si>
    <t>&lt;-- default Column Member Format</t>
  </si>
  <si>
    <t>Studienjahr 2009/10</t>
  </si>
  <si>
    <t xml:space="preserve">      Montanuniversität Leoben</t>
  </si>
  <si>
    <t xml:space="preserve">      Univ.f.angew.Kunst Wien</t>
  </si>
  <si>
    <t xml:space="preserve">      Technische Universität Graz</t>
  </si>
  <si>
    <t>Studienjahr 2011/12</t>
  </si>
  <si>
    <t xml:space="preserve">      Universität Salzburg</t>
  </si>
  <si>
    <t>Mobilitätsprogramm</t>
  </si>
  <si>
    <t xml:space="preserve">      UG</t>
  </si>
  <si>
    <t xml:space="preserve">      UC</t>
  </si>
  <si>
    <t>UA Studienjahr 2015/16</t>
  </si>
  <si>
    <t>UB Studienjahr 2019/20</t>
  </si>
  <si>
    <t>UC Studienjahr 2014/15</t>
  </si>
  <si>
    <t>UE Studienjahr 2013/14</t>
  </si>
  <si>
    <t>UG Studienjahr 2012/13</t>
  </si>
  <si>
    <t>UI Studienjahr 2011/12</t>
  </si>
  <si>
    <t>UK Studienjahr 2015/16</t>
  </si>
  <si>
    <t>UL Studienjahr 2019/20</t>
  </si>
  <si>
    <t>UM Studienjahr 2014/15</t>
  </si>
  <si>
    <t>UO Studienjahr 2013/14</t>
  </si>
  <si>
    <t>UQ Studienjahr 2012/13</t>
  </si>
  <si>
    <t>US Studienjahr 2011/12</t>
  </si>
  <si>
    <t>UU Studienjahr 2010/11</t>
  </si>
  <si>
    <t>UV Studienjahr 2019/20</t>
  </si>
  <si>
    <t>UW</t>
  </si>
  <si>
    <t>UD Studienjahr 2020/21</t>
  </si>
  <si>
    <t>UN Studienjahr 2020/21</t>
  </si>
  <si>
    <t>UB Studienjahr 2021/22</t>
  </si>
  <si>
    <t>UL Studienjahr 2021/22</t>
  </si>
  <si>
    <t>UV Studienjahr 2021/22</t>
  </si>
  <si>
    <t>UJ Studienjahr 2022/23</t>
  </si>
  <si>
    <t>UT Studienjahr 2022/23</t>
  </si>
  <si>
    <t>UF Studienjahr 2024/25</t>
  </si>
  <si>
    <t>UH Studienjahr 2023/24</t>
  </si>
  <si>
    <t>UI Studienjahr 2009/10</t>
  </si>
  <si>
    <t>US Studienjahr 2009/10</t>
  </si>
  <si>
    <t>Alternate Rows</t>
  </si>
  <si>
    <t>&lt;--  writeable cell format</t>
  </si>
  <si>
    <t>Gesamt</t>
  </si>
  <si>
    <t xml:space="preserve">      Universität Wien</t>
  </si>
  <si>
    <t xml:space="preserve">      UK</t>
  </si>
  <si>
    <t xml:space="preserve">      UO</t>
  </si>
  <si>
    <t xml:space="preserve">      Universität für Musik und darstellende Kunst Graz</t>
  </si>
  <si>
    <t xml:space="preserve">      Universität für angewandte Kunst Wien</t>
  </si>
  <si>
    <t>UB Studienjahr 2015/16</t>
  </si>
  <si>
    <t>UD Studienjahr 2014/15</t>
  </si>
  <si>
    <t>UF Studienjahr 2018/19</t>
  </si>
  <si>
    <t>UH Studienjahr 2017/18</t>
  </si>
  <si>
    <t>UJ Studienjahr 2016/17</t>
  </si>
  <si>
    <t>UL Studienjahr 2015/16</t>
  </si>
  <si>
    <t>UN Studienjahr 2014/15</t>
  </si>
  <si>
    <t>UR Studienjahr 2017/18</t>
  </si>
  <si>
    <t>UT Studienjahr 2016/17</t>
  </si>
  <si>
    <t>UV Studienjahr 2015/16</t>
  </si>
  <si>
    <t>UW Studienjahr 2019/20</t>
  </si>
  <si>
    <t>UW Studienjahr 2021/22</t>
  </si>
  <si>
    <t>UK Studienjahr 2022/23</t>
  </si>
  <si>
    <t>UU Studienjahr 2022/23</t>
  </si>
  <si>
    <t>UG Studienjahr 2024/25</t>
  </si>
  <si>
    <t>UQ Studienjahr 2024/25</t>
  </si>
  <si>
    <t>UI Studienjahr 2023/24</t>
  </si>
  <si>
    <t>US Studienjahr 2023/24</t>
  </si>
  <si>
    <t>UA Studienjahr 2010/11</t>
  </si>
  <si>
    <t>UW Studienjahr 2008/09</t>
  </si>
  <si>
    <t>UC Studienjahr 2008/09</t>
  </si>
  <si>
    <t>UM Studienjahr 2008/09</t>
  </si>
  <si>
    <t>UE Studienjahr 2007/08</t>
  </si>
  <si>
    <t>UO Studienjahr 2007/08</t>
  </si>
  <si>
    <t>Studienjahr 2023/24</t>
  </si>
  <si>
    <t>UE Studienjahr 2025/26</t>
  </si>
  <si>
    <t>UO Studienjahr 2025/26</t>
  </si>
  <si>
    <t>Slicer Title</t>
  </si>
  <si>
    <t>Calendar Period</t>
  </si>
  <si>
    <t>&lt;-- default cell format</t>
  </si>
  <si>
    <t>Written Member</t>
  </si>
  <si>
    <t>Dimension/Column</t>
  </si>
  <si>
    <t>Kennzahl 2.A.8 - Gesamtübersicht</t>
  </si>
  <si>
    <t xml:space="preserve">      UW</t>
  </si>
  <si>
    <t xml:space="preserve">      US</t>
  </si>
  <si>
    <t>Studienjahr 2017/18</t>
  </si>
  <si>
    <t xml:space="preserve">      Akad.d.bild.Künste Wien</t>
  </si>
  <si>
    <t xml:space="preserve">      Medizinische Univ.Graz</t>
  </si>
  <si>
    <t>UC Studienjahr 2019/20</t>
  </si>
  <si>
    <t>UF Studienjahr 2013/14</t>
  </si>
  <si>
    <t>UG Studienjahr 2018/19</t>
  </si>
  <si>
    <t>UH Studienjahr 2012/13</t>
  </si>
  <si>
    <t>UI Studienjahr 2017/18</t>
  </si>
  <si>
    <t>UJ Studienjahr 2011/12</t>
  </si>
  <si>
    <t>UK Studienjahr 2016/17</t>
  </si>
  <si>
    <t>UM Studienjahr 2019/20</t>
  </si>
  <si>
    <t>UQ Studienjahr 2018/19</t>
  </si>
  <si>
    <t>UR Studienjahr 2012/13</t>
  </si>
  <si>
    <t>US Studienjahr 2017/18</t>
  </si>
  <si>
    <t>UT Studienjahr 2011/12</t>
  </si>
  <si>
    <t>UU Studienjahr 2016/17</t>
  </si>
  <si>
    <t>UV Studienjahr 2010/11</t>
  </si>
  <si>
    <t>UW Studienjahr 2015/16</t>
  </si>
  <si>
    <t>UH</t>
  </si>
  <si>
    <t>UE Studienjahr 2020/21</t>
  </si>
  <si>
    <t>UO Studienjahr 2020/21</t>
  </si>
  <si>
    <t>UC Studienjahr 2021/22</t>
  </si>
  <si>
    <t>UM Studienjahr 2021/22</t>
  </si>
  <si>
    <t>UA Studienjahr 2022/23</t>
  </si>
  <si>
    <t>2022/23</t>
  </si>
  <si>
    <t>UR Studienjahr 2024/25</t>
  </si>
  <si>
    <t>UB Studienjahr 2010/11</t>
  </si>
  <si>
    <t>UL Studienjahr 2010/11</t>
  </si>
  <si>
    <t>UJ Studienjahr 2009/10</t>
  </si>
  <si>
    <t>UT Studienjahr 2009/10</t>
  </si>
  <si>
    <t>UN Studienjahr 2008/09</t>
  </si>
  <si>
    <t>Slice Name (Optional)</t>
  </si>
  <si>
    <t>Anmerkung: Aufgrund von Sonderbestimmungen entfällt diese Kennzahl für die Universität für Weiterbildung Krems.</t>
  </si>
  <si>
    <t xml:space="preserve">      Veterinärmed.Univ.Wien</t>
  </si>
  <si>
    <t xml:space="preserve">      Universität Mozarteum Salzburg</t>
  </si>
  <si>
    <t>STICHTAG</t>
  </si>
  <si>
    <t>Studienjahr 2012/13</t>
  </si>
  <si>
    <t>UA Studienjahr 2016/17</t>
  </si>
  <si>
    <t>UC Studienjahr 2015/16</t>
  </si>
  <si>
    <t>UD Studienjahr 2019/20</t>
  </si>
  <si>
    <t>UE Studienjahr 2014/15</t>
  </si>
  <si>
    <t>UG Studienjahr 2013/14</t>
  </si>
  <si>
    <t>UI Studienjahr 2012/13</t>
  </si>
  <si>
    <t>UM Studienjahr 2015/16</t>
  </si>
  <si>
    <t>UN Studienjahr 2019/20</t>
  </si>
  <si>
    <t>UO Studienjahr 2014/15</t>
  </si>
  <si>
    <t>UQ Studienjahr 2013/14</t>
  </si>
  <si>
    <t>US Studienjahr 2012/13</t>
  </si>
  <si>
    <t>UU Studienjahr 2011/12</t>
  </si>
  <si>
    <t>UL</t>
  </si>
  <si>
    <t>UD Studienjahr 2021/22</t>
  </si>
  <si>
    <t>UN Studienjahr 2021/22</t>
  </si>
  <si>
    <t>UB Studienjahr 2022/23</t>
  </si>
  <si>
    <t>UL Studienjahr 2022/23</t>
  </si>
  <si>
    <t>UV Studienjahr 2022/23</t>
  </si>
  <si>
    <t>UH Studienjahr 2024/25</t>
  </si>
  <si>
    <t>UJ Studienjahr 2023/24</t>
  </si>
  <si>
    <t>UT Studienjahr 2023/24</t>
  </si>
  <si>
    <t>UU Studienjahr 2009/10</t>
  </si>
  <si>
    <t>UD Studienjahr 2008/09</t>
  </si>
  <si>
    <t>UF Studienjahr 2007/08</t>
  </si>
  <si>
    <t>UF Studienjahr 2025/26</t>
  </si>
  <si>
    <t>Wintersemester 2023 (Stichtag: 28.02.2024), Sommersemester 2024 (Stichtag: 30.09.2024), Wintersemester 2022 (Stichtag: 28.02.2023), Sommersemester 2023 (Stichtag: 30.09.2023), Sommersemester 2022 (Stichtag: 30.09.2022), Wintersemester 2021 (Stichtag: 28.02.2022)</t>
  </si>
  <si>
    <t xml:space="preserve">      Akademie der bildenden Künste Wien</t>
  </si>
  <si>
    <t xml:space="preserve">      Univ.f.Mus.u.darst.K.Graz</t>
  </si>
  <si>
    <t xml:space="preserve">      Universität Innsbruck</t>
  </si>
  <si>
    <t xml:space="preserve">      UD</t>
  </si>
  <si>
    <t>UA Studienjahr 2011/12</t>
  </si>
  <si>
    <t>UB Studienjahr 2016/17</t>
  </si>
  <si>
    <t>UD Studienjahr 2015/16</t>
  </si>
  <si>
    <t>UH Studienjahr 2018/19</t>
  </si>
  <si>
    <t>UJ Studienjahr 2017/18</t>
  </si>
  <si>
    <t>UK Studienjahr 2011/12</t>
  </si>
  <si>
    <t>UL Studienjahr 2016/17</t>
  </si>
  <si>
    <t>UN Studienjahr 2015/16</t>
  </si>
  <si>
    <t>UR Studienjahr 2018/19</t>
  </si>
  <si>
    <t>UT Studienjahr 2017/18</t>
  </si>
  <si>
    <t>UV Studienjahr 2016/17</t>
  </si>
  <si>
    <t>UW Studienjahr 2010/11</t>
  </si>
  <si>
    <t>UT</t>
  </si>
  <si>
    <t>UF Studienjahr 2020/21</t>
  </si>
  <si>
    <t>UW Studienjahr 2022/23</t>
  </si>
  <si>
    <t>UI Studienjahr 2024/25</t>
  </si>
  <si>
    <t>US Studienjahr 2024/25</t>
  </si>
  <si>
    <t>UU Studienjahr 2023/24</t>
  </si>
  <si>
    <t>UK Studienjahr 2023/24</t>
  </si>
  <si>
    <t>UM Studienjahr 2010/11</t>
  </si>
  <si>
    <t>UA Studienjahr 2009/10</t>
  </si>
  <si>
    <t>UE Studienjahr 2008/09</t>
  </si>
  <si>
    <t>UO Studienjahr 2008/09</t>
  </si>
  <si>
    <t>UG Studienjahr 2007/08</t>
  </si>
  <si>
    <t>UQ Studienjahr 2007/08</t>
  </si>
  <si>
    <t>Studienjahr 2024/25</t>
  </si>
  <si>
    <t>UG Studienjahr 2025/26</t>
  </si>
  <si>
    <t>UQ Studienjahr 2025/26</t>
  </si>
  <si>
    <t>Measures</t>
  </si>
  <si>
    <t>Customer</t>
  </si>
  <si>
    <t>-All Customer</t>
  </si>
  <si>
    <t>Default Alternate Row Member Format --&gt;</t>
  </si>
  <si>
    <t>EU</t>
  </si>
  <si>
    <t>ord. Studierende outgoing (PU)</t>
  </si>
  <si>
    <t xml:space="preserve">      UL</t>
  </si>
  <si>
    <t xml:space="preserve">      UH</t>
  </si>
  <si>
    <t xml:space="preserve">      Veterinärmedizinische Universität Wien</t>
  </si>
  <si>
    <t>KZIDF_III_1_8</t>
  </si>
  <si>
    <t>ALLG Semester.Studienjahr (Langbezeichnung)</t>
  </si>
  <si>
    <t xml:space="preserve">      Technische Universität Wien</t>
  </si>
  <si>
    <t xml:space="preserve">      Medizinische Universität Wien</t>
  </si>
  <si>
    <t>Studienjahr 2018/19</t>
  </si>
  <si>
    <t>UB Studienjahr 2011/12</t>
  </si>
  <si>
    <t>UE Studienjahr 2019/20</t>
  </si>
  <si>
    <t>UF Studienjahr 2014/15</t>
  </si>
  <si>
    <t>UH Studienjahr 2013/14</t>
  </si>
  <si>
    <t>UI Studienjahr 2018/19</t>
  </si>
  <si>
    <t>UJ Studienjahr 2012/13</t>
  </si>
  <si>
    <t>UK Studienjahr 2017/18</t>
  </si>
  <si>
    <t>UL Studienjahr 2011/12</t>
  </si>
  <si>
    <t>UO Studienjahr 2019/20</t>
  </si>
  <si>
    <t>UR Studienjahr 2013/14</t>
  </si>
  <si>
    <t>US Studienjahr 2018/19</t>
  </si>
  <si>
    <t>UT Studienjahr 2012/13</t>
  </si>
  <si>
    <t>UU Studienjahr 2017/18</t>
  </si>
  <si>
    <t>UV Studienjahr 2011/12</t>
  </si>
  <si>
    <t>UW Studienjahr 2016/17</t>
  </si>
  <si>
    <t>UA</t>
  </si>
  <si>
    <t>UG Studienjahr 2020/21</t>
  </si>
  <si>
    <t>UQ Studienjahr 2020/21</t>
  </si>
  <si>
    <t>UE Studienjahr 2021/22</t>
  </si>
  <si>
    <t>UO Studienjahr 2021/22</t>
  </si>
  <si>
    <t>UC Studienjahr 2022/23</t>
  </si>
  <si>
    <t>UM Studienjahr 2022/23</t>
  </si>
  <si>
    <t>UA Studienjahr 2023/24</t>
  </si>
  <si>
    <t>UN Studienjahr 2010/11</t>
  </si>
  <si>
    <t>UV Studienjahr 2009/10</t>
  </si>
  <si>
    <t>UB Studienjahr 2009/10</t>
  </si>
  <si>
    <t>UL Studienjahr 2009/10</t>
  </si>
  <si>
    <t>2023/24</t>
  </si>
  <si>
    <t>UR Studienjahr 2025/26</t>
  </si>
  <si>
    <t>Slicer Item</t>
  </si>
  <si>
    <t>&lt;-- default Slicer Member Format</t>
  </si>
  <si>
    <t>Default Row Member Format --&gt;</t>
  </si>
  <si>
    <t>Grid/Table Name</t>
  </si>
  <si>
    <t xml:space="preserve">      Univ.künst.u.i.Gest.Linz</t>
  </si>
  <si>
    <t>[Measures]</t>
  </si>
  <si>
    <t>[ALLG Semester].[Studienjahr #Langbezeichnung#]</t>
  </si>
  <si>
    <t xml:space="preserve">      Universität für Musik und darstellende Kunst Wien</t>
  </si>
  <si>
    <t>Studienjahr 2013/14</t>
  </si>
  <si>
    <t xml:space="preserve">      UT</t>
  </si>
  <si>
    <t>UA Studienjahr 2017/18</t>
  </si>
  <si>
    <t>UC Studienjahr 2016/17</t>
  </si>
  <si>
    <t>UE Studienjahr 2015/16</t>
  </si>
  <si>
    <t>UG Studienjahr 2014/15</t>
  </si>
  <si>
    <t>UI Studienjahr 2013/14</t>
  </si>
  <si>
    <t>UM Studienjahr 2016/17</t>
  </si>
  <si>
    <t>UO Studienjahr 2015/16</t>
  </si>
  <si>
    <t>UQ Studienjahr 2014/15</t>
  </si>
  <si>
    <t>US Studienjahr 2013/14</t>
  </si>
  <si>
    <t>UU Studienjahr 2012/13</t>
  </si>
  <si>
    <t>UE</t>
  </si>
  <si>
    <t>UI</t>
  </si>
  <si>
    <t>UD Studienjahr 2022/23</t>
  </si>
  <si>
    <t>UN Studienjahr 2022/23</t>
  </si>
  <si>
    <t>UJ Studienjahr 2024/25</t>
  </si>
  <si>
    <t>UT Studienjahr 2024/25</t>
  </si>
  <si>
    <t>UV Studienjahr 2023/24</t>
  </si>
  <si>
    <t>UB Studienjahr 2023/24</t>
  </si>
  <si>
    <t>UL Studienjahr 2023/24</t>
  </si>
  <si>
    <t>UD Studienjahr 2010/11</t>
  </si>
  <si>
    <t>UF Studienjahr 2008/09</t>
  </si>
  <si>
    <t>UH Studienjahr 2007/08</t>
  </si>
  <si>
    <t>UR Studienjahr 2007/08</t>
  </si>
  <si>
    <t>UH Studienjahr 2025/26</t>
  </si>
  <si>
    <t>&lt;-- writeable Slicer Member Format</t>
  </si>
  <si>
    <t>Drittstaaten</t>
  </si>
  <si>
    <t xml:space="preserve">      Medizinische Univ.Wien</t>
  </si>
  <si>
    <t>[ALLG Gastland Nation].[GL Staatengruppe #EU-Andere#]</t>
  </si>
  <si>
    <t xml:space="preserve">      Universität für Bodenkultur Wien</t>
  </si>
  <si>
    <t>UA Studienjahr 2012/13</t>
  </si>
  <si>
    <t>UB Studienjahr 2017/18</t>
  </si>
  <si>
    <t>UC Studienjahr 2011/12</t>
  </si>
  <si>
    <t>UD Studienjahr 2016/17</t>
  </si>
  <si>
    <t>UF Studienjahr 2019/20</t>
  </si>
  <si>
    <t>UJ Studienjahr 2018/19</t>
  </si>
  <si>
    <t>UK Studienjahr 2012/13</t>
  </si>
  <si>
    <t>UL Studienjahr 2017/18</t>
  </si>
  <si>
    <t>UN Studienjahr 2016/17</t>
  </si>
  <si>
    <t>UT Studienjahr 2018/19</t>
  </si>
  <si>
    <t>UV Studienjahr 2017/18</t>
  </si>
  <si>
    <t>UW Studienjahr 2011/12</t>
  </si>
  <si>
    <t>UQ</t>
  </si>
  <si>
    <t>UM</t>
  </si>
  <si>
    <t>UH Studienjahr 2020/21</t>
  </si>
  <si>
    <t>UR Studienjahr 2020/21</t>
  </si>
  <si>
    <t>UF Studienjahr 2021/22</t>
  </si>
  <si>
    <t>UK Studienjahr 2024/25</t>
  </si>
  <si>
    <t>UW Studienjahr 2023/24</t>
  </si>
  <si>
    <t>UE Studienjahr 2010/11</t>
  </si>
  <si>
    <t>UO Studienjahr 2010/11</t>
  </si>
  <si>
    <t>UW Studienjahr 2009/10</t>
  </si>
  <si>
    <t>UC Studienjahr 2009/10</t>
  </si>
  <si>
    <t>UM Studienjahr 2009/10</t>
  </si>
  <si>
    <t>UG Studienjahr 2008/09</t>
  </si>
  <si>
    <t>UQ Studienjahr 2008/09</t>
  </si>
  <si>
    <t>UI Studienjahr 2007/08</t>
  </si>
  <si>
    <t>US Studienjahr 2007/08</t>
  </si>
  <si>
    <t>UU Studienjahr 2024/25</t>
  </si>
  <si>
    <t>UI Studienjahr 2025/26</t>
  </si>
  <si>
    <t>US Studienjahr 2025/26</t>
  </si>
  <si>
    <t>Slicer Button</t>
  </si>
  <si>
    <t>+2009</t>
  </si>
  <si>
    <t>&lt;-- default alternate row cell format</t>
  </si>
  <si>
    <t>&lt;--  written cell format</t>
  </si>
  <si>
    <t xml:space="preserve">      UE</t>
  </si>
  <si>
    <t>Anmerkung: Aufgrund von Änderungen in den Erhebungsmethoden sind die Indikatorwerte im zeitlichen Verlauf nicht immer direkt vergleichbar.</t>
  </si>
  <si>
    <t xml:space="preserve">      UA</t>
  </si>
  <si>
    <t xml:space="preserve">      Wirtschaftsuniversität Wien</t>
  </si>
  <si>
    <t>UB Studienjahr 2012/13</t>
  </si>
  <si>
    <t>UF Studienjahr 2015/16</t>
  </si>
  <si>
    <t>UG Studienjahr 2019/20</t>
  </si>
  <si>
    <t>UH Studienjahr 2014/15</t>
  </si>
  <si>
    <t>UJ Studienjahr 2013/14</t>
  </si>
  <si>
    <t>UK Studienjahr 2018/19</t>
  </si>
  <si>
    <t>UL Studienjahr 2012/13</t>
  </si>
  <si>
    <t>UN Studienjahr 2011/12</t>
  </si>
  <si>
    <t>UQ Studienjahr 2019/20</t>
  </si>
  <si>
    <t>UR Studienjahr 2014/15</t>
  </si>
  <si>
    <t>UT Studienjahr 2013/14</t>
  </si>
  <si>
    <t>UU Studienjahr 2018/19</t>
  </si>
  <si>
    <t>UV Studienjahr 2012/13</t>
  </si>
  <si>
    <t>UW Studienjahr 2017/18</t>
  </si>
  <si>
    <t>UU</t>
  </si>
  <si>
    <t>UI Studienjahr 2020/21</t>
  </si>
  <si>
    <t>US Studienjahr 2020/21</t>
  </si>
  <si>
    <t>Studienjahr 2020/21</t>
  </si>
  <si>
    <t>UG Studienjahr 2021/22</t>
  </si>
  <si>
    <t>UQ Studienjahr 2021/22</t>
  </si>
  <si>
    <t>UE Studienjahr 2022/23</t>
  </si>
  <si>
    <t>UO Studienjahr 2022/23</t>
  </si>
  <si>
    <t>UA Studienjahr 2024/25</t>
  </si>
  <si>
    <t>UC Studienjahr 2023/24</t>
  </si>
  <si>
    <t>UM Studienjahr 2023/24</t>
  </si>
  <si>
    <t>UN Studienjahr 2009/10</t>
  </si>
  <si>
    <t>Display Formats For:</t>
  </si>
  <si>
    <t>Enabled?</t>
  </si>
  <si>
    <t xml:space="preserve">      Univ.f.Mus.u.darst.K.Wien</t>
  </si>
  <si>
    <t>ord. Studierende</t>
  </si>
  <si>
    <t xml:space="preserve">      Universität für künstlerische und industrielle Gestaltung Linz</t>
  </si>
  <si>
    <t>Studienjahr 2014/15</t>
  </si>
  <si>
    <t xml:space="preserve">      UI</t>
  </si>
  <si>
    <t>UA Studienjahr 2018/19</t>
  </si>
  <si>
    <t>UC Studienjahr 2017/18</t>
  </si>
  <si>
    <t>UD Studienjahr 2011/12</t>
  </si>
  <si>
    <t>UE Studienjahr 2016/17</t>
  </si>
  <si>
    <t>UG Studienjahr 2015/16</t>
  </si>
  <si>
    <t>UI Studienjahr 2014/15</t>
  </si>
  <si>
    <t>UM Studienjahr 2017/18</t>
  </si>
  <si>
    <t>UO Studienjahr 2016/17</t>
  </si>
  <si>
    <t>UQ Studienjahr 2015/16</t>
  </si>
  <si>
    <t>US Studienjahr 2014/15</t>
  </si>
  <si>
    <t>UU Studienjahr 2013/14</t>
  </si>
  <si>
    <t>UB Studienjahr 2024/25</t>
  </si>
  <si>
    <t>UL Studienjahr 2024/25</t>
  </si>
  <si>
    <t>UD Studienjahr 2023/24</t>
  </si>
  <si>
    <t>UN Studienjahr 2023/24</t>
  </si>
  <si>
    <t>UF Studienjahr 2010/11</t>
  </si>
  <si>
    <t>UD Studienjahr 2009/10</t>
  </si>
  <si>
    <t>UH Studienjahr 2008/09</t>
  </si>
  <si>
    <t>UR Studienjahr 2008/09</t>
  </si>
  <si>
    <t>UJ Studienjahr 2007/08</t>
  </si>
  <si>
    <t>UT Studienjahr 2007/08</t>
  </si>
  <si>
    <t>UV Studienjahr 2024/25</t>
  </si>
  <si>
    <t>Datenprüfung und -aufbereitung: bmfwf, Abt. I/10</t>
  </si>
  <si>
    <t>UJ Studienjahr 2025/26</t>
  </si>
  <si>
    <t>UT Studienjahr 2025/26</t>
  </si>
  <si>
    <t>Slicer Button Hover</t>
  </si>
  <si>
    <t>Label Format--&gt;</t>
  </si>
  <si>
    <t>&lt;--  written cell by another user cell format</t>
  </si>
  <si>
    <t>Summary Written Member</t>
  </si>
  <si>
    <t>Data Format</t>
  </si>
  <si>
    <t>Universität (Langtext)</t>
  </si>
  <si>
    <t>Anzahl der ordentlichen Studierenden mit Teilnahme an internationalen Mobilitätsprogrammen (outgoing)</t>
  </si>
  <si>
    <t>Studienjahr 2008/09</t>
  </si>
  <si>
    <t xml:space="preserve">      UQ</t>
  </si>
  <si>
    <t>Universität-Ausrichtung</t>
  </si>
  <si>
    <t xml:space="preserve">      Techn.Universität Graz</t>
  </si>
  <si>
    <t xml:space="preserve">      UU</t>
  </si>
  <si>
    <t>UA Studienjahr 2013/14</t>
  </si>
  <si>
    <t>UB Studienjahr 2018/19</t>
  </si>
  <si>
    <t>UC Studienjahr 2012/13</t>
  </si>
  <si>
    <t>UD Studienjahr 2017/18</t>
  </si>
  <si>
    <t>UE Studienjahr 2011/12</t>
  </si>
  <si>
    <t>UH Studienjahr 2019/20</t>
  </si>
  <si>
    <t>UK Studienjahr 2013/14</t>
  </si>
  <si>
    <t>UL Studienjahr 2018/19</t>
  </si>
  <si>
    <t>UM Studienjahr 2012/13</t>
  </si>
  <si>
    <t>UN Studienjahr 2017/18</t>
  </si>
  <si>
    <t>UO Studienjahr 2011/12</t>
  </si>
  <si>
    <t>UR Studienjahr 2019/20</t>
  </si>
  <si>
    <t>UV Studienjahr 2018/19</t>
  </si>
  <si>
    <t>UW Studienjahr 2012/13</t>
  </si>
  <si>
    <t>UB</t>
  </si>
  <si>
    <t>UF</t>
  </si>
  <si>
    <t>UJ</t>
  </si>
  <si>
    <t>UJ Studienjahr 2020/21</t>
  </si>
  <si>
    <t>UT Studienjahr 2020/21</t>
  </si>
  <si>
    <t>UH Studienjahr 2021/22</t>
  </si>
  <si>
    <t>UR Studienjahr 2021/22</t>
  </si>
  <si>
    <t>UF Studienjahr 2022/23</t>
  </si>
  <si>
    <t>UG Studienjahr 2010/11</t>
  </si>
  <si>
    <t>UQ Studienjahr 2010/11</t>
  </si>
  <si>
    <t>UE Studienjahr 2009/10</t>
  </si>
  <si>
    <t>UO Studienjahr 2009/10</t>
  </si>
  <si>
    <t>UI Studienjahr 2008/09</t>
  </si>
  <si>
    <t>US Studienjahr 2008/09</t>
  </si>
  <si>
    <t>UU Studienjahr 2007/08</t>
  </si>
  <si>
    <t>UW Studienjahr 2024/25</t>
  </si>
  <si>
    <t>UK Studienjahr 2025/26</t>
  </si>
  <si>
    <t>UU Studienjahr 2025/26</t>
  </si>
  <si>
    <t>Marital Status</t>
  </si>
  <si>
    <t>Default Writeable Member Format --&gt;</t>
  </si>
  <si>
    <t>Universität (Codex)</t>
  </si>
  <si>
    <t>UB Studienjahr 2013/14</t>
  </si>
  <si>
    <t>UD Studienjahr 2012/13</t>
  </si>
  <si>
    <t>UF Studienjahr 2016/17</t>
  </si>
  <si>
    <t>UH Studienjahr 2015/16</t>
  </si>
  <si>
    <t>UI Studienjahr 2019/20</t>
  </si>
  <si>
    <t>UJ Studienjahr 2014/15</t>
  </si>
  <si>
    <t>UL Studienjahr 2013/14</t>
  </si>
  <si>
    <t>UN Studienjahr 2012/13</t>
  </si>
  <si>
    <t>UR Studienjahr 2015/16</t>
  </si>
  <si>
    <t>US Studienjahr 2019/20</t>
  </si>
  <si>
    <t>UT Studienjahr 2014/15</t>
  </si>
  <si>
    <t>UV Studienjahr 2013/14</t>
  </si>
  <si>
    <t>UW Studienjahr 2018/19</t>
  </si>
  <si>
    <t>UN</t>
  </si>
  <si>
    <t>UR</t>
  </si>
  <si>
    <t>Quelle: Datenmeldungen der Universitäten auf Basis UHSBV zum jeweiligen Stichtag</t>
  </si>
  <si>
    <t>Studienjahr 2019/20</t>
  </si>
  <si>
    <t>UK Studienjahr 2020/21</t>
  </si>
  <si>
    <t>UU Studienjahr 2020/21</t>
  </si>
  <si>
    <t>UI Studienjahr 2021/22</t>
  </si>
  <si>
    <t>US Studienjahr 2021/22</t>
  </si>
  <si>
    <t>Studienjahr 2021/22</t>
  </si>
  <si>
    <t>UG Studienjahr 2022/23</t>
  </si>
  <si>
    <t>UQ Studienjahr 2022/23</t>
  </si>
  <si>
    <t>UC Studienjahr 2024/25</t>
  </si>
  <si>
    <t>UM Studienjahr 2024/25</t>
  </si>
  <si>
    <t>UE Studienjahr 2023/24</t>
  </si>
  <si>
    <t>UO Studienjahr 2023/24</t>
  </si>
  <si>
    <t>UA Studienjahr 2007/08</t>
  </si>
  <si>
    <t>UA Studienjahr 2025/26</t>
  </si>
  <si>
    <t>Writeable Member</t>
  </si>
  <si>
    <t>Wissensbilanz</t>
  </si>
  <si>
    <t xml:space="preserve">      UB</t>
  </si>
  <si>
    <t xml:space="preserve">      Universität Linz</t>
  </si>
  <si>
    <t xml:space="preserve">      Universität Graz</t>
  </si>
  <si>
    <t xml:space="preserve">      Universität Klagenfurt</t>
  </si>
  <si>
    <t>Studienjahr 2015/16</t>
  </si>
  <si>
    <t xml:space="preserve">      Univ.f.Bodenkultur Wien</t>
  </si>
  <si>
    <t xml:space="preserve">      UF</t>
  </si>
  <si>
    <t>UC Studienjahr 2018/19</t>
  </si>
  <si>
    <t>UE Studienjahr 2017/18</t>
  </si>
  <si>
    <t>UF Studienjahr 2011/12</t>
  </si>
  <si>
    <t>UG Studienjahr 2016/17</t>
  </si>
  <si>
    <t>UI Studienjahr 2015/16</t>
  </si>
  <si>
    <t>UM Studienjahr 2018/19</t>
  </si>
  <si>
    <t>UO Studienjahr 2017/18</t>
  </si>
  <si>
    <t>UQ Studienjahr 2016/17</t>
  </si>
  <si>
    <t>US Studienjahr 2015/16</t>
  </si>
  <si>
    <t>UU Studienjahr 2014/15</t>
  </si>
  <si>
    <t>UW Studienjahr 2013/14</t>
  </si>
  <si>
    <t>UV</t>
  </si>
  <si>
    <t>UA Studienjahr 2020/21</t>
  </si>
  <si>
    <t>UR Studienjahr 2022/23</t>
  </si>
  <si>
    <t>UD Studienjahr 2024/25</t>
  </si>
  <si>
    <t>UN Studienjahr 2024/25</t>
  </si>
  <si>
    <t>UH Studienjahr 2010/11</t>
  </si>
  <si>
    <t>UR Studienjahr 2010/11</t>
  </si>
  <si>
    <t>UF Studienjahr 2009/10</t>
  </si>
  <si>
    <t>UJ Studienjahr 2008/09</t>
  </si>
  <si>
    <t>UT Studienjahr 2008/09</t>
  </si>
  <si>
    <t>UV Studienjahr 2007/08</t>
  </si>
  <si>
    <t>UB Studienjahr 2007/08</t>
  </si>
  <si>
    <t>UL Studienjahr 2007/08</t>
  </si>
  <si>
    <t>UB Studienjahr 2025/26</t>
  </si>
  <si>
    <t>UL Studienjahr 2025/26</t>
  </si>
  <si>
    <t>UV Studienjahr 2025/26</t>
  </si>
  <si>
    <t>Slicer Button Selected</t>
  </si>
  <si>
    <t>&lt;--  summary written cell</t>
  </si>
  <si>
    <t>Formatierungsrichtlinien</t>
  </si>
  <si>
    <t>GL Staatengruppe (EU, andere)</t>
  </si>
  <si>
    <t>Geschlecht</t>
  </si>
  <si>
    <t>Studienjahr 2010/11</t>
  </si>
  <si>
    <t xml:space="preserve">      Univ.Mozarteum Salzburg</t>
  </si>
  <si>
    <t>Nähere Informationen zu den Kennzahlen bzw. deren Definition finden sich in der aktuellen Ausgabe des Arbeitsbehelfs zur Wissensbilanz-Verordnung.</t>
  </si>
  <si>
    <t xml:space="preserve">      UJ</t>
  </si>
  <si>
    <t xml:space="preserve">      UN</t>
  </si>
  <si>
    <t xml:space="preserve">      Medizinische Universität Innsbruck</t>
  </si>
  <si>
    <t>Interpretation</t>
  </si>
  <si>
    <t xml:space="preserve">      Wirtschaftsuniv.Wien</t>
  </si>
  <si>
    <t xml:space="preserve">      Medizin.Univ.Innsbruck</t>
  </si>
  <si>
    <t>UA Studienjahr 2014/15</t>
  </si>
  <si>
    <t>UC Studienjahr 2013/14</t>
  </si>
  <si>
    <t>UD Studienjahr 2018/19</t>
  </si>
  <si>
    <t>UE Studienjahr 2012/13</t>
  </si>
  <si>
    <t>UG Studienjahr 2011/12</t>
  </si>
  <si>
    <t>UJ Studienjahr 2019/20</t>
  </si>
  <si>
    <t>UK Studienjahr 2014/15</t>
  </si>
  <si>
    <t>UM Studienjahr 2013/14</t>
  </si>
  <si>
    <t>UN Studienjahr 2018/19</t>
  </si>
  <si>
    <t>UO Studienjahr 2012/13</t>
  </si>
  <si>
    <t>UQ Studienjahr 2011/12</t>
  </si>
  <si>
    <t>UT Studienjahr 2019/20</t>
  </si>
  <si>
    <t>UB Studienjahr 2020/21</t>
  </si>
  <si>
    <t>UL Studienjahr 2020/21</t>
  </si>
  <si>
    <t>UV Studienjahr 2020/21</t>
  </si>
  <si>
    <t>UJ Studienjahr 2021/22</t>
  </si>
  <si>
    <t>UT Studienjahr 2021/22</t>
  </si>
  <si>
    <t>UH Studienjahr 2022/23</t>
  </si>
  <si>
    <t>UF Studienjahr 2023/24</t>
  </si>
  <si>
    <t>UI Studienjahr 2010/11</t>
  </si>
  <si>
    <t>US Studienjahr 2010/11</t>
  </si>
  <si>
    <t>UG Studienjahr 2009/10</t>
  </si>
  <si>
    <t>UQ Studienjahr 2009/10</t>
  </si>
  <si>
    <t>UU Studienjahr 2008/09</t>
  </si>
  <si>
    <t>UW Studienjahr 2025/26</t>
  </si>
</sst>
</file>

<file path=xl/styles.xml><?xml version="1.0" encoding="utf-8"?>
<styleSheet xmlns="http://schemas.openxmlformats.org/spreadsheetml/2006/main">
  <numFmts count="1">
    <numFmt numFmtId="164" formatCode=";;;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sz val="10"/>
      <color rgb="FF000000"/>
      <name val="Tahoma"/>
      <family val="2"/>
    </font>
    <font>
      <b/>
      <sz val="11"/>
      <name val="Calibri"/>
      <family val="2"/>
      <scheme val="minor"/>
    </font>
    <font>
      <sz val="10"/>
      <color rgb="FF262626"/>
      <name val="Tahoma"/>
      <family val="2"/>
    </font>
    <font>
      <b/>
      <sz val="11"/>
      <color rgb="FF000000"/>
      <name val="Tahoma"/>
      <family val="2"/>
    </font>
    <font>
      <sz val="10"/>
      <color rgb="FF595959"/>
      <name val="Tahoma"/>
      <family val="2"/>
    </font>
    <font>
      <b/>
      <sz val="10"/>
      <name val="Tahoma"/>
      <family val="2"/>
    </font>
    <font>
      <b/>
      <sz val="8"/>
      <color indexed="23"/>
      <name val="Tahoma"/>
      <family val="2"/>
    </font>
    <font>
      <sz val="9"/>
      <name val="Tahoma"/>
      <family val="2"/>
    </font>
    <font>
      <sz val="11"/>
      <color rgb="FF000000"/>
      <name val="Tahoma"/>
      <family val="2"/>
    </font>
    <font>
      <sz val="8"/>
      <name val="Tahoma"/>
      <family val="2"/>
    </font>
    <font>
      <sz val="10"/>
      <color theme="1" tint="0.0499893185216834"/>
      <name val="Tahoma"/>
      <family val="2"/>
    </font>
    <font>
      <sz val="10"/>
      <name val="Tahoma"/>
      <family val="2"/>
    </font>
    <font>
      <sz val="10"/>
      <color theme="1" tint="0.34998626667073579"/>
      <name val="Tahoma"/>
      <family val="2"/>
    </font>
    <font>
      <sz val="10"/>
      <color theme="1" tint="0.14999847407452621"/>
      <name val="Tahoma"/>
      <family val="2"/>
    </font>
    <font>
      <b/>
      <sz val="11"/>
      <color theme="1"/>
      <name val="Calibri"/>
      <family val="2"/>
      <scheme val="minor"/>
    </font>
    <font>
      <sz val="11"/>
      <color theme="1"/>
      <name val="Tahoma"/>
      <family val="2"/>
    </font>
    <font>
      <sz val="10"/>
      <color rgb="FFFF0000"/>
      <name val="Tahoma"/>
      <family val="2"/>
    </font>
    <font>
      <b/>
      <sz val="8"/>
      <color rgb="FFFF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rgb="FF3F3F3F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D9F1"/>
        <bgColor rgb="FFFFFFFF"/>
      </patternFill>
    </fill>
    <fill>
      <patternFill patternType="solid">
        <fgColor indexed="22"/>
        <bgColor indexed="64"/>
      </patternFill>
    </fill>
    <fill>
      <patternFill patternType="solid">
        <fgColor rgb="FFDDDDDD"/>
        <bgColor rgb="FFFFFFFF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11">
    <border>
      <left/>
      <right/>
      <top/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/>
      <right style="hair">
        <color rgb="FFC0C0C0"/>
      </right>
      <top/>
      <bottom/>
      <diagonal/>
    </border>
    <border>
      <left style="hair">
        <color rgb="FFC0C0C0"/>
      </left>
      <right/>
      <top style="hair">
        <color rgb="FFC0C0C0"/>
      </top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/>
      <diagonal/>
    </border>
    <border>
      <left style="hair">
        <color rgb="FFC0C0C0"/>
      </left>
      <right/>
      <top style="hair">
        <color rgb="FFC0C0C0"/>
      </top>
      <bottom style="hair">
        <color rgb="FFC0C0C0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rgb="FFC0C0C0"/>
      </left>
      <right style="hair">
        <color rgb="FFC0C0C0"/>
      </right>
      <top/>
      <bottom/>
      <diagonal/>
    </border>
    <border>
      <left style="hair">
        <color rgb="FFC0C0C0"/>
      </left>
      <right style="hair">
        <color rgb="FFC0C0C0"/>
      </right>
      <top/>
      <bottom style="hair">
        <color rgb="FFC0C0C0"/>
      </bottom>
      <diagonal/>
    </border>
    <border>
      <left style="thin">
        <color indexed="23"/>
      </left>
      <right/>
      <top/>
      <bottom/>
      <diagonal/>
    </border>
    <border>
      <left style="hair">
        <color rgb="FFC0C0C0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81">
    <xf numFmtId="0" fontId="0" fillId="0" borderId="0" xfId="0"/>
    <xf numFmtId="0" fontId="2" fillId="0" borderId="0" xfId="0" applyFont="1" applyFill="1" applyBorder="1"/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top"/>
    </xf>
    <xf numFmtId="3" fontId="4" fillId="0" borderId="0" xfId="0" applyNumberFormat="1" applyFont="1" applyFill="1" applyBorder="1"/>
    <xf numFmtId="0" fontId="5" fillId="0" borderId="1" xfId="0" quotePrefix="1" applyFont="1" applyFill="1" applyBorder="1" applyAlignment="1" applyProtection="1">
      <alignment horizontal="center"/>
    </xf>
    <xf numFmtId="0" fontId="5" fillId="0" borderId="1" xfId="0" quotePrefix="1" applyFont="1" applyFill="1" applyBorder="1" applyAlignment="1" applyProtection="1">
      <alignment horizontal="center" wrapText="1"/>
    </xf>
    <xf numFmtId="0" fontId="6" fillId="0" borderId="0" xfId="0" applyFont="1" applyFill="1" applyBorder="1" applyAlignment="1">
      <alignment horizontal="left" vertical="top"/>
    </xf>
    <xf numFmtId="0" fontId="0" fillId="0" borderId="0" xfId="0" applyFill="1" applyBorder="1"/>
    <xf numFmtId="0" fontId="7" fillId="2" borderId="2" xfId="0" quotePrefix="1" applyFont="1" applyFill="1" applyBorder="1" applyAlignment="1" applyProtection="1"/>
    <xf numFmtId="0" fontId="8" fillId="0" borderId="0" xfId="0" applyFont="1"/>
    <xf numFmtId="0" fontId="9" fillId="0" borderId="0" xfId="0" applyFont="1"/>
    <xf numFmtId="3" fontId="5" fillId="0" borderId="1" xfId="0" applyNumberFormat="1" applyFont="1" applyFill="1" applyBorder="1" applyAlignment="1" applyProtection="1">
      <alignment horizontal="right" wrapText="1"/>
    </xf>
    <xf numFmtId="0" fontId="10" fillId="3" borderId="0" xfId="1" applyFont="1" applyFill="1" applyBorder="1" applyAlignment="1">
      <alignment horizontal="center"/>
    </xf>
    <xf numFmtId="0" fontId="11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top" wrapText="1"/>
    </xf>
    <xf numFmtId="0" fontId="6" fillId="0" borderId="0" xfId="0" applyFont="1" applyFill="1" applyBorder="1" applyAlignment="1">
      <alignment horizontal="left" vertical="top" wrapText="1"/>
    </xf>
    <xf numFmtId="3" fontId="5" fillId="0" borderId="1" xfId="0" quotePrefix="1" applyNumberFormat="1" applyFont="1" applyFill="1" applyBorder="1" applyAlignment="1" applyProtection="1">
      <alignment horizontal="right"/>
    </xf>
    <xf numFmtId="0" fontId="5" fillId="0" borderId="1" xfId="0" applyFont="1" applyFill="1" applyBorder="1" applyAlignment="1" applyProtection="1">
      <alignment horizontal="right"/>
    </xf>
    <xf numFmtId="0" fontId="5" fillId="4" borderId="1" xfId="0" applyFont="1" applyFill="1" applyBorder="1" applyAlignment="1" applyProtection="1">
      <alignment horizontal="center"/>
    </xf>
    <xf numFmtId="0" fontId="5" fillId="0" borderId="3" xfId="0" applyFont="1" applyBorder="1" applyAlignment="1" applyProtection="1">
      <alignment horizontal="center" wrapText="1"/>
    </xf>
    <xf numFmtId="0" fontId="5" fillId="0" borderId="1" xfId="0" applyFont="1" applyFill="1" applyBorder="1" applyAlignment="1" applyProtection="1">
      <alignment horizontal="center"/>
    </xf>
    <xf numFmtId="0" fontId="12" fillId="0" borderId="0" xfId="1" applyFont="1"/>
    <xf numFmtId="0" fontId="5" fillId="0" borderId="4" xfId="0" applyFont="1" applyBorder="1" applyAlignment="1" applyProtection="1">
      <alignment horizontal="right" wrapText="1"/>
    </xf>
    <xf numFmtId="0" fontId="13" fillId="0" borderId="0" xfId="0" applyFont="1"/>
    <xf numFmtId="0" fontId="14" fillId="0" borderId="0" xfId="0" applyNumberFormat="1" applyFont="1" applyAlignment="1"/>
    <xf numFmtId="0" fontId="15" fillId="5" borderId="0" xfId="0" applyFont="1" applyFill="1" applyAlignment="1"/>
    <xf numFmtId="0" fontId="5" fillId="0" borderId="1" xfId="0" applyFont="1" applyFill="1" applyBorder="1" applyAlignment="1" applyProtection="1">
      <alignment vertical="center"/>
    </xf>
    <xf numFmtId="0" fontId="5" fillId="0" borderId="1" xfId="0" quotePrefix="1" applyFont="1" applyFill="1" applyBorder="1" applyAlignment="1" applyProtection="1">
      <alignment horizontal="right"/>
    </xf>
    <xf numFmtId="3" fontId="5" fillId="4" borderId="1" xfId="0" applyNumberFormat="1" applyFont="1" applyFill="1" applyBorder="1" applyAlignment="1" applyProtection="1">
      <alignment horizontal="right" wrapText="1"/>
    </xf>
    <xf numFmtId="0" fontId="5" fillId="0" borderId="1" xfId="0" applyFont="1" applyFill="1" applyBorder="1" applyAlignment="1" applyProtection="1">
      <alignment horizontal="center" wrapText="1"/>
    </xf>
    <xf numFmtId="0" fontId="14" fillId="0" borderId="0" xfId="0" applyFont="1"/>
    <xf numFmtId="0" fontId="16" fillId="0" borderId="0" xfId="0" applyFont="1"/>
    <xf numFmtId="0" fontId="9" fillId="0" borderId="0" xfId="0" applyFont="1" applyAlignment="1">
      <alignment horizontal="right"/>
    </xf>
    <xf numFmtId="0" fontId="5" fillId="0" borderId="3" xfId="0" applyFont="1" applyBorder="1" applyAlignment="1" applyProtection="1">
      <alignment horizontal="center"/>
    </xf>
    <xf numFmtId="3" fontId="5" fillId="0" borderId="1" xfId="0" applyNumberFormat="1" applyFont="1" applyBorder="1" applyAlignment="1" applyProtection="1"/>
    <xf numFmtId="0" fontId="12" fillId="5" borderId="0" xfId="1" applyFont="1" applyFill="1"/>
    <xf numFmtId="0" fontId="17" fillId="0" borderId="0" xfId="0" applyFont="1" applyFill="1" applyBorder="1"/>
    <xf numFmtId="0" fontId="14" fillId="0" borderId="0" xfId="0" quotePrefix="1" applyFont="1"/>
    <xf numFmtId="0" fontId="14" fillId="0" borderId="0" xfId="0" applyFont="1" applyAlignment="1">
      <alignment horizontal="center"/>
    </xf>
    <xf numFmtId="0" fontId="5" fillId="0" borderId="3" xfId="0" applyFont="1" applyBorder="1" applyAlignment="1" applyProtection="1">
      <alignment horizontal="right"/>
    </xf>
    <xf numFmtId="0" fontId="5" fillId="6" borderId="5" xfId="0" applyFont="1" applyFill="1" applyBorder="1" applyAlignment="1" applyProtection="1">
      <alignment horizontal="center"/>
    </xf>
    <xf numFmtId="2" fontId="14" fillId="0" borderId="0" xfId="0" applyNumberFormat="1" applyFont="1"/>
    <xf numFmtId="3" fontId="14" fillId="7" borderId="0" xfId="0" applyNumberFormat="1" applyFont="1" applyFill="1" applyAlignment="1"/>
    <xf numFmtId="0" fontId="14" fillId="0" borderId="0" xfId="0" applyNumberFormat="1" applyFont="1"/>
    <xf numFmtId="0" fontId="14" fillId="0" borderId="0" xfId="0" applyNumberFormat="1" applyFont="1" applyFill="1" applyBorder="1" applyAlignment="1"/>
    <xf numFmtId="3" fontId="8" fillId="0" borderId="0" xfId="0" applyNumberFormat="1" applyFont="1" applyFill="1" applyAlignment="1"/>
    <xf numFmtId="0" fontId="5" fillId="0" borderId="1" xfId="0" quotePrefix="1" applyFont="1" applyBorder="1" applyAlignment="1" applyProtection="1"/>
    <xf numFmtId="0" fontId="3" fillId="0" borderId="0" xfId="0" applyFont="1" applyFill="1" applyBorder="1" applyAlignment="1">
      <alignment wrapText="1"/>
    </xf>
    <xf numFmtId="0" fontId="5" fillId="0" borderId="1" xfId="0" applyFont="1" applyBorder="1" applyAlignment="1" applyProtection="1">
      <alignment horizontal="right"/>
    </xf>
    <xf numFmtId="0" fontId="16" fillId="0" borderId="6" xfId="0" applyFont="1" applyFill="1" applyBorder="1" applyAlignment="1">
      <alignment vertical="center"/>
    </xf>
    <xf numFmtId="0" fontId="16" fillId="0" borderId="6" xfId="0" quotePrefix="1" applyFont="1" applyFill="1" applyBorder="1" applyAlignment="1"/>
    <xf numFmtId="0" fontId="17" fillId="0" borderId="0" xfId="0" applyFont="1"/>
    <xf numFmtId="0" fontId="16" fillId="0" borderId="6" xfId="0" quotePrefix="1" applyFont="1" applyFill="1" applyBorder="1" applyAlignment="1">
      <alignment horizontal="right"/>
    </xf>
    <xf numFmtId="3" fontId="16" fillId="0" borderId="6" xfId="0" applyNumberFormat="1" applyFont="1" applyFill="1" applyBorder="1" applyAlignment="1"/>
    <xf numFmtId="164" fontId="14" fillId="0" borderId="0" xfId="0" applyNumberFormat="1" applyFont="1"/>
    <xf numFmtId="0" fontId="18" fillId="0" borderId="0" xfId="0" applyFont="1" applyFill="1" applyBorder="1"/>
    <xf numFmtId="3" fontId="14" fillId="8" borderId="0" xfId="0" applyNumberFormat="1" applyFont="1" applyFill="1" applyAlignment="1"/>
    <xf numFmtId="0" fontId="17" fillId="0" borderId="0" xfId="0" applyFont="1" applyAlignment="1">
      <alignment horizontal="left"/>
    </xf>
    <xf numFmtId="0" fontId="5" fillId="0" borderId="7" xfId="0" applyFont="1" applyBorder="1" applyAlignment="1" applyProtection="1">
      <alignment horizontal="right" wrapText="1"/>
    </xf>
    <xf numFmtId="0" fontId="5" fillId="6" borderId="1" xfId="0" applyFont="1" applyFill="1" applyBorder="1" applyAlignment="1" applyProtection="1">
      <alignment horizontal="center"/>
    </xf>
    <xf numFmtId="0" fontId="8" fillId="0" borderId="0" xfId="0" applyFont="1" applyFill="1" applyBorder="1" applyAlignment="1">
      <alignment vertical="center"/>
    </xf>
    <xf numFmtId="0" fontId="5" fillId="0" borderId="5" xfId="0" applyFont="1" applyBorder="1" applyAlignment="1" applyProtection="1">
      <alignment horizontal="right"/>
    </xf>
    <xf numFmtId="0" fontId="5" fillId="0" borderId="8" xfId="0" quotePrefix="1" applyFont="1" applyBorder="1" applyAlignment="1" applyProtection="1">
      <alignment vertical="center"/>
    </xf>
    <xf numFmtId="3" fontId="5" fillId="0" borderId="1" xfId="0" quotePrefix="1" applyNumberFormat="1" applyFont="1" applyBorder="1" applyAlignment="1" applyProtection="1"/>
    <xf numFmtId="0" fontId="0" fillId="0" borderId="0" xfId="0" applyFont="1"/>
    <xf numFmtId="0" fontId="14" fillId="8" borderId="0" xfId="0" applyFont="1" applyFill="1"/>
    <xf numFmtId="0" fontId="14" fillId="0" borderId="0" xfId="0" applyFont="1" applyFill="1" applyBorder="1" applyAlignment="1">
      <alignment vertical="center"/>
    </xf>
    <xf numFmtId="0" fontId="12" fillId="8" borderId="0" xfId="1" applyFont="1" applyFill="1"/>
    <xf numFmtId="0" fontId="19" fillId="0" borderId="0" xfId="0" applyFont="1"/>
    <xf numFmtId="0" fontId="20" fillId="0" borderId="0" xfId="0" applyFont="1"/>
    <xf numFmtId="0" fontId="3" fillId="0" borderId="0" xfId="0" applyFont="1" applyFill="1" applyBorder="1" applyAlignment="1">
      <alignment vertical="center" wrapText="1"/>
    </xf>
    <xf numFmtId="0" fontId="9" fillId="0" borderId="0" xfId="0" applyFont="1" applyAlignment="1">
      <alignment horizontal="center"/>
    </xf>
    <xf numFmtId="0" fontId="14" fillId="8" borderId="0" xfId="0" applyNumberFormat="1" applyFont="1" applyFill="1" applyAlignment="1"/>
    <xf numFmtId="0" fontId="5" fillId="0" borderId="4" xfId="0" applyFont="1" applyBorder="1" applyAlignment="1" applyProtection="1">
      <alignment horizontal="right"/>
    </xf>
    <xf numFmtId="0" fontId="10" fillId="3" borderId="9" xfId="1" applyFont="1" applyFill="1" applyBorder="1" applyAlignment="1">
      <alignment horizontal="center"/>
    </xf>
    <xf numFmtId="3" fontId="14" fillId="0" borderId="0" xfId="0" applyNumberFormat="1" applyFont="1" applyAlignment="1"/>
    <xf numFmtId="0" fontId="5" fillId="0" borderId="1" xfId="0" quotePrefix="1" applyFont="1" applyBorder="1" applyAlignment="1" applyProtection="1">
      <alignment vertical="center"/>
    </xf>
    <xf numFmtId="0" fontId="5" fillId="0" borderId="10" xfId="0" applyFont="1" applyBorder="1" applyAlignment="1" applyProtection="1">
      <alignment horizontal="center" wrapText="1"/>
    </xf>
    <xf numFmtId="0" fontId="14" fillId="0" borderId="0" xfId="0" quotePrefix="1" applyFont="1" applyFill="1"/>
    <xf numFmtId="3" fontId="14" fillId="9" borderId="0" xfId="0" applyNumberFormat="1" applyFont="1" applyFill="1" applyAlignment="1"/>
  </cellXfs>
  <cellStyles count="2">
    <cellStyle name="Normal" xfId="0" builtinId="0"/>
    <cellStyle name="Normal_Sheet1" xfId="1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3</xdr:col>
      <xdr:colOff>0</xdr:colOff>
      <xdr:row>10</xdr:row>
      <xdr:rowOff>209550</xdr:rowOff>
    </xdr:from>
    <xdr:to>
      <xdr:col>5</xdr:col>
      <xdr:colOff>926876</xdr:colOff>
      <xdr:row>11</xdr:row>
      <xdr:rowOff>189865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43659" y="2215515"/>
          <a:ext cx="2780628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0</xdr:colOff>
      <xdr:row>11</xdr:row>
      <xdr:rowOff>189865</xdr:rowOff>
    </xdr:from>
    <xdr:to>
      <xdr:col>5</xdr:col>
      <xdr:colOff>926876</xdr:colOff>
      <xdr:row>13</xdr:row>
      <xdr:rowOff>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43659" y="2405380"/>
          <a:ext cx="2780628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5</xdr:col>
      <xdr:colOff>926876</xdr:colOff>
      <xdr:row>14</xdr:row>
      <xdr:rowOff>0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43659" y="2595245"/>
          <a:ext cx="2780628" cy="18986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absolute">
    <xdr:from>
      <xdr:col>9</xdr:col>
      <xdr:colOff>114300</xdr:colOff>
      <xdr:row>3</xdr:row>
      <xdr:rowOff>109220</xdr:rowOff>
    </xdr:from>
    <xdr:to>
      <xdr:col>10</xdr:col>
      <xdr:colOff>315752</xdr:colOff>
      <xdr:row>7</xdr:row>
      <xdr:rowOff>104140</xdr:rowOff>
    </xdr:to>
    <xdr:sp macro="" textlink="">
      <xdr:nvSpPr>
        <xdr:cNvPr id="2" name="Comment 1" hidden="1"/>
        <xdr:cNvSpPr txBox="1"/>
      </xdr:nvSpPr>
      <xdr:spPr>
        <a:xfrm>
          <a:off x="13061511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XLCubed:</a:t>
          </a:r>
        </a:p>
        <a:p>
          <a:pPr algn="l"/>
          <a:r>
            <a:rPr/>
            <a:t>Blank name gives the default format.</a:t>
          </a:r>
        </a:p>
        <a:p>
          <a:pPr algn="l"/>
          <a:r>
            <a:rPr/>
            <a:t>Specify slicer name for slicer specific formats</a:t>
          </a:r>
        </a:p>
      </xdr:txBody>
    </xdr:sp>
    <xdr:clientData/>
  </xdr:twoCellAnchor>
  <xdr:twoCellAnchor editAs="absolute">
    <xdr:from>
      <xdr:col>10</xdr:col>
      <xdr:colOff>114300</xdr:colOff>
      <xdr:row>3</xdr:row>
      <xdr:rowOff>109220</xdr:rowOff>
    </xdr:from>
    <xdr:to>
      <xdr:col>11</xdr:col>
      <xdr:colOff>315752</xdr:colOff>
      <xdr:row>7</xdr:row>
      <xdr:rowOff>104140</xdr:rowOff>
    </xdr:to>
    <xdr:sp macro="" textlink="">
      <xdr:nvSpPr>
        <xdr:cNvPr id="3" name="Comment 2" hidden="1"/>
        <xdr:cNvSpPr txBox="1"/>
      </xdr:nvSpPr>
      <xdr:spPr>
        <a:xfrm>
          <a:off x="13957339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slicer title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  <xdr:twoCellAnchor editAs="absolute">
    <xdr:from>
      <xdr:col>11</xdr:col>
      <xdr:colOff>114300</xdr:colOff>
      <xdr:row>3</xdr:row>
      <xdr:rowOff>109220</xdr:rowOff>
    </xdr:from>
    <xdr:to>
      <xdr:col>12</xdr:col>
      <xdr:colOff>315752</xdr:colOff>
      <xdr:row>7</xdr:row>
      <xdr:rowOff>104140</xdr:rowOff>
    </xdr:to>
    <xdr:sp macro="" textlink="">
      <xdr:nvSpPr>
        <xdr:cNvPr id="4" name="Comment 3" hidden="1"/>
        <xdr:cNvSpPr txBox="1"/>
      </xdr:nvSpPr>
      <xdr:spPr>
        <a:xfrm>
          <a:off x="14853168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Format for non-button slicer text</a:t>
          </a:r>
        </a:p>
        <a:p>
          <a:pPr algn="l"/>
          <a:endParaRPr/>
        </a:p>
      </xdr:txBody>
    </xdr:sp>
    <xdr:clientData/>
  </xdr:twoCellAnchor>
  <xdr:twoCellAnchor editAs="absolute">
    <xdr:from>
      <xdr:col>12</xdr:col>
      <xdr:colOff>114300</xdr:colOff>
      <xdr:row>3</xdr:row>
      <xdr:rowOff>109220</xdr:rowOff>
    </xdr:from>
    <xdr:to>
      <xdr:col>13</xdr:col>
      <xdr:colOff>44867</xdr:colOff>
      <xdr:row>7</xdr:row>
      <xdr:rowOff>104140</xdr:rowOff>
    </xdr:to>
    <xdr:sp macro="" textlink="">
      <xdr:nvSpPr>
        <xdr:cNvPr id="5" name="Comment 4" hidden="1"/>
        <xdr:cNvSpPr txBox="1"/>
      </xdr:nvSpPr>
      <xdr:spPr>
        <a:xfrm>
          <a:off x="15748996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Default format for slicer buttons</a:t>
          </a:r>
        </a:p>
      </xdr:txBody>
    </xdr:sp>
    <xdr:clientData/>
  </xdr:twoCellAnchor>
  <xdr:twoCellAnchor editAs="absolute">
    <xdr:from>
      <xdr:col>13</xdr:col>
      <xdr:colOff>114300</xdr:colOff>
      <xdr:row>3</xdr:row>
      <xdr:rowOff>109220</xdr:rowOff>
    </xdr:from>
    <xdr:to>
      <xdr:col>14</xdr:col>
      <xdr:colOff>169913</xdr:colOff>
      <xdr:row>7</xdr:row>
      <xdr:rowOff>104140</xdr:rowOff>
    </xdr:to>
    <xdr:sp macro="" textlink="">
      <xdr:nvSpPr>
        <xdr:cNvPr id="6" name="Comment 5" hidden="1"/>
        <xdr:cNvSpPr txBox="1"/>
      </xdr:nvSpPr>
      <xdr:spPr>
        <a:xfrm>
          <a:off x="16915709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selected button</a:t>
          </a:r>
        </a:p>
      </xdr:txBody>
    </xdr:sp>
    <xdr:clientData/>
  </xdr:twoCellAnchor>
  <xdr:twoCellAnchor editAs="absolute">
    <xdr:from>
      <xdr:col>14</xdr:col>
      <xdr:colOff>114300</xdr:colOff>
      <xdr:row>3</xdr:row>
      <xdr:rowOff>109220</xdr:rowOff>
    </xdr:from>
    <xdr:to>
      <xdr:col>14</xdr:col>
      <xdr:colOff>1211580</xdr:colOff>
      <xdr:row>7</xdr:row>
      <xdr:rowOff>104140</xdr:rowOff>
    </xdr:to>
    <xdr:sp macro="" textlink="">
      <xdr:nvSpPr>
        <xdr:cNvPr id="7" name="Comment 6" hidden="1"/>
        <xdr:cNvSpPr txBox="1"/>
      </xdr:nvSpPr>
      <xdr:spPr>
        <a:xfrm>
          <a:off x="17957376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button when hovered over</a:t>
          </a:r>
        </a:p>
        <a:p>
          <a:pPr algn="l"/>
          <a:endParaRPr/>
        </a:p>
      </xdr:txBody>
    </xdr:sp>
    <xdr:clientData/>
  </xdr:twoCellAnchor>
  <xdr:twoCellAnchor editAs="absolute">
    <xdr:from>
      <xdr:col>15</xdr:col>
      <xdr:colOff>114300</xdr:colOff>
      <xdr:row>3</xdr:row>
      <xdr:rowOff>109220</xdr:rowOff>
    </xdr:from>
    <xdr:to>
      <xdr:col>16</xdr:col>
      <xdr:colOff>545050</xdr:colOff>
      <xdr:row>7</xdr:row>
      <xdr:rowOff>104140</xdr:rowOff>
    </xdr:to>
    <xdr:sp macro="" textlink="">
      <xdr:nvSpPr>
        <xdr:cNvPr id="8" name="Comment 7" hidden="1"/>
        <xdr:cNvSpPr txBox="1"/>
      </xdr:nvSpPr>
      <xdr:spPr>
        <a:xfrm>
          <a:off x="19290722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Background between the slicer buttons.</a:t>
          </a:r>
        </a:p>
      </xdr:txBody>
    </xdr:sp>
    <xdr:clientData/>
  </xdr:twoCellAnchor>
  <xdr:twoCellAnchor editAs="absolute">
    <xdr:from>
      <xdr:col>4</xdr:col>
      <xdr:colOff>114300</xdr:colOff>
      <xdr:row>22</xdr:row>
      <xdr:rowOff>109220</xdr:rowOff>
    </xdr:from>
    <xdr:to>
      <xdr:col>4</xdr:col>
      <xdr:colOff>1211580</xdr:colOff>
      <xdr:row>25</xdr:row>
      <xdr:rowOff>127000</xdr:rowOff>
    </xdr:to>
    <xdr:sp macro="" textlink="">
      <xdr:nvSpPr>
        <xdr:cNvPr id="9" name="Comment 8" hidden="1"/>
        <xdr:cNvSpPr txBox="1"/>
      </xdr:nvSpPr>
      <xdr:spPr>
        <a:xfrm>
          <a:off x="7478607" y="356362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Can use wildcard character - '*'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642"/>
  <sheetViews>
    <sheetView tabSelected="1" workbookViewId="0"/>
  </sheetViews>
  <sheetFormatPr defaultColWidth="11.42578125" defaultRowHeight="14.95" outlineLevelRow="1" outlineLevelCol="1"/>
  <cols>
    <col min="1" max="1" width="52.7109375" style="65" customWidth="1"/>
    <col min="2" max="3" width="8.7109375" hidden="1" customWidth="1" outlineLevel="1"/>
    <col min="4" max="4" width="12.7109375" customWidth="1" collapsed="1"/>
    <col min="5" max="6" width="12.7109375" customWidth="1"/>
    <col min="7" max="7" width="14.7109375" customWidth="1"/>
    <col min="8" max="10" width="12.7109375" customWidth="1"/>
    <col min="11" max="11" width="14.7109375" customWidth="1"/>
    <col min="12" max="14" width="12.7109375" customWidth="1"/>
    <col min="15" max="15" width="14.7109375" customWidth="1"/>
    <col min="16" max="16" width="7.7109375" bestFit="1" customWidth="1"/>
    <col min="17" max="17" width="11.7109375" bestFit="1" customWidth="1"/>
    <col min="18" max="18" width="8.7109375" bestFit="1" customWidth="1"/>
    <col min="19" max="19" width="11.28515625" bestFit="1" customWidth="1"/>
    <col min="20" max="20" width="9.85546875" bestFit="1" customWidth="1"/>
    <col min="21" max="21" width="7.28515625" bestFit="1" customWidth="1"/>
    <col min="22" max="22" width="11.28515625" bestFit="1" customWidth="1"/>
    <col min="23" max="23" width="9.85546875" bestFit="1" customWidth="1"/>
    <col min="24" max="24" width="7.28515625" bestFit="1" customWidth="1"/>
    <col min="25" max="25" width="11.28515625" bestFit="1" customWidth="1"/>
    <col min="26" max="26" width="17.140625" bestFit="1" customWidth="1"/>
    <col min="27" max="27" width="6.7109375" bestFit="1" customWidth="1"/>
    <col min="28" max="28" width="7.140625" bestFit="1" customWidth="1"/>
    <col min="29" max="29" width="17.140625" bestFit="1" customWidth="1"/>
    <col min="30" max="30" width="6.7109375" bestFit="1" customWidth="1"/>
    <col min="31" max="31" width="7.140625" bestFit="1" customWidth="1"/>
    <col min="32" max="32" width="17.140625" bestFit="1" customWidth="1"/>
    <col min="33" max="33" width="6.7109375" bestFit="1" customWidth="1"/>
    <col min="34" max="34" width="7.140625" bestFit="1" customWidth="1"/>
  </cols>
  <sheetData>
    <row>
      <c s="56" t="s">
        <v>506</v>
      </c>
      <c s="8"/>
      <c s="8"/>
      <c s="8"/>
      <c s="8"/>
      <c s="8"/>
      <c s="8"/>
    </row>
    <row>
      <c s="14" t="s">
        <v>151</v>
      </c>
      <c s="14"/>
      <c s="14"/>
      <c s="14"/>
      <c s="14"/>
      <c s="8"/>
      <c s="8"/>
    </row>
    <row ht="23.25" customHeight="1" s="52" customFormat="1">
      <c s="7" t="s">
        <v>434</v>
      </c>
      <c s="7"/>
      <c s="7"/>
      <c s="7"/>
      <c s="7"/>
      <c s="7"/>
      <c s="7"/>
      <c s="7"/>
      <c s="58"/>
    </row>
    <row ht="15" customHeight="1" s="52" customFormat="1">
      <c s="2"/>
      <c s="2"/>
      <c s="2"/>
      <c s="2"/>
      <c s="2"/>
      <c s="2"/>
      <c s="2"/>
    </row>
    <row ht="15" customHeight="1" s="52" customFormat="1">
      <c s="3"/>
      <c s="16"/>
      <c s="16"/>
      <c s="16"/>
      <c s="16"/>
      <c s="37"/>
      <c s="37"/>
    </row>
    <row ht="15" customHeight="1">
      <c s="2" t="s">
        <v>490</v>
      </c>
      <c s="2"/>
      <c s="2"/>
      <c s="2"/>
      <c s="2"/>
      <c s="48"/>
      <c s="8"/>
    </row>
    <row>
      <c s="71" t="s">
        <v>425</v>
      </c>
      <c s="15"/>
      <c s="15"/>
      <c s="15"/>
      <c s="15"/>
      <c s="8"/>
      <c s="8"/>
    </row>
    <row>
      <c s="2" t="s">
        <v>186</v>
      </c>
      <c s="2"/>
      <c s="2"/>
      <c s="2"/>
      <c s="2"/>
      <c s="2"/>
      <c s="2"/>
    </row>
    <row>
      <c s="3" t="s">
        <v>367</v>
      </c>
      <c s="3"/>
      <c s="3"/>
      <c s="3"/>
      <c s="3"/>
      <c s="3"/>
      <c s="3"/>
      <c s="3"/>
      <c s="3"/>
    </row>
    <row>
      <c s="3" t="s">
        <v>548</v>
      </c>
      <c s="3"/>
      <c s="3"/>
      <c s="3"/>
      <c s="3"/>
      <c s="3"/>
      <c s="3"/>
      <c s="3"/>
      <c s="3"/>
      <c s="3"/>
    </row>
    <row ht="16.5" customHeight="1"/>
    <row>
      <c s="9" t="s">
        <v>545</v>
      </c>
      <c s="47" t="s">
        <v>113</v>
      </c>
    </row>
    <row>
      <c s="9" t="s">
        <v>437</v>
      </c>
      <c s="47" t="s">
        <v>113</v>
      </c>
    </row>
    <row>
      <c s="9" t="s">
        <v>5</v>
      </c>
      <c s="47" t="s">
        <v>216</v>
      </c>
    </row>
    <row ht="15" hidden="1" outlineLevel="1">
      <c s="9" t="s">
        <v>82</v>
      </c>
      <c s="47" t="s">
        <v>113</v>
      </c>
    </row>
    <row collapsed="1">
      <c/>
    </row>
    <row>
      <c/>
    </row>
    <row ht="15" hidden="1" outlineLevel="1">
      <c/>
      <c r="D18" s="9" t="s">
        <v>259</v>
      </c>
      <c s="9" t="s">
        <v>249</v>
      </c>
      <c s="9" t="s">
        <v>544</v>
      </c>
    </row>
    <row ht="15" customHeight="1" collapsed="1">
      <c/>
      <c r="D19" s="5" t="s">
        <v>143</v>
      </c>
      <c s="5"/>
      <c s="5"/>
      <c s="28"/>
      <c s="5" t="s">
        <v>29</v>
      </c>
      <c s="5"/>
      <c s="5"/>
      <c s="28"/>
      <c s="5" t="s">
        <v>496</v>
      </c>
      <c s="5"/>
      <c s="5"/>
      <c s="28"/>
    </row>
    <row ht="15" hidden="1" customHeight="1" outlineLevel="1">
      <c/>
      <c r="D20" s="6" t="s">
        <v>399</v>
      </c>
      <c s="6"/>
      <c s="6"/>
      <c s="28"/>
      <c s="6" t="s">
        <v>399</v>
      </c>
      <c s="6"/>
      <c s="6"/>
      <c s="28"/>
      <c s="6" t="s">
        <v>399</v>
      </c>
      <c s="6"/>
      <c s="6"/>
      <c s="28"/>
    </row>
    <row collapsed="1">
      <c s="9" t="s">
        <v>36</v>
      </c>
      <c s="9" t="s">
        <v>474</v>
      </c>
      <c s="9" t="s">
        <v>433</v>
      </c>
      <c s="21" t="s">
        <v>253</v>
      </c>
      <c s="30" t="s">
        <v>327</v>
      </c>
      <c s="19" t="s">
        <v>113</v>
      </c>
      <c s="18" t="s">
        <v>552</v>
      </c>
      <c s="21" t="s">
        <v>253</v>
      </c>
      <c s="30" t="s">
        <v>327</v>
      </c>
      <c s="19" t="s">
        <v>113</v>
      </c>
      <c s="18" t="s">
        <v>552</v>
      </c>
      <c s="21" t="s">
        <v>253</v>
      </c>
      <c s="30" t="s">
        <v>327</v>
      </c>
      <c s="19" t="s">
        <v>113</v>
      </c>
      <c s="18" t="s">
        <v>552</v>
      </c>
    </row>
    <row>
      <c s="27" t="s">
        <v>114</v>
      </c>
      <c s="27" t="s">
        <v>368</v>
      </c>
      <c s="27" t="s">
        <v>114</v>
      </c>
      <c s="12">
        <v>1191</v>
      </c>
      <c s="12">
        <v>398</v>
      </c>
      <c s="29">
        <v>1589</v>
      </c>
      <c s="17" t="s">
        <v>552</v>
      </c>
      <c s="12">
        <v>1290</v>
      </c>
      <c s="12">
        <v>445</v>
      </c>
      <c s="29">
        <v>1735</v>
      </c>
      <c s="17" t="s">
        <v>552</v>
      </c>
      <c s="12">
        <v>2396</v>
      </c>
      <c s="12">
        <v>770</v>
      </c>
      <c s="29">
        <v>3166</v>
      </c>
      <c s="17" t="s">
        <v>552</v>
      </c>
    </row>
    <row>
      <c s="27" t="s">
        <v>509</v>
      </c>
      <c s="27" t="s">
        <v>507</v>
      </c>
      <c s="27" t="s">
        <v>509</v>
      </c>
      <c s="12">
        <v>364</v>
      </c>
      <c s="12">
        <v>180</v>
      </c>
      <c s="29">
        <v>544</v>
      </c>
      <c s="17" t="s">
        <v>552</v>
      </c>
      <c s="12">
        <v>374</v>
      </c>
      <c s="12">
        <v>223</v>
      </c>
      <c s="29">
        <v>597</v>
      </c>
      <c s="17" t="s">
        <v>552</v>
      </c>
      <c s="12">
        <v>346</v>
      </c>
      <c s="12">
        <v>190</v>
      </c>
      <c s="29">
        <v>536</v>
      </c>
      <c s="17" t="s">
        <v>552</v>
      </c>
    </row>
    <row>
      <c s="27" t="s">
        <v>219</v>
      </c>
      <c s="27" t="s">
        <v>84</v>
      </c>
      <c s="27" t="s">
        <v>219</v>
      </c>
      <c s="12">
        <v>352</v>
      </c>
      <c s="12">
        <v>197</v>
      </c>
      <c s="29">
        <v>549</v>
      </c>
      <c s="17" t="s">
        <v>552</v>
      </c>
      <c s="12">
        <v>411</v>
      </c>
      <c s="12">
        <v>198</v>
      </c>
      <c s="29">
        <v>609</v>
      </c>
      <c s="17" t="s">
        <v>552</v>
      </c>
      <c s="12">
        <v>366</v>
      </c>
      <c s="12">
        <v>126</v>
      </c>
      <c s="29">
        <v>492</v>
      </c>
      <c s="17" t="s">
        <v>552</v>
      </c>
    </row>
    <row>
      <c s="27" t="s">
        <v>261</v>
      </c>
      <c s="27" t="s">
        <v>550</v>
      </c>
      <c s="27" t="s">
        <v>328</v>
      </c>
      <c s="12">
        <v>403</v>
      </c>
      <c s="12">
        <v>250</v>
      </c>
      <c s="29">
        <v>653</v>
      </c>
      <c s="17" t="s">
        <v>552</v>
      </c>
      <c s="12">
        <v>449</v>
      </c>
      <c s="12">
        <v>235</v>
      </c>
      <c s="29">
        <v>684</v>
      </c>
      <c s="17" t="s">
        <v>552</v>
      </c>
      <c s="12">
        <v>432</v>
      </c>
      <c s="12">
        <v>208</v>
      </c>
      <c s="29">
        <v>640</v>
      </c>
      <c s="17" t="s">
        <v>552</v>
      </c>
    </row>
    <row>
      <c s="27" t="s">
        <v>41</v>
      </c>
      <c s="27" t="s">
        <v>116</v>
      </c>
      <c s="27" t="s">
        <v>156</v>
      </c>
      <c s="12">
        <v>247</v>
      </c>
      <c s="12">
        <v>220</v>
      </c>
      <c s="29">
        <v>467</v>
      </c>
      <c s="17" t="s">
        <v>552</v>
      </c>
      <c s="12">
        <v>146</v>
      </c>
      <c s="12">
        <v>169</v>
      </c>
      <c s="29">
        <v>315</v>
      </c>
      <c s="17" t="s">
        <v>552</v>
      </c>
      <c s="12">
        <v>102</v>
      </c>
      <c s="12">
        <v>70</v>
      </c>
      <c s="29">
        <v>172</v>
      </c>
      <c s="17" t="s">
        <v>552</v>
      </c>
    </row>
    <row>
      <c s="27" t="s">
        <v>551</v>
      </c>
      <c s="27" t="s">
        <v>436</v>
      </c>
      <c s="27" t="s">
        <v>554</v>
      </c>
      <c s="12">
        <v>89</v>
      </c>
      <c s="12">
        <v>54</v>
      </c>
      <c s="29">
        <v>143</v>
      </c>
      <c s="17" t="s">
        <v>552</v>
      </c>
      <c s="12">
        <v>70</v>
      </c>
      <c s="12">
        <v>72</v>
      </c>
      <c s="29">
        <v>142</v>
      </c>
      <c s="17" t="s">
        <v>552</v>
      </c>
      <c s="12">
        <v>106</v>
      </c>
      <c s="12">
        <v>11</v>
      </c>
      <c s="29">
        <v>117</v>
      </c>
      <c s="17" t="s">
        <v>552</v>
      </c>
    </row>
    <row>
      <c s="27" t="s">
        <v>81</v>
      </c>
      <c s="27" t="s">
        <v>220</v>
      </c>
      <c s="27" t="s">
        <v>81</v>
      </c>
      <c s="12">
        <v>185</v>
      </c>
      <c s="12">
        <v>81</v>
      </c>
      <c s="29">
        <v>266</v>
      </c>
      <c s="17" t="s">
        <v>552</v>
      </c>
      <c s="12">
        <v>245</v>
      </c>
      <c s="12">
        <v>111</v>
      </c>
      <c s="29">
        <v>356</v>
      </c>
      <c s="17" t="s">
        <v>552</v>
      </c>
      <c s="12">
        <v>305</v>
      </c>
      <c s="12">
        <v>98</v>
      </c>
      <c s="29">
        <v>403</v>
      </c>
      <c s="17" t="s">
        <v>552</v>
      </c>
    </row>
    <row>
      <c s="27" t="s">
        <v>260</v>
      </c>
      <c s="27" t="s">
        <v>366</v>
      </c>
      <c s="27" t="s">
        <v>40</v>
      </c>
      <c s="12">
        <v>310</v>
      </c>
      <c s="12">
        <v>113</v>
      </c>
      <c s="29">
        <v>423</v>
      </c>
      <c s="17" t="s">
        <v>552</v>
      </c>
      <c s="12">
        <v>262</v>
      </c>
      <c s="12">
        <v>108</v>
      </c>
      <c s="29">
        <v>370</v>
      </c>
      <c s="17" t="s">
        <v>552</v>
      </c>
      <c s="12">
        <v>235</v>
      </c>
      <c s="12">
        <v>89</v>
      </c>
      <c s="29">
        <v>324</v>
      </c>
      <c s="17" t="s">
        <v>552</v>
      </c>
    </row>
    <row>
      <c s="27" t="s">
        <v>79</v>
      </c>
      <c s="27" t="s">
        <v>513</v>
      </c>
      <c s="27" t="s">
        <v>438</v>
      </c>
      <c s="12">
        <v>174</v>
      </c>
      <c s="12">
        <v>153</v>
      </c>
      <c s="29">
        <v>327</v>
      </c>
      <c s="17" t="s">
        <v>552</v>
      </c>
      <c s="12">
        <v>125</v>
      </c>
      <c s="12">
        <v>120</v>
      </c>
      <c s="29">
        <v>245</v>
      </c>
      <c s="17" t="s">
        <v>552</v>
      </c>
      <c s="12">
        <v>124</v>
      </c>
      <c s="12">
        <v>86</v>
      </c>
      <c s="29">
        <v>210</v>
      </c>
      <c s="17" t="s">
        <v>552</v>
      </c>
    </row>
    <row>
      <c s="27" t="s">
        <v>77</v>
      </c>
      <c s="27" t="s">
        <v>83</v>
      </c>
      <c s="27" t="s">
        <v>77</v>
      </c>
      <c s="12">
        <v>156</v>
      </c>
      <c s="12">
        <v>25</v>
      </c>
      <c s="29">
        <v>181</v>
      </c>
      <c s="17" t="s">
        <v>552</v>
      </c>
      <c s="12">
        <v>103</v>
      </c>
      <c s="12">
        <v>58</v>
      </c>
      <c s="29">
        <v>161</v>
      </c>
      <c s="17" t="s">
        <v>552</v>
      </c>
      <c s="12">
        <v>119</v>
      </c>
      <c s="12">
        <v>77</v>
      </c>
      <c s="29">
        <v>196</v>
      </c>
      <c s="17" t="s">
        <v>552</v>
      </c>
    </row>
    <row>
      <c s="27" t="s">
        <v>330</v>
      </c>
      <c s="27" t="s">
        <v>256</v>
      </c>
      <c s="27" t="s">
        <v>512</v>
      </c>
      <c s="12">
        <v>156</v>
      </c>
      <c s="12">
        <v>38</v>
      </c>
      <c s="29">
        <v>194</v>
      </c>
      <c s="17" t="s">
        <v>552</v>
      </c>
      <c s="12">
        <v>152</v>
      </c>
      <c s="12">
        <v>45</v>
      </c>
      <c s="29">
        <v>197</v>
      </c>
      <c s="17" t="s">
        <v>552</v>
      </c>
      <c s="12">
        <v>154</v>
      </c>
      <c s="12">
        <v>46</v>
      </c>
      <c s="29">
        <v>200</v>
      </c>
      <c s="17" t="s">
        <v>552</v>
      </c>
    </row>
    <row>
      <c s="27" t="s">
        <v>257</v>
      </c>
      <c s="27" t="s">
        <v>402</v>
      </c>
      <c s="27" t="s">
        <v>187</v>
      </c>
      <c s="12">
        <v>140</v>
      </c>
      <c s="12">
        <v>94</v>
      </c>
      <c s="29">
        <v>234</v>
      </c>
      <c s="17" t="s">
        <v>552</v>
      </c>
      <c s="12">
        <v>134</v>
      </c>
      <c s="12">
        <v>84</v>
      </c>
      <c s="29">
        <v>218</v>
      </c>
      <c s="17" t="s">
        <v>552</v>
      </c>
      <c s="12">
        <v>128</v>
      </c>
      <c s="12">
        <v>74</v>
      </c>
      <c s="29">
        <v>202</v>
      </c>
      <c s="17" t="s">
        <v>552</v>
      </c>
    </row>
    <row>
      <c s="27" t="s">
        <v>369</v>
      </c>
      <c s="27" t="s">
        <v>549</v>
      </c>
      <c s="27" t="s">
        <v>553</v>
      </c>
      <c s="12">
        <v>512</v>
      </c>
      <c s="12">
        <v>545</v>
      </c>
      <c s="29">
        <v>1057</v>
      </c>
      <c s="17" t="s">
        <v>552</v>
      </c>
      <c s="12">
        <v>457</v>
      </c>
      <c s="12">
        <v>578</v>
      </c>
      <c s="29">
        <v>1035</v>
      </c>
      <c s="17" t="s">
        <v>552</v>
      </c>
      <c s="12">
        <v>449</v>
      </c>
      <c s="12">
        <v>468</v>
      </c>
      <c s="29">
        <v>917</v>
      </c>
      <c s="17" t="s">
        <v>552</v>
      </c>
    </row>
    <row>
      <c s="27" t="s">
        <v>508</v>
      </c>
      <c s="27" t="s">
        <v>115</v>
      </c>
      <c s="27" t="s">
        <v>508</v>
      </c>
      <c s="12">
        <v>388</v>
      </c>
      <c s="12">
        <v>242</v>
      </c>
      <c s="29">
        <v>630</v>
      </c>
      <c s="17" t="s">
        <v>552</v>
      </c>
      <c s="12">
        <v>311</v>
      </c>
      <c s="12">
        <v>237</v>
      </c>
      <c s="29">
        <v>548</v>
      </c>
      <c s="17" t="s">
        <v>552</v>
      </c>
      <c s="12">
        <v>288</v>
      </c>
      <c s="12">
        <v>205</v>
      </c>
      <c s="29">
        <v>493</v>
      </c>
      <c s="17" t="s">
        <v>552</v>
      </c>
    </row>
    <row>
      <c s="27" t="s">
        <v>510</v>
      </c>
      <c s="27" t="s">
        <v>255</v>
      </c>
      <c s="27" t="s">
        <v>510</v>
      </c>
      <c s="12">
        <v>108</v>
      </c>
      <c s="12">
        <v>51</v>
      </c>
      <c s="29">
        <v>159</v>
      </c>
      <c s="17" t="s">
        <v>552</v>
      </c>
      <c s="12">
        <v>111</v>
      </c>
      <c s="12">
        <v>59</v>
      </c>
      <c s="29">
        <v>170</v>
      </c>
      <c s="17" t="s">
        <v>552</v>
      </c>
      <c s="12">
        <v>126</v>
      </c>
      <c s="12">
        <v>50</v>
      </c>
      <c s="29">
        <v>176</v>
      </c>
      <c s="17" t="s">
        <v>552</v>
      </c>
    </row>
    <row>
      <c s="27" t="s">
        <v>118</v>
      </c>
      <c s="27" t="s">
        <v>153</v>
      </c>
      <c s="27" t="s">
        <v>78</v>
      </c>
      <c s="12">
        <v>75</v>
      </c>
      <c s="12">
        <v>43</v>
      </c>
      <c s="29">
        <v>118</v>
      </c>
      <c s="17" t="s">
        <v>552</v>
      </c>
      <c s="12">
        <v>85</v>
      </c>
      <c s="12">
        <v>66</v>
      </c>
      <c s="29">
        <v>151</v>
      </c>
      <c s="17" t="s">
        <v>552</v>
      </c>
      <c s="12">
        <v>80</v>
      </c>
      <c s="12">
        <v>31</v>
      </c>
      <c s="29">
        <v>111</v>
      </c>
      <c s="17" t="s">
        <v>552</v>
      </c>
    </row>
    <row>
      <c s="27" t="s">
        <v>299</v>
      </c>
      <c s="27" t="s">
        <v>301</v>
      </c>
      <c s="27" t="s">
        <v>398</v>
      </c>
      <c s="12">
        <v>44</v>
      </c>
      <c s="12">
        <v>8</v>
      </c>
      <c s="29">
        <v>52</v>
      </c>
      <c s="17" t="s">
        <v>552</v>
      </c>
      <c s="12">
        <v>30</v>
      </c>
      <c s="12">
        <v>8</v>
      </c>
      <c s="29">
        <v>38</v>
      </c>
      <c s="17" t="s">
        <v>552</v>
      </c>
      <c s="12">
        <v>31</v>
      </c>
      <c s="12">
        <v>0</v>
      </c>
      <c s="29">
        <v>31</v>
      </c>
      <c s="17" t="s">
        <v>552</v>
      </c>
    </row>
    <row>
      <c s="27" t="s">
        <v>188</v>
      </c>
      <c s="27" t="s">
        <v>439</v>
      </c>
      <c s="27" t="s">
        <v>547</v>
      </c>
      <c s="12">
        <v>28</v>
      </c>
      <c s="12">
        <v>7</v>
      </c>
      <c s="29">
        <v>35</v>
      </c>
      <c s="17" t="s">
        <v>552</v>
      </c>
      <c s="12">
        <v>27</v>
      </c>
      <c s="12">
        <v>9</v>
      </c>
      <c s="29">
        <v>36</v>
      </c>
      <c s="17" t="s">
        <v>552</v>
      </c>
      <c s="12">
        <v>26</v>
      </c>
      <c s="12">
        <v>5</v>
      </c>
      <c s="29">
        <v>31</v>
      </c>
      <c s="17" t="s">
        <v>552</v>
      </c>
    </row>
    <row>
      <c s="27" t="s">
        <v>117</v>
      </c>
      <c s="27" t="s">
        <v>6</v>
      </c>
      <c s="27" t="s">
        <v>218</v>
      </c>
      <c s="12">
        <v>37</v>
      </c>
      <c s="12">
        <v>2</v>
      </c>
      <c s="29">
        <v>39</v>
      </c>
      <c s="17" t="s">
        <v>552</v>
      </c>
      <c s="12">
        <v>24</v>
      </c>
      <c s="12">
        <v>4</v>
      </c>
      <c s="29">
        <v>28</v>
      </c>
      <c s="17" t="s">
        <v>552</v>
      </c>
      <c s="12">
        <v>27</v>
      </c>
      <c s="12">
        <v>5</v>
      </c>
      <c s="29">
        <v>32</v>
      </c>
      <c s="17" t="s">
        <v>552</v>
      </c>
    </row>
    <row>
      <c s="27" t="s">
        <v>400</v>
      </c>
      <c s="27" t="s">
        <v>152</v>
      </c>
      <c s="27" t="s">
        <v>296</v>
      </c>
      <c s="12">
        <v>54</v>
      </c>
      <c s="12">
        <v>8</v>
      </c>
      <c s="29">
        <v>62</v>
      </c>
      <c s="17" t="s">
        <v>552</v>
      </c>
      <c s="12">
        <v>50</v>
      </c>
      <c s="12">
        <v>21</v>
      </c>
      <c s="29">
        <v>71</v>
      </c>
      <c s="17" t="s">
        <v>552</v>
      </c>
      <c s="12">
        <v>48</v>
      </c>
      <c s="12">
        <v>9</v>
      </c>
      <c s="29">
        <v>57</v>
      </c>
      <c s="17" t="s">
        <v>552</v>
      </c>
    </row>
    <row>
      <c s="27" t="s">
        <v>217</v>
      </c>
      <c s="27" t="s">
        <v>4</v>
      </c>
      <c s="27" t="s">
        <v>155</v>
      </c>
      <c s="12">
        <v>76</v>
      </c>
      <c s="12">
        <v>24</v>
      </c>
      <c s="29">
        <v>100</v>
      </c>
      <c s="17" t="s">
        <v>552</v>
      </c>
      <c s="12">
        <v>110</v>
      </c>
      <c s="12">
        <v>19</v>
      </c>
      <c s="29">
        <v>129</v>
      </c>
      <c s="17" t="s">
        <v>552</v>
      </c>
      <c s="12">
        <v>74</v>
      </c>
      <c s="12">
        <v>13</v>
      </c>
      <c s="29">
        <v>87</v>
      </c>
      <c s="17" t="s">
        <v>552</v>
      </c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61"/>
      <c s="4"/>
      <c s="4"/>
      <c s="4"/>
      <c s="4"/>
      <c s="4"/>
      <c s="4"/>
      <c s="4"/>
      <c s="4"/>
      <c s="4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</sheetData>
  <mergeCells count="11">
    <mergeCell ref="A4:G4"/>
    <mergeCell ref="A6:E6"/>
    <mergeCell ref="A8:G8"/>
    <mergeCell ref="A9:I9"/>
    <mergeCell ref="A10:J10"/>
    <mergeCell ref="D19:G19"/>
    <mergeCell ref="H19:K19"/>
    <mergeCell ref="L19:O19"/>
    <mergeCell ref="D20:G20"/>
    <mergeCell ref="H20:K20"/>
    <mergeCell ref="L20:O20"/>
  </mergeCells>
  <pageMargins left="0.70866141732283472" right="0.70866141732283472" top="0.78740157480314965" bottom="0.78740157480314965" header="0.31496062992125984" footer="0.31496062992125984"/>
  <pageSetup paperSize="9" scale="62" orientation="landscape"/>
  <headerFooter>
    <oddHeader>&amp;L&amp;"Tahoma,Standard"&amp;10unidata.gv.at&amp;R&amp;"Tahoma,Standard"&amp;10&amp;D</oddHeader>
    <oddFooter>&amp;R&amp;"Tahoma,Standard"&amp;10&amp;P/&amp;N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P729"/>
  <sheetViews>
    <sheetView workbookViewId="0"/>
  </sheetViews>
  <sheetFormatPr defaultColWidth="11.42578125" defaultRowHeight="15"/>
  <cols>
    <col min="1" max="1" width="22.42578125" bestFit="1" customWidth="1"/>
    <col min="2" max="2" width="12.42578125" bestFit="1" customWidth="1"/>
    <col min="3" max="3" width="13.85546875" bestFit="1" customWidth="1"/>
    <col min="8" max="8" width="3.85546875" bestFit="1" customWidth="1"/>
    <col min="9" max="11" width="7.85546875" bestFit="1" customWidth="1"/>
    <col min="14" max="16" width="7.85546875" bestFit="1" customWidth="1"/>
  </cols>
  <sheetData>
    <row ht="14.95">
      <c t="s">
        <v>189</v>
      </c>
      <c t="s">
        <v>258</v>
      </c>
      <c t="s">
        <v>42</v>
      </c>
      <c r="I1" t="s">
        <v>290</v>
      </c>
      <c t="s">
        <v>178</v>
      </c>
      <c t="s">
        <v>63</v>
      </c>
      <c r="N1" t="s">
        <v>290</v>
      </c>
      <c t="s">
        <v>178</v>
      </c>
      <c t="s">
        <v>63</v>
      </c>
    </row>
    <row ht="14.95">
      <c t="s">
        <v>503</v>
      </c>
      <c>
        <v>318</v>
      </c>
      <c>
        <v>12576</v>
      </c>
      <c r="H2" s="63" t="s">
        <v>278</v>
      </c>
      <c>
        <f t="shared" si="0" ref="I2:I23">SUMIF($A$2:$A$1000,H2&amp;" Studienjahr 2025/26",$C$2:$C$1000)</f>
        <v>77166</v>
      </c>
      <c>
        <f t="shared" si="1" ref="J2:J23">SUMIF($A$2:$A$1000,H2&amp;" Studienjahr 2024/25",$C$2:$C$1000)</f>
        <v>73761</v>
      </c>
      <c>
        <f t="shared" si="2" ref="K2:K23">SUMIF($A$2:$A$1000,H2&amp;" Studienjahr 2023/24",$C$2:$C$1000)</f>
        <v>70282</v>
      </c>
      <c r="N2">
        <v>26580</v>
      </c>
      <c>
        <v>26580</v>
      </c>
      <c>
        <v>26580</v>
      </c>
    </row>
    <row ht="14.95">
      <c t="s">
        <v>30</v>
      </c>
      <c>
        <v>318</v>
      </c>
      <c>
        <v>11592</v>
      </c>
      <c r="H3" s="77" t="s">
        <v>454</v>
      </c>
      <c>
        <f t="shared" si="0"/>
        <v>77263</v>
      </c>
      <c>
        <f t="shared" si="1"/>
        <v>73804</v>
      </c>
      <c>
        <f t="shared" si="2"/>
        <v>70742</v>
      </c>
      <c r="N3">
        <v>26580</v>
      </c>
      <c>
        <v>26580</v>
      </c>
      <c>
        <v>26580</v>
      </c>
    </row>
    <row ht="14.95">
      <c t="s">
        <v>241</v>
      </c>
      <c>
        <v>318</v>
      </c>
      <c>
        <v>16160</v>
      </c>
      <c r="H4" s="77" t="s">
        <v>18</v>
      </c>
      <c>
        <f t="shared" si="0"/>
        <v>76890</v>
      </c>
      <c>
        <f t="shared" si="1"/>
        <v>73484</v>
      </c>
      <c>
        <f t="shared" si="2"/>
        <v>70200</v>
      </c>
      <c r="N4">
        <v>26580</v>
      </c>
      <c>
        <v>26580</v>
      </c>
      <c>
        <v>26580</v>
      </c>
    </row>
    <row ht="14.95">
      <c t="s">
        <v>137</v>
      </c>
      <c>
        <v>318</v>
      </c>
      <c>
        <v>18651</v>
      </c>
      <c r="H5" s="77" t="s">
        <v>488</v>
      </c>
      <c>
        <f t="shared" si="0"/>
        <v>78335</v>
      </c>
      <c>
        <f t="shared" si="1"/>
        <v>73190</v>
      </c>
      <c>
        <f t="shared" si="2"/>
        <v>70164</v>
      </c>
      <c r="N5">
        <v>26580</v>
      </c>
      <c>
        <v>26580</v>
      </c>
      <c>
        <v>26580</v>
      </c>
    </row>
    <row ht="14.95">
      <c t="s">
        <v>221</v>
      </c>
      <c>
        <v>2658</v>
      </c>
      <c>
        <v>21588</v>
      </c>
      <c r="H6" s="77" t="s">
        <v>57</v>
      </c>
      <c>
        <f t="shared" si="0"/>
        <v>77403</v>
      </c>
      <c>
        <f t="shared" si="1"/>
        <v>74031</v>
      </c>
      <c>
        <f t="shared" si="2"/>
        <v>70317</v>
      </c>
      <c r="N6">
        <v>26580</v>
      </c>
      <c>
        <v>26580</v>
      </c>
      <c>
        <v>26580</v>
      </c>
    </row>
    <row ht="14.95">
      <c t="s">
        <v>331</v>
      </c>
      <c>
        <v>2658</v>
      </c>
      <c>
        <v>24893</v>
      </c>
      <c r="H7" s="77" t="s">
        <v>343</v>
      </c>
      <c>
        <f t="shared" si="0"/>
        <v>77317</v>
      </c>
      <c>
        <f t="shared" si="1"/>
        <v>73982</v>
      </c>
      <c>
        <f t="shared" si="2"/>
        <v>70635</v>
      </c>
      <c r="N7">
        <v>26580</v>
      </c>
      <c>
        <v>26580</v>
      </c>
      <c>
        <v>26580</v>
      </c>
    </row>
    <row ht="14.95">
      <c t="s">
        <v>440</v>
      </c>
      <c>
        <v>2658</v>
      </c>
      <c>
        <v>28439</v>
      </c>
      <c r="H8" s="77" t="str">
        <f>CONCATENATE("U","D")</f>
        <v>UD</v>
      </c>
      <c>
        <f t="shared" si="0"/>
        <v>76933</v>
      </c>
      <c>
        <f t="shared" si="1"/>
        <v>73571</v>
      </c>
      <c>
        <f t="shared" si="2"/>
        <v>70252</v>
      </c>
      <c r="N8">
        <v>26580</v>
      </c>
      <c>
        <v>26580</v>
      </c>
      <c>
        <v>26580</v>
      </c>
    </row>
    <row ht="14.95">
      <c t="s">
        <v>555</v>
      </c>
      <c>
        <v>2658</v>
      </c>
      <c>
        <v>41059</v>
      </c>
      <c r="H9" s="77" t="s">
        <v>312</v>
      </c>
      <c>
        <f t="shared" si="0"/>
        <v>77200</v>
      </c>
      <c>
        <f t="shared" si="1"/>
        <v>73771</v>
      </c>
      <c>
        <f t="shared" si="2"/>
        <v>70690</v>
      </c>
      <c r="N9">
        <v>26580</v>
      </c>
      <c>
        <v>26580</v>
      </c>
      <c>
        <v>26580</v>
      </c>
    </row>
    <row ht="14.95">
      <c t="s">
        <v>85</v>
      </c>
      <c>
        <v>2658</v>
      </c>
      <c>
        <v>42878</v>
      </c>
      <c r="H10" s="77" t="s">
        <v>455</v>
      </c>
      <c>
        <f t="shared" si="0"/>
        <v>77018</v>
      </c>
      <c>
        <f t="shared" si="1"/>
        <v>73593</v>
      </c>
      <c>
        <f t="shared" si="2"/>
        <v>70322</v>
      </c>
      <c r="N10">
        <v>26580</v>
      </c>
      <c>
        <v>26580</v>
      </c>
      <c>
        <v>26580</v>
      </c>
    </row>
    <row ht="14.95">
      <c t="s">
        <v>191</v>
      </c>
      <c>
        <v>2658</v>
      </c>
      <c>
        <v>44321</v>
      </c>
      <c r="H11" s="77" t="s">
        <v>19</v>
      </c>
      <c>
        <f t="shared" si="0"/>
        <v>77382</v>
      </c>
      <c>
        <f t="shared" si="1"/>
        <v>75053</v>
      </c>
      <c>
        <f t="shared" si="2"/>
        <v>70793</v>
      </c>
      <c r="N11">
        <v>26580</v>
      </c>
      <c>
        <v>26580</v>
      </c>
      <c>
        <v>26580</v>
      </c>
    </row>
    <row ht="14.95">
      <c t="s">
        <v>302</v>
      </c>
      <c>
        <v>26580</v>
      </c>
      <c>
        <v>46666</v>
      </c>
      <c r="H12" s="77" t="s">
        <v>172</v>
      </c>
      <c>
        <f t="shared" si="0"/>
        <v>76803</v>
      </c>
      <c>
        <f t="shared" si="1"/>
        <v>74297</v>
      </c>
      <c>
        <f t="shared" si="2"/>
        <v>70678</v>
      </c>
      <c r="N12">
        <v>26580</v>
      </c>
      <c>
        <v>26580</v>
      </c>
      <c>
        <v>26580</v>
      </c>
    </row>
    <row ht="14.95">
      <c t="s">
        <v>403</v>
      </c>
      <c>
        <v>26580</v>
      </c>
      <c>
        <v>51062</v>
      </c>
      <c r="H13" s="77" t="s">
        <v>313</v>
      </c>
      <c>
        <f t="shared" si="0"/>
        <v>77080</v>
      </c>
      <c>
        <f t="shared" si="1"/>
        <v>73265</v>
      </c>
      <c>
        <f t="shared" si="2"/>
        <v>70348</v>
      </c>
      <c r="N13">
        <v>26580</v>
      </c>
      <c>
        <v>26580</v>
      </c>
      <c>
        <v>26580</v>
      </c>
    </row>
    <row ht="14.95">
      <c t="s">
        <v>44</v>
      </c>
      <c>
        <v>26580</v>
      </c>
      <c>
        <v>53449</v>
      </c>
      <c r="H14" s="77" t="s">
        <v>456</v>
      </c>
      <c>
        <f t="shared" si="0"/>
        <v>77141</v>
      </c>
      <c>
        <f t="shared" si="1"/>
        <v>73795</v>
      </c>
      <c>
        <f t="shared" si="2"/>
        <v>70929</v>
      </c>
      <c r="N14">
        <v>26580</v>
      </c>
      <c>
        <v>26580</v>
      </c>
      <c>
        <v>26580</v>
      </c>
    </row>
    <row ht="14.95">
      <c t="s">
        <v>526</v>
      </c>
      <c>
        <v>26580</v>
      </c>
      <c>
        <v>57766</v>
      </c>
      <c r="H15" s="77" t="s">
        <v>58</v>
      </c>
      <c>
        <f t="shared" si="0"/>
        <v>76835</v>
      </c>
      <c>
        <f t="shared" si="1"/>
        <v>73386</v>
      </c>
      <c>
        <f t="shared" si="2"/>
        <v>69975</v>
      </c>
      <c r="N15">
        <v>26580</v>
      </c>
      <c>
        <v>26580</v>
      </c>
      <c>
        <v>26580</v>
      </c>
    </row>
    <row ht="14.95">
      <c t="s">
        <v>62</v>
      </c>
      <c>
        <v>26580</v>
      </c>
      <c>
        <v>65511</v>
      </c>
      <c r="H16" s="77" t="s">
        <v>203</v>
      </c>
      <c>
        <f t="shared" si="0"/>
        <v>77114</v>
      </c>
      <c>
        <f t="shared" si="1"/>
        <v>74654</v>
      </c>
      <c>
        <f t="shared" si="2"/>
        <v>70781</v>
      </c>
      <c r="N16">
        <v>26580</v>
      </c>
      <c>
        <v>26580</v>
      </c>
      <c>
        <v>26580</v>
      </c>
    </row>
    <row ht="14.95">
      <c t="s">
        <v>177</v>
      </c>
      <c>
        <v>26580</v>
      </c>
      <c>
        <v>67822</v>
      </c>
      <c r="H17" s="77" t="s">
        <v>59</v>
      </c>
      <c>
        <f t="shared" si="0"/>
        <v>78475</v>
      </c>
      <c>
        <f t="shared" si="1"/>
        <v>75362</v>
      </c>
      <c>
        <f t="shared" si="2"/>
        <v>70438</v>
      </c>
      <c r="N17">
        <v>26580</v>
      </c>
      <c>
        <v>26580</v>
      </c>
      <c>
        <v>26580</v>
      </c>
    </row>
    <row ht="14.95">
      <c t="s">
        <v>285</v>
      </c>
      <c>
        <v>26580</v>
      </c>
      <c>
        <v>70282</v>
      </c>
      <c r="H18" s="77" t="s">
        <v>233</v>
      </c>
      <c>
        <f t="shared" si="0"/>
        <v>77554</v>
      </c>
      <c>
        <f t="shared" si="1"/>
        <v>74080</v>
      </c>
      <c>
        <f t="shared" si="2"/>
        <v>70903</v>
      </c>
      <c r="N18">
        <v>26580</v>
      </c>
      <c>
        <v>26580</v>
      </c>
      <c>
        <v>26580</v>
      </c>
    </row>
    <row ht="14.95">
      <c t="s">
        <v>392</v>
      </c>
      <c>
        <v>26580</v>
      </c>
      <c>
        <v>73761</v>
      </c>
      <c r="H19" s="77" t="s">
        <v>384</v>
      </c>
      <c>
        <f t="shared" si="0"/>
        <v>77038</v>
      </c>
      <c>
        <f t="shared" si="1"/>
        <v>73629</v>
      </c>
      <c>
        <f t="shared" si="2"/>
        <v>70590</v>
      </c>
      <c r="N19">
        <v>26580</v>
      </c>
      <c>
        <v>26580</v>
      </c>
      <c>
        <v>26580</v>
      </c>
    </row>
    <row ht="14.95">
      <c t="s">
        <v>504</v>
      </c>
      <c>
        <v>26580</v>
      </c>
      <c>
        <v>77166</v>
      </c>
      <c r="H20" s="77" t="s">
        <v>525</v>
      </c>
      <c>
        <f t="shared" si="0"/>
        <v>77220</v>
      </c>
      <c>
        <f t="shared" si="1"/>
        <v>73933</v>
      </c>
      <c>
        <f t="shared" si="2"/>
        <v>70867</v>
      </c>
      <c r="N20">
        <v>26580</v>
      </c>
      <c>
        <v>26580</v>
      </c>
      <c>
        <v>26580</v>
      </c>
    </row>
    <row ht="14.95">
      <c t="s">
        <v>536</v>
      </c>
      <c>
        <v>318</v>
      </c>
      <c>
        <v>13217</v>
      </c>
      <c r="H21" s="77" t="s">
        <v>99</v>
      </c>
      <c>
        <f t="shared" si="0"/>
        <v>76754</v>
      </c>
      <c>
        <f t="shared" si="1"/>
        <v>73468</v>
      </c>
      <c>
        <f t="shared" si="2"/>
        <v>70451</v>
      </c>
      <c r="N21">
        <v>26580</v>
      </c>
      <c>
        <v>26580</v>
      </c>
      <c>
        <v>26580</v>
      </c>
    </row>
    <row ht="14.95">
      <c t="s">
        <v>70</v>
      </c>
      <c>
        <v>318</v>
      </c>
      <c>
        <v>13223</v>
      </c>
      <c r="H22" s="77" t="s">
        <v>489</v>
      </c>
      <c>
        <f t="shared" si="0"/>
        <v>76866</v>
      </c>
      <c>
        <f t="shared" si="1"/>
        <v>73452</v>
      </c>
      <c>
        <f t="shared" si="2"/>
        <v>70504</v>
      </c>
      <c r="N22">
        <v>26580</v>
      </c>
      <c>
        <v>26580</v>
      </c>
      <c>
        <v>26580</v>
      </c>
    </row>
    <row ht="14.95">
      <c t="s">
        <v>288</v>
      </c>
      <c>
        <v>318</v>
      </c>
      <c>
        <v>16049</v>
      </c>
      <c r="H23" s="77" t="s">
        <v>344</v>
      </c>
      <c>
        <f t="shared" si="0"/>
        <v>76999</v>
      </c>
      <c>
        <f t="shared" si="1"/>
        <v>73690</v>
      </c>
      <c>
        <f t="shared" si="2"/>
        <v>70725</v>
      </c>
      <c r="N23">
        <v>26580</v>
      </c>
      <c>
        <v>26580</v>
      </c>
      <c>
        <v>26580</v>
      </c>
    </row>
    <row ht="14.95">
      <c t="s">
        <v>180</v>
      </c>
      <c>
        <v>318</v>
      </c>
      <c>
        <v>19139</v>
      </c>
    </row>
    <row ht="14.95">
      <c t="s">
        <v>263</v>
      </c>
      <c>
        <v>2658</v>
      </c>
      <c>
        <v>22761</v>
      </c>
    </row>
    <row ht="14.95">
      <c t="s">
        <v>370</v>
      </c>
      <c>
        <v>2658</v>
      </c>
      <c>
        <v>25175</v>
      </c>
    </row>
    <row ht="14.95">
      <c t="s">
        <v>475</v>
      </c>
      <c>
        <v>2658</v>
      </c>
      <c>
        <v>28478</v>
      </c>
    </row>
    <row ht="14.95">
      <c t="s">
        <v>7</v>
      </c>
      <c>
        <v>2658</v>
      </c>
      <c>
        <v>41072</v>
      </c>
    </row>
    <row ht="14.95">
      <c t="s">
        <v>119</v>
      </c>
      <c>
        <v>2658</v>
      </c>
      <c>
        <v>43381</v>
      </c>
    </row>
    <row ht="14.95">
      <c t="s">
        <v>222</v>
      </c>
      <c>
        <v>2658</v>
      </c>
      <c>
        <v>44202</v>
      </c>
    </row>
    <row ht="14.95">
      <c t="s">
        <v>332</v>
      </c>
      <c>
        <v>26580</v>
      </c>
      <c>
        <v>45954</v>
      </c>
    </row>
    <row ht="14.95">
      <c t="s">
        <v>441</v>
      </c>
      <c>
        <v>26580</v>
      </c>
      <c>
        <v>49508</v>
      </c>
    </row>
    <row ht="14.95">
      <c t="s">
        <v>86</v>
      </c>
      <c>
        <v>26580</v>
      </c>
      <c>
        <v>53485</v>
      </c>
    </row>
    <row ht="14.95">
      <c t="s">
        <v>567</v>
      </c>
      <c>
        <v>26580</v>
      </c>
      <c>
        <v>59579</v>
      </c>
    </row>
    <row ht="14.95">
      <c t="s">
        <v>102</v>
      </c>
      <c>
        <v>26580</v>
      </c>
      <c>
        <v>65421</v>
      </c>
    </row>
    <row ht="14.95">
      <c t="s">
        <v>206</v>
      </c>
      <c>
        <v>26580</v>
      </c>
      <c>
        <v>68039</v>
      </c>
    </row>
    <row ht="14.95">
      <c t="s">
        <v>319</v>
      </c>
      <c>
        <v>26580</v>
      </c>
      <c>
        <v>70742</v>
      </c>
    </row>
    <row ht="14.95">
      <c t="s">
        <v>414</v>
      </c>
      <c>
        <v>26580</v>
      </c>
      <c>
        <v>73804</v>
      </c>
    </row>
    <row ht="14.95">
      <c t="s">
        <v>538</v>
      </c>
      <c>
        <v>26580</v>
      </c>
      <c>
        <v>77263</v>
      </c>
    </row>
    <row ht="14.95">
      <c t="s">
        <v>32</v>
      </c>
      <c>
        <v>318</v>
      </c>
      <c>
        <v>8020</v>
      </c>
    </row>
    <row ht="14.95">
      <c t="s">
        <v>139</v>
      </c>
      <c>
        <v>318</v>
      </c>
      <c>
        <v>13165</v>
      </c>
    </row>
    <row ht="14.95">
      <c t="s">
        <v>353</v>
      </c>
      <c>
        <v>318</v>
      </c>
      <c>
        <v>16099</v>
      </c>
    </row>
    <row ht="14.95">
      <c t="s">
        <v>333</v>
      </c>
      <c>
        <v>2658</v>
      </c>
      <c>
        <v>22937</v>
      </c>
    </row>
    <row ht="14.95">
      <c t="s">
        <v>442</v>
      </c>
      <c>
        <v>2658</v>
      </c>
      <c>
        <v>24744</v>
      </c>
    </row>
    <row ht="14.95">
      <c t="s">
        <v>556</v>
      </c>
      <c>
        <v>2658</v>
      </c>
      <c>
        <v>28423</v>
      </c>
    </row>
    <row ht="14.95">
      <c t="s">
        <v>87</v>
      </c>
      <c>
        <v>2658</v>
      </c>
      <c>
        <v>40963</v>
      </c>
    </row>
    <row ht="14.95">
      <c t="s">
        <v>192</v>
      </c>
      <c>
        <v>2658</v>
      </c>
      <c>
        <v>42643</v>
      </c>
    </row>
    <row ht="14.95">
      <c t="s">
        <v>303</v>
      </c>
      <c>
        <v>2658</v>
      </c>
      <c>
        <v>44278</v>
      </c>
    </row>
    <row ht="14.95">
      <c t="s">
        <v>404</v>
      </c>
      <c>
        <v>26580</v>
      </c>
      <c>
        <v>46137</v>
      </c>
    </row>
    <row ht="14.95">
      <c t="s">
        <v>514</v>
      </c>
      <c>
        <v>26580</v>
      </c>
      <c>
        <v>49604</v>
      </c>
    </row>
    <row ht="14.95">
      <c t="s">
        <v>157</v>
      </c>
      <c>
        <v>26580</v>
      </c>
      <c>
        <v>53133</v>
      </c>
    </row>
    <row ht="14.95">
      <c t="s">
        <v>60</v>
      </c>
      <c>
        <v>26580</v>
      </c>
      <c>
        <v>57698</v>
      </c>
    </row>
    <row ht="14.95">
      <c t="s">
        <v>175</v>
      </c>
      <c>
        <v>26580</v>
      </c>
      <c>
        <v>65006</v>
      </c>
    </row>
    <row ht="14.95">
      <c t="s">
        <v>283</v>
      </c>
      <c>
        <v>26580</v>
      </c>
      <c>
        <v>67563</v>
      </c>
    </row>
    <row ht="14.95">
      <c t="s">
        <v>393</v>
      </c>
      <c>
        <v>26580</v>
      </c>
      <c>
        <v>70200</v>
      </c>
    </row>
    <row ht="14.95">
      <c t="s">
        <v>499</v>
      </c>
      <c>
        <v>26580</v>
      </c>
      <c>
        <v>73484</v>
      </c>
    </row>
    <row ht="14.95">
      <c t="s">
        <v>34</v>
      </c>
      <c>
        <v>26580</v>
      </c>
      <c>
        <v>76890</v>
      </c>
    </row>
    <row ht="14.95">
      <c t="s">
        <v>213</v>
      </c>
      <c>
        <v>318</v>
      </c>
      <c>
        <v>13234</v>
      </c>
    </row>
    <row ht="14.95">
      <c t="s">
        <v>419</v>
      </c>
      <c>
        <v>318</v>
      </c>
      <c>
        <v>18332</v>
      </c>
    </row>
    <row ht="14.95">
      <c t="s">
        <v>321</v>
      </c>
      <c>
        <v>318</v>
      </c>
      <c>
        <v>18973</v>
      </c>
    </row>
    <row ht="14.95">
      <c t="s">
        <v>405</v>
      </c>
      <c>
        <v>2658</v>
      </c>
      <c>
        <v>22744</v>
      </c>
    </row>
    <row ht="14.95">
      <c t="s">
        <v>476</v>
      </c>
      <c>
        <v>2658</v>
      </c>
      <c>
        <v>25189</v>
      </c>
    </row>
    <row ht="14.95">
      <c t="s">
        <v>8</v>
      </c>
      <c>
        <v>2658</v>
      </c>
      <c>
        <v>29307</v>
      </c>
    </row>
    <row ht="14.95">
      <c t="s">
        <v>120</v>
      </c>
      <c>
        <v>2658</v>
      </c>
      <c>
        <v>41494</v>
      </c>
    </row>
    <row ht="14.95">
      <c t="s">
        <v>223</v>
      </c>
      <c>
        <v>2658</v>
      </c>
      <c>
        <v>42546</v>
      </c>
    </row>
    <row ht="14.95">
      <c t="s">
        <v>334</v>
      </c>
      <c>
        <v>2658</v>
      </c>
      <c>
        <v>44923</v>
      </c>
    </row>
    <row ht="14.95">
      <c t="s">
        <v>443</v>
      </c>
      <c>
        <v>26580</v>
      </c>
      <c>
        <v>45863</v>
      </c>
    </row>
    <row ht="14.95">
      <c t="s">
        <v>557</v>
      </c>
      <c>
        <v>26580</v>
      </c>
      <c>
        <v>47879</v>
      </c>
    </row>
    <row ht="14.95">
      <c t="s">
        <v>193</v>
      </c>
      <c>
        <v>26580</v>
      </c>
      <c>
        <v>52581</v>
      </c>
    </row>
    <row ht="14.95">
      <c t="s">
        <v>100</v>
      </c>
      <c>
        <v>26580</v>
      </c>
      <c>
        <v>59452</v>
      </c>
    </row>
    <row ht="14.95">
      <c t="s">
        <v>204</v>
      </c>
      <c>
        <v>26580</v>
      </c>
      <c>
        <v>65270</v>
      </c>
    </row>
    <row ht="14.95">
      <c t="s">
        <v>314</v>
      </c>
      <c>
        <v>26580</v>
      </c>
      <c>
        <v>67956</v>
      </c>
    </row>
    <row ht="14.95">
      <c t="s">
        <v>416</v>
      </c>
      <c>
        <v>26580</v>
      </c>
      <c>
        <v>70252</v>
      </c>
    </row>
    <row ht="14.95">
      <c t="s">
        <v>528</v>
      </c>
      <c>
        <v>26580</v>
      </c>
      <c>
        <v>73571</v>
      </c>
    </row>
    <row ht="14.95">
      <c t="s">
        <v>73</v>
      </c>
      <c>
        <v>26580</v>
      </c>
      <c>
        <v>76933</v>
      </c>
    </row>
    <row ht="14.95">
      <c t="s">
        <v>141</v>
      </c>
      <c>
        <v>318</v>
      </c>
      <c>
        <v>14238</v>
      </c>
    </row>
    <row ht="14.95">
      <c t="s">
        <v>242</v>
      </c>
      <c>
        <v>318</v>
      </c>
      <c>
        <v>13488</v>
      </c>
    </row>
    <row ht="14.95">
      <c t="s">
        <v>464</v>
      </c>
      <c>
        <v>318</v>
      </c>
      <c>
        <v>16031</v>
      </c>
    </row>
    <row ht="14.95">
      <c t="s">
        <v>350</v>
      </c>
      <c>
        <v>318</v>
      </c>
      <c>
        <v>18616</v>
      </c>
    </row>
    <row ht="14.95">
      <c t="s">
        <v>444</v>
      </c>
      <c>
        <v>2658</v>
      </c>
      <c>
        <v>21640</v>
      </c>
    </row>
    <row ht="14.95">
      <c t="s">
        <v>558</v>
      </c>
      <c>
        <v>2658</v>
      </c>
      <c>
        <v>24954</v>
      </c>
    </row>
    <row ht="14.95">
      <c t="s">
        <v>88</v>
      </c>
      <c>
        <v>2658</v>
      </c>
      <c>
        <v>28413</v>
      </c>
    </row>
    <row ht="14.95">
      <c t="s">
        <v>194</v>
      </c>
      <c>
        <v>2658</v>
      </c>
      <c>
        <v>40897</v>
      </c>
    </row>
    <row ht="14.95">
      <c t="s">
        <v>304</v>
      </c>
      <c>
        <v>2658</v>
      </c>
      <c>
        <v>42411</v>
      </c>
    </row>
    <row ht="14.95">
      <c t="s">
        <v>406</v>
      </c>
      <c>
        <v>2658</v>
      </c>
      <c>
        <v>44954</v>
      </c>
    </row>
    <row ht="14.95">
      <c t="s">
        <v>515</v>
      </c>
      <c>
        <v>26580</v>
      </c>
      <c>
        <v>45967</v>
      </c>
    </row>
    <row ht="14.95">
      <c t="s">
        <v>45</v>
      </c>
      <c>
        <v>26580</v>
      </c>
      <c>
        <v>49058</v>
      </c>
    </row>
    <row ht="14.95">
      <c t="s">
        <v>264</v>
      </c>
      <c>
        <v>26580</v>
      </c>
      <c>
        <v>52548</v>
      </c>
    </row>
    <row ht="14.95">
      <c t="s">
        <v>173</v>
      </c>
      <c>
        <v>26580</v>
      </c>
      <c>
        <v>59600</v>
      </c>
    </row>
    <row ht="14.95">
      <c t="s">
        <v>281</v>
      </c>
      <c>
        <v>26580</v>
      </c>
      <c>
        <v>65434</v>
      </c>
    </row>
    <row ht="14.95">
      <c t="s">
        <v>390</v>
      </c>
      <c>
        <v>26580</v>
      </c>
      <c>
        <v>68004</v>
      </c>
    </row>
    <row ht="14.95">
      <c t="s">
        <v>501</v>
      </c>
      <c>
        <v>26580</v>
      </c>
      <c>
        <v>70690</v>
      </c>
    </row>
    <row ht="14.95">
      <c t="s">
        <v>25</v>
      </c>
      <c>
        <v>26580</v>
      </c>
      <c>
        <v>73771</v>
      </c>
    </row>
    <row ht="14.95">
      <c t="s">
        <v>144</v>
      </c>
      <c>
        <v>26580</v>
      </c>
      <c>
        <v>77200</v>
      </c>
    </row>
    <row ht="14.95">
      <c t="s">
        <v>214</v>
      </c>
      <c>
        <v>318</v>
      </c>
      <c>
        <v>4009</v>
      </c>
    </row>
    <row ht="14.95">
      <c t="s">
        <v>322</v>
      </c>
      <c>
        <v>318</v>
      </c>
      <c>
        <v>11074</v>
      </c>
    </row>
    <row ht="14.95">
      <c t="s">
        <v>532</v>
      </c>
      <c>
        <v>318</v>
      </c>
      <c>
        <v>15894</v>
      </c>
    </row>
    <row ht="14.95">
      <c t="s">
        <v>418</v>
      </c>
      <c>
        <v>318</v>
      </c>
      <c>
        <v>18516</v>
      </c>
    </row>
    <row ht="14.95">
      <c t="s">
        <v>516</v>
      </c>
      <c>
        <v>2658</v>
      </c>
      <c>
        <v>22660</v>
      </c>
    </row>
    <row ht="14.95">
      <c t="s">
        <v>46</v>
      </c>
      <c>
        <v>2658</v>
      </c>
      <c>
        <v>24829</v>
      </c>
    </row>
    <row ht="14.95">
      <c t="s">
        <v>158</v>
      </c>
      <c>
        <v>2658</v>
      </c>
      <c>
        <v>28210</v>
      </c>
    </row>
    <row ht="14.95">
      <c t="s">
        <v>265</v>
      </c>
      <c>
        <v>2658</v>
      </c>
      <c>
        <v>40834</v>
      </c>
    </row>
    <row ht="14.95">
      <c t="s">
        <v>371</v>
      </c>
      <c>
        <v>2658</v>
      </c>
      <c>
        <v>43541</v>
      </c>
    </row>
    <row ht="14.95">
      <c t="s">
        <v>477</v>
      </c>
      <c>
        <v>2658</v>
      </c>
      <c>
        <v>44039</v>
      </c>
    </row>
    <row ht="14.95">
      <c t="s">
        <v>9</v>
      </c>
      <c>
        <v>26580</v>
      </c>
      <c>
        <v>45849</v>
      </c>
    </row>
    <row ht="14.95">
      <c t="s">
        <v>121</v>
      </c>
      <c>
        <v>26580</v>
      </c>
      <c>
        <v>49138</v>
      </c>
    </row>
    <row ht="14.95">
      <c t="s">
        <v>335</v>
      </c>
      <c>
        <v>26580</v>
      </c>
      <c>
        <v>53213</v>
      </c>
    </row>
    <row ht="14.95">
      <c t="s">
        <v>234</v>
      </c>
      <c>
        <v>26580</v>
      </c>
      <c>
        <v>59711</v>
      </c>
    </row>
    <row ht="14.95">
      <c t="s">
        <v>347</v>
      </c>
      <c>
        <v>26580</v>
      </c>
      <c>
        <v>65241</v>
      </c>
    </row>
    <row ht="14.95">
      <c t="s">
        <v>461</v>
      </c>
      <c>
        <v>26580</v>
      </c>
      <c>
        <v>67728</v>
      </c>
    </row>
    <row ht="14.95">
      <c t="s">
        <v>573</v>
      </c>
      <c>
        <v>26580</v>
      </c>
      <c>
        <v>70322</v>
      </c>
    </row>
    <row ht="14.95">
      <c t="s">
        <v>107</v>
      </c>
      <c>
        <v>26580</v>
      </c>
      <c>
        <v>73593</v>
      </c>
    </row>
    <row ht="14.95">
      <c t="s">
        <v>215</v>
      </c>
      <c>
        <v>26580</v>
      </c>
      <c>
        <v>77018</v>
      </c>
    </row>
    <row ht="14.95">
      <c t="s">
        <v>244</v>
      </c>
      <c>
        <v>318</v>
      </c>
      <c>
        <v>13374</v>
      </c>
    </row>
    <row ht="14.95">
      <c t="s">
        <v>355</v>
      </c>
      <c>
        <v>318</v>
      </c>
      <c>
        <v>11534</v>
      </c>
    </row>
    <row ht="14.95">
      <c t="s">
        <v>576</v>
      </c>
      <c>
        <v>318</v>
      </c>
      <c>
        <v>16142</v>
      </c>
    </row>
    <row ht="14.95">
      <c t="s">
        <v>462</v>
      </c>
      <c>
        <v>318</v>
      </c>
      <c>
        <v>18626</v>
      </c>
    </row>
    <row ht="14.95">
      <c t="s">
        <v>559</v>
      </c>
      <c>
        <v>2658</v>
      </c>
      <c>
        <v>21619</v>
      </c>
    </row>
    <row ht="14.95">
      <c t="s">
        <v>89</v>
      </c>
      <c>
        <v>2658</v>
      </c>
      <c>
        <v>25197</v>
      </c>
    </row>
    <row ht="14.95">
      <c t="s">
        <v>195</v>
      </c>
      <c>
        <v>2658</v>
      </c>
      <c>
        <v>28486</v>
      </c>
    </row>
    <row ht="14.95">
      <c t="s">
        <v>305</v>
      </c>
      <c>
        <v>2658</v>
      </c>
      <c>
        <v>41210</v>
      </c>
    </row>
    <row ht="14.95">
      <c t="s">
        <v>407</v>
      </c>
      <c>
        <v>2658</v>
      </c>
      <c>
        <v>43496</v>
      </c>
    </row>
    <row ht="14.95">
      <c t="s">
        <v>517</v>
      </c>
      <c>
        <v>2658</v>
      </c>
      <c>
        <v>44434</v>
      </c>
    </row>
    <row ht="14.95">
      <c t="s">
        <v>47</v>
      </c>
      <c>
        <v>26580</v>
      </c>
      <c>
        <v>45983</v>
      </c>
    </row>
    <row ht="14.95">
      <c t="s">
        <v>159</v>
      </c>
      <c>
        <v>26580</v>
      </c>
      <c>
        <v>48646</v>
      </c>
    </row>
    <row ht="14.95">
      <c t="s">
        <v>372</v>
      </c>
      <c>
        <v>26580</v>
      </c>
      <c>
        <v>53437</v>
      </c>
    </row>
    <row ht="14.95">
      <c t="s">
        <v>279</v>
      </c>
      <c>
        <v>26580</v>
      </c>
      <c>
        <v>59666</v>
      </c>
    </row>
    <row ht="14.95">
      <c t="s">
        <v>388</v>
      </c>
      <c>
        <v>26580</v>
      </c>
      <c>
        <v>65361</v>
      </c>
    </row>
    <row ht="14.95">
      <c t="s">
        <v>497</v>
      </c>
      <c>
        <v>26580</v>
      </c>
      <c>
        <v>67717</v>
      </c>
    </row>
    <row ht="14.95">
      <c t="s">
        <v>27</v>
      </c>
      <c>
        <v>26580</v>
      </c>
      <c>
        <v>70793</v>
      </c>
    </row>
    <row ht="14.95">
      <c t="s">
        <v>133</v>
      </c>
      <c>
        <v>26580</v>
      </c>
      <c>
        <v>75053</v>
      </c>
    </row>
    <row ht="14.95">
      <c t="s">
        <v>247</v>
      </c>
      <c>
        <v>26580</v>
      </c>
      <c>
        <v>77382</v>
      </c>
    </row>
    <row ht="14.95">
      <c t="s">
        <v>323</v>
      </c>
      <c>
        <v>318</v>
      </c>
      <c>
        <v>4029</v>
      </c>
    </row>
    <row ht="14.95">
      <c t="s">
        <v>420</v>
      </c>
      <c>
        <v>318</v>
      </c>
      <c>
        <v>12645</v>
      </c>
    </row>
    <row ht="14.95">
      <c t="s">
        <v>67</v>
      </c>
      <c>
        <v>318</v>
      </c>
      <c>
        <v>15831</v>
      </c>
    </row>
    <row ht="14.95">
      <c t="s">
        <v>530</v>
      </c>
      <c>
        <v>318</v>
      </c>
      <c>
        <v>18482</v>
      </c>
    </row>
    <row ht="14.95">
      <c t="s">
        <v>48</v>
      </c>
      <c>
        <v>2658</v>
      </c>
      <c>
        <v>21731</v>
      </c>
    </row>
    <row ht="14.95">
      <c t="s">
        <v>160</v>
      </c>
      <c>
        <v>2658</v>
      </c>
      <c>
        <v>25721</v>
      </c>
    </row>
    <row ht="14.95">
      <c t="s">
        <v>266</v>
      </c>
      <c>
        <v>2658</v>
      </c>
      <c>
        <v>29033</v>
      </c>
    </row>
    <row ht="14.95">
      <c t="s">
        <v>373</v>
      </c>
      <c>
        <v>2658</v>
      </c>
      <c>
        <v>41064</v>
      </c>
    </row>
    <row ht="14.95">
      <c t="s">
        <v>478</v>
      </c>
      <c>
        <v>2658</v>
      </c>
      <c>
        <v>42351</v>
      </c>
    </row>
    <row ht="14.95">
      <c t="s">
        <v>10</v>
      </c>
      <c>
        <v>2658</v>
      </c>
      <c>
        <v>44588</v>
      </c>
    </row>
    <row ht="14.95">
      <c t="s">
        <v>122</v>
      </c>
      <c>
        <v>26580</v>
      </c>
      <c>
        <v>46191</v>
      </c>
    </row>
    <row ht="14.95">
      <c t="s">
        <v>224</v>
      </c>
      <c>
        <v>26580</v>
      </c>
      <c>
        <v>47707</v>
      </c>
    </row>
    <row ht="14.95">
      <c t="s">
        <v>445</v>
      </c>
      <c>
        <v>26580</v>
      </c>
      <c>
        <v>52708</v>
      </c>
    </row>
    <row ht="14.95">
      <c t="s">
        <v>345</v>
      </c>
      <c>
        <v>26580</v>
      </c>
      <c>
        <v>60246</v>
      </c>
    </row>
    <row ht="14.95">
      <c t="s">
        <v>459</v>
      </c>
      <c>
        <v>26580</v>
      </c>
      <c>
        <v>65198</v>
      </c>
    </row>
    <row ht="14.95">
      <c t="s">
        <v>572</v>
      </c>
      <c>
        <v>26580</v>
      </c>
      <c>
        <v>68231</v>
      </c>
    </row>
    <row ht="14.95">
      <c t="s">
        <v>108</v>
      </c>
      <c>
        <v>26580</v>
      </c>
      <c>
        <v>70678</v>
      </c>
    </row>
    <row ht="14.95">
      <c t="s">
        <v>209</v>
      </c>
      <c>
        <v>26580</v>
      </c>
      <c>
        <v>74297</v>
      </c>
    </row>
    <row ht="14.95">
      <c t="s">
        <v>325</v>
      </c>
      <c>
        <v>26580</v>
      </c>
      <c>
        <v>76803</v>
      </c>
    </row>
    <row ht="14.95">
      <c t="s">
        <v>357</v>
      </c>
      <c>
        <v>318</v>
      </c>
      <c>
        <v>13498</v>
      </c>
    </row>
    <row ht="14.95">
      <c t="s">
        <v>466</v>
      </c>
      <c>
        <v>318</v>
      </c>
      <c>
        <v>12764</v>
      </c>
    </row>
    <row ht="14.95">
      <c t="s">
        <v>109</v>
      </c>
      <c>
        <v>318</v>
      </c>
      <c>
        <v>16195</v>
      </c>
    </row>
    <row ht="14.95">
      <c t="s">
        <v>574</v>
      </c>
      <c>
        <v>318</v>
      </c>
      <c>
        <v>19851</v>
      </c>
    </row>
    <row ht="14.95">
      <c t="s">
        <v>90</v>
      </c>
      <c>
        <v>2658</v>
      </c>
      <c>
        <v>21568</v>
      </c>
    </row>
    <row ht="14.95">
      <c t="s">
        <v>196</v>
      </c>
      <c>
        <v>2658</v>
      </c>
      <c>
        <v>24881</v>
      </c>
    </row>
    <row ht="14.95">
      <c t="s">
        <v>306</v>
      </c>
      <c>
        <v>2658</v>
      </c>
      <c>
        <v>28315</v>
      </c>
    </row>
    <row ht="14.95">
      <c t="s">
        <v>408</v>
      </c>
      <c>
        <v>2658</v>
      </c>
      <c>
        <v>40755</v>
      </c>
    </row>
    <row ht="14.95">
      <c t="s">
        <v>518</v>
      </c>
      <c>
        <v>2658</v>
      </c>
      <c>
        <v>43566</v>
      </c>
    </row>
    <row ht="14.95">
      <c t="s">
        <v>49</v>
      </c>
      <c>
        <v>2658</v>
      </c>
      <c>
        <v>44969</v>
      </c>
    </row>
    <row ht="14.95">
      <c t="s">
        <v>161</v>
      </c>
      <c>
        <v>26580</v>
      </c>
      <c>
        <v>45563</v>
      </c>
    </row>
    <row ht="14.95">
      <c t="s">
        <v>267</v>
      </c>
      <c>
        <v>26580</v>
      </c>
      <c>
        <v>50771</v>
      </c>
    </row>
    <row ht="14.95">
      <c t="s">
        <v>479</v>
      </c>
      <c>
        <v>26580</v>
      </c>
      <c>
        <v>54349</v>
      </c>
    </row>
    <row ht="14.95">
      <c t="s">
        <v>385</v>
      </c>
      <c>
        <v>26580</v>
      </c>
      <c>
        <v>56956</v>
      </c>
    </row>
    <row ht="14.95">
      <c t="s">
        <v>494</v>
      </c>
      <c>
        <v>26580</v>
      </c>
      <c>
        <v>64967</v>
      </c>
    </row>
    <row ht="14.95">
      <c t="s">
        <v>23</v>
      </c>
      <c>
        <v>26580</v>
      </c>
      <c>
        <v>67662</v>
      </c>
    </row>
    <row ht="14.95">
      <c t="s">
        <v>135</v>
      </c>
      <c>
        <v>26580</v>
      </c>
      <c>
        <v>70348</v>
      </c>
    </row>
    <row ht="14.95">
      <c t="s">
        <v>236</v>
      </c>
      <c>
        <v>26580</v>
      </c>
      <c>
        <v>73265</v>
      </c>
    </row>
    <row ht="14.95">
      <c t="s">
        <v>360</v>
      </c>
      <c>
        <v>26580</v>
      </c>
      <c>
        <v>77080</v>
      </c>
    </row>
    <row ht="14.95">
      <c t="s">
        <v>422</v>
      </c>
      <c>
        <v>318</v>
      </c>
      <c>
        <v>3563</v>
      </c>
    </row>
    <row ht="14.95">
      <c t="s">
        <v>533</v>
      </c>
      <c>
        <v>318</v>
      </c>
      <c>
        <v>11493</v>
      </c>
    </row>
    <row ht="14.95">
      <c t="s">
        <v>182</v>
      </c>
      <c>
        <v>318</v>
      </c>
      <c>
        <v>16060</v>
      </c>
    </row>
    <row ht="14.95">
      <c t="s">
        <v>65</v>
      </c>
      <c>
        <v>318</v>
      </c>
      <c>
        <v>18570</v>
      </c>
    </row>
    <row ht="14.95">
      <c t="s">
        <v>162</v>
      </c>
      <c>
        <v>2658</v>
      </c>
      <c>
        <v>22023</v>
      </c>
    </row>
    <row ht="14.95">
      <c t="s">
        <v>268</v>
      </c>
      <c>
        <v>2658</v>
      </c>
      <c>
        <v>25675</v>
      </c>
    </row>
    <row ht="14.95">
      <c t="s">
        <v>374</v>
      </c>
      <c>
        <v>2658</v>
      </c>
      <c>
        <v>28301</v>
      </c>
    </row>
    <row ht="14.95">
      <c t="s">
        <v>480</v>
      </c>
      <c>
        <v>2658</v>
      </c>
      <c>
        <v>40927</v>
      </c>
    </row>
    <row ht="14.95">
      <c t="s">
        <v>11</v>
      </c>
      <c>
        <v>2658</v>
      </c>
      <c>
        <v>42426</v>
      </c>
    </row>
    <row ht="14.95">
      <c t="s">
        <v>123</v>
      </c>
      <c>
        <v>2658</v>
      </c>
      <c>
        <v>44301</v>
      </c>
    </row>
    <row ht="14.95">
      <c t="s">
        <v>225</v>
      </c>
      <c>
        <v>26580</v>
      </c>
      <c>
        <v>46005</v>
      </c>
    </row>
    <row ht="14.95">
      <c t="s">
        <v>336</v>
      </c>
      <c>
        <v>26580</v>
      </c>
      <c>
        <v>49273</v>
      </c>
    </row>
    <row ht="14.95">
      <c t="s">
        <v>560</v>
      </c>
      <c>
        <v>26580</v>
      </c>
      <c>
        <v>52365</v>
      </c>
    </row>
    <row ht="14.95">
      <c t="s">
        <v>457</v>
      </c>
      <c>
        <v>26580</v>
      </c>
      <c>
        <v>59529</v>
      </c>
    </row>
    <row ht="14.95">
      <c t="s">
        <v>570</v>
      </c>
      <c>
        <v>26580</v>
      </c>
      <c>
        <v>65227</v>
      </c>
    </row>
    <row ht="14.95">
      <c t="s">
        <v>105</v>
      </c>
      <c>
        <v>26580</v>
      </c>
      <c>
        <v>67689</v>
      </c>
    </row>
    <row ht="14.95">
      <c t="s">
        <v>210</v>
      </c>
      <c>
        <v>26580</v>
      </c>
      <c>
        <v>70929</v>
      </c>
    </row>
    <row ht="14.95">
      <c t="s">
        <v>316</v>
      </c>
      <c>
        <v>26580</v>
      </c>
      <c>
        <v>73795</v>
      </c>
    </row>
    <row ht="14.95">
      <c t="s">
        <v>426</v>
      </c>
      <c>
        <v>26580</v>
      </c>
      <c>
        <v>77141</v>
      </c>
    </row>
    <row ht="14.95">
      <c t="s">
        <v>226</v>
      </c>
      <c>
        <v>2658</v>
      </c>
      <c>
        <v>21466</v>
      </c>
    </row>
    <row ht="14.95">
      <c t="s">
        <v>337</v>
      </c>
      <c>
        <v>2658</v>
      </c>
      <c>
        <v>25616</v>
      </c>
    </row>
    <row ht="14.95">
      <c t="s">
        <v>446</v>
      </c>
      <c>
        <v>2658</v>
      </c>
      <c>
        <v>29136</v>
      </c>
    </row>
    <row ht="14.95">
      <c t="s">
        <v>561</v>
      </c>
      <c>
        <v>2658</v>
      </c>
      <c>
        <v>40749</v>
      </c>
    </row>
    <row ht="14.95">
      <c t="s">
        <v>91</v>
      </c>
      <c>
        <v>2658</v>
      </c>
      <c>
        <v>43373</v>
      </c>
    </row>
    <row ht="14.95">
      <c t="s">
        <v>163</v>
      </c>
      <c>
        <v>2658</v>
      </c>
      <c>
        <v>43823</v>
      </c>
    </row>
    <row ht="14.95">
      <c t="s">
        <v>269</v>
      </c>
      <c>
        <v>26580</v>
      </c>
      <c>
        <v>45675</v>
      </c>
    </row>
    <row ht="14.95">
      <c t="s">
        <v>375</v>
      </c>
      <c>
        <v>26580</v>
      </c>
      <c>
        <v>50726</v>
      </c>
    </row>
    <row ht="14.95">
      <c t="s">
        <v>50</v>
      </c>
      <c>
        <v>26580</v>
      </c>
      <c>
        <v>54791</v>
      </c>
    </row>
    <row ht="14.95">
      <c t="s">
        <v>492</v>
      </c>
      <c>
        <v>26580</v>
      </c>
      <c>
        <v>57125</v>
      </c>
    </row>
    <row ht="14.95">
      <c t="s">
        <v>21</v>
      </c>
      <c>
        <v>26580</v>
      </c>
      <c>
        <v>64986</v>
      </c>
    </row>
    <row ht="14.95">
      <c t="s">
        <v>131</v>
      </c>
      <c>
        <v>26580</v>
      </c>
      <c>
        <v>67550</v>
      </c>
    </row>
    <row ht="14.95">
      <c t="s">
        <v>239</v>
      </c>
      <c>
        <v>26580</v>
      </c>
      <c>
        <v>69975</v>
      </c>
    </row>
    <row ht="14.95">
      <c t="s">
        <v>348</v>
      </c>
      <c>
        <v>26580</v>
      </c>
      <c>
        <v>73386</v>
      </c>
    </row>
    <row ht="14.95">
      <c t="s">
        <v>470</v>
      </c>
      <c>
        <v>26580</v>
      </c>
      <c>
        <v>76835</v>
      </c>
    </row>
    <row ht="14.95">
      <c t="s">
        <v>537</v>
      </c>
      <c>
        <v>318</v>
      </c>
      <c>
        <v>6152</v>
      </c>
    </row>
    <row ht="14.95">
      <c t="s">
        <v>71</v>
      </c>
      <c>
        <v>318</v>
      </c>
      <c>
        <v>11665</v>
      </c>
    </row>
    <row ht="14.95">
      <c t="s">
        <v>289</v>
      </c>
      <c>
        <v>318</v>
      </c>
      <c>
        <v>16007</v>
      </c>
    </row>
    <row ht="14.95">
      <c t="s">
        <v>181</v>
      </c>
      <c>
        <v>318</v>
      </c>
      <c>
        <v>18706</v>
      </c>
    </row>
    <row ht="14.95">
      <c t="s">
        <v>270</v>
      </c>
      <c>
        <v>2658</v>
      </c>
      <c>
        <v>21904</v>
      </c>
    </row>
    <row ht="14.95">
      <c t="s">
        <v>376</v>
      </c>
      <c>
        <v>2658</v>
      </c>
      <c>
        <v>25200</v>
      </c>
    </row>
    <row ht="14.95">
      <c t="s">
        <v>481</v>
      </c>
      <c>
        <v>2658</v>
      </c>
      <c>
        <v>28575</v>
      </c>
    </row>
    <row ht="14.95">
      <c t="s">
        <v>12</v>
      </c>
      <c>
        <v>2658</v>
      </c>
      <c>
        <v>41221</v>
      </c>
    </row>
    <row ht="14.95">
      <c t="s">
        <v>124</v>
      </c>
      <c>
        <v>2658</v>
      </c>
      <c>
        <v>42740</v>
      </c>
    </row>
    <row ht="14.95">
      <c t="s">
        <v>227</v>
      </c>
      <c>
        <v>2658</v>
      </c>
      <c>
        <v>44591</v>
      </c>
    </row>
    <row ht="14.95">
      <c t="s">
        <v>338</v>
      </c>
      <c>
        <v>26580</v>
      </c>
      <c>
        <v>46110</v>
      </c>
    </row>
    <row ht="14.95">
      <c t="s">
        <v>447</v>
      </c>
      <c>
        <v>26580</v>
      </c>
      <c>
        <v>49725</v>
      </c>
    </row>
    <row ht="14.95">
      <c t="s">
        <v>92</v>
      </c>
      <c>
        <v>26580</v>
      </c>
      <c>
        <v>53625</v>
      </c>
    </row>
    <row ht="14.95">
      <c t="s">
        <v>568</v>
      </c>
      <c>
        <v>26580</v>
      </c>
      <c>
        <v>60085</v>
      </c>
    </row>
    <row ht="14.95">
      <c t="s">
        <v>103</v>
      </c>
      <c>
        <v>26580</v>
      </c>
      <c>
        <v>65641</v>
      </c>
    </row>
    <row ht="14.95">
      <c t="s">
        <v>207</v>
      </c>
      <c>
        <v>26580</v>
      </c>
      <c>
        <v>68119</v>
      </c>
    </row>
    <row ht="14.95">
      <c t="s">
        <v>320</v>
      </c>
      <c>
        <v>26580</v>
      </c>
      <c>
        <v>70781</v>
      </c>
    </row>
    <row ht="14.95">
      <c t="s">
        <v>415</v>
      </c>
      <c>
        <v>26580</v>
      </c>
      <c>
        <v>74654</v>
      </c>
    </row>
    <row ht="14.95">
      <c t="s">
        <v>539</v>
      </c>
      <c>
        <v>26580</v>
      </c>
      <c>
        <v>77114</v>
      </c>
    </row>
    <row ht="14.95">
      <c t="s">
        <v>33</v>
      </c>
      <c>
        <v>318</v>
      </c>
      <c>
        <v>6332</v>
      </c>
    </row>
    <row ht="14.95">
      <c t="s">
        <v>140</v>
      </c>
      <c>
        <v>318</v>
      </c>
      <c>
        <v>11462</v>
      </c>
    </row>
    <row ht="14.95">
      <c t="s">
        <v>354</v>
      </c>
      <c>
        <v>318</v>
      </c>
      <c>
        <v>16685</v>
      </c>
    </row>
    <row ht="14.95">
      <c t="s">
        <v>240</v>
      </c>
      <c>
        <v>318</v>
      </c>
      <c>
        <v>18787</v>
      </c>
    </row>
    <row ht="14.95">
      <c t="s">
        <v>448</v>
      </c>
      <c>
        <v>2658</v>
      </c>
      <c>
        <v>25138</v>
      </c>
    </row>
    <row ht="14.95">
      <c t="s">
        <v>562</v>
      </c>
      <c>
        <v>2658</v>
      </c>
      <c>
        <v>28267</v>
      </c>
    </row>
    <row ht="14.95">
      <c t="s">
        <v>93</v>
      </c>
      <c>
        <v>2658</v>
      </c>
      <c>
        <v>40838</v>
      </c>
    </row>
    <row ht="14.95">
      <c t="s">
        <v>197</v>
      </c>
      <c>
        <v>2658</v>
      </c>
      <c>
        <v>42569</v>
      </c>
    </row>
    <row ht="14.95">
      <c t="s">
        <v>307</v>
      </c>
      <c>
        <v>2658</v>
      </c>
      <c>
        <v>44257</v>
      </c>
    </row>
    <row ht="14.95">
      <c t="s">
        <v>409</v>
      </c>
      <c>
        <v>26580</v>
      </c>
      <c>
        <v>45830</v>
      </c>
    </row>
    <row ht="14.95">
      <c t="s">
        <v>519</v>
      </c>
      <c>
        <v>26580</v>
      </c>
      <c>
        <v>49294</v>
      </c>
    </row>
    <row ht="14.95">
      <c t="s">
        <v>164</v>
      </c>
      <c>
        <v>26580</v>
      </c>
      <c>
        <v>52898</v>
      </c>
    </row>
    <row ht="14.95">
      <c t="s">
        <v>61</v>
      </c>
      <c>
        <v>26580</v>
      </c>
      <c>
        <v>59148</v>
      </c>
    </row>
    <row ht="14.95">
      <c t="s">
        <v>176</v>
      </c>
      <c>
        <v>26580</v>
      </c>
      <c>
        <v>65116</v>
      </c>
    </row>
    <row ht="14.95">
      <c t="s">
        <v>284</v>
      </c>
      <c>
        <v>26580</v>
      </c>
      <c>
        <v>67608</v>
      </c>
    </row>
    <row ht="14.95">
      <c t="s">
        <v>394</v>
      </c>
      <c>
        <v>26580</v>
      </c>
      <c>
        <v>70725</v>
      </c>
    </row>
    <row ht="14.95">
      <c t="s">
        <v>500</v>
      </c>
      <c>
        <v>26580</v>
      </c>
      <c>
        <v>73690</v>
      </c>
    </row>
    <row ht="14.95">
      <c t="s">
        <v>35</v>
      </c>
      <c>
        <v>26580</v>
      </c>
      <c>
        <v>76999</v>
      </c>
    </row>
    <row ht="14.95">
      <c t="s">
        <v>72</v>
      </c>
      <c>
        <v>318</v>
      </c>
      <c>
        <v>4497</v>
      </c>
    </row>
    <row ht="14.95">
      <c t="s">
        <v>184</v>
      </c>
      <c>
        <v>318</v>
      </c>
      <c>
        <v>13730</v>
      </c>
    </row>
    <row ht="14.95">
      <c t="s">
        <v>395</v>
      </c>
      <c>
        <v>318</v>
      </c>
      <c>
        <v>16082</v>
      </c>
    </row>
    <row ht="14.95">
      <c t="s">
        <v>286</v>
      </c>
      <c>
        <v>318</v>
      </c>
      <c>
        <v>19198</v>
      </c>
    </row>
    <row ht="14.95">
      <c t="s">
        <v>377</v>
      </c>
      <c>
        <v>2658</v>
      </c>
      <c>
        <v>21935</v>
      </c>
    </row>
    <row ht="14.95">
      <c t="s">
        <v>482</v>
      </c>
      <c>
        <v>2658</v>
      </c>
      <c>
        <v>25450</v>
      </c>
    </row>
    <row ht="14.95">
      <c t="s">
        <v>13</v>
      </c>
      <c>
        <v>2658</v>
      </c>
      <c>
        <v>28836</v>
      </c>
    </row>
    <row ht="14.95">
      <c t="s">
        <v>125</v>
      </c>
      <c>
        <v>2658</v>
      </c>
      <c>
        <v>41370</v>
      </c>
    </row>
    <row ht="14.95">
      <c t="s">
        <v>228</v>
      </c>
      <c>
        <v>2658</v>
      </c>
      <c>
        <v>43404</v>
      </c>
    </row>
    <row ht="14.95">
      <c t="s">
        <v>339</v>
      </c>
      <c>
        <v>2658</v>
      </c>
      <c>
        <v>44449</v>
      </c>
    </row>
    <row ht="14.95">
      <c t="s">
        <v>449</v>
      </c>
      <c>
        <v>26580</v>
      </c>
      <c>
        <v>45702</v>
      </c>
    </row>
    <row ht="14.95">
      <c t="s">
        <v>563</v>
      </c>
      <c>
        <v>26580</v>
      </c>
      <c>
        <v>48262</v>
      </c>
    </row>
    <row ht="14.95">
      <c t="s">
        <v>198</v>
      </c>
      <c>
        <v>26580</v>
      </c>
      <c>
        <v>52740</v>
      </c>
    </row>
    <row ht="14.95">
      <c t="s">
        <v>101</v>
      </c>
      <c>
        <v>26580</v>
      </c>
      <c>
        <v>58225</v>
      </c>
    </row>
    <row ht="14.95">
      <c t="s">
        <v>205</v>
      </c>
      <c>
        <v>26580</v>
      </c>
      <c>
        <v>65159</v>
      </c>
    </row>
    <row ht="14.95">
      <c t="s">
        <v>315</v>
      </c>
      <c>
        <v>26580</v>
      </c>
      <c>
        <v>67757</v>
      </c>
    </row>
    <row ht="14.95">
      <c t="s">
        <v>417</v>
      </c>
      <c>
        <v>26580</v>
      </c>
      <c>
        <v>70164</v>
      </c>
    </row>
    <row ht="14.95">
      <c t="s">
        <v>529</v>
      </c>
      <c>
        <v>26580</v>
      </c>
      <c>
        <v>73190</v>
      </c>
    </row>
    <row ht="14.95">
      <c t="s">
        <v>74</v>
      </c>
      <c>
        <v>26580</v>
      </c>
      <c>
        <v>78335</v>
      </c>
    </row>
    <row ht="14.95">
      <c t="s">
        <v>142</v>
      </c>
      <c>
        <v>318</v>
      </c>
      <c>
        <v>4372</v>
      </c>
    </row>
    <row ht="14.95">
      <c t="s">
        <v>243</v>
      </c>
      <c>
        <v>318</v>
      </c>
      <c>
        <v>13194</v>
      </c>
    </row>
    <row ht="14.95">
      <c t="s">
        <v>465</v>
      </c>
      <c>
        <v>318</v>
      </c>
      <c>
        <v>17483</v>
      </c>
    </row>
    <row ht="14.95">
      <c t="s">
        <v>351</v>
      </c>
      <c>
        <v>318</v>
      </c>
      <c>
        <v>18965</v>
      </c>
    </row>
    <row ht="14.95">
      <c t="s">
        <v>450</v>
      </c>
      <c>
        <v>2658</v>
      </c>
      <c>
        <v>21666</v>
      </c>
    </row>
    <row ht="14.95">
      <c t="s">
        <v>564</v>
      </c>
      <c>
        <v>2658</v>
      </c>
      <c>
        <v>25038</v>
      </c>
    </row>
    <row ht="14.95">
      <c t="s">
        <v>94</v>
      </c>
      <c>
        <v>2658</v>
      </c>
      <c>
        <v>29106</v>
      </c>
    </row>
    <row ht="14.95">
      <c t="s">
        <v>199</v>
      </c>
      <c>
        <v>2658</v>
      </c>
      <c>
        <v>41598</v>
      </c>
    </row>
    <row ht="14.95">
      <c t="s">
        <v>308</v>
      </c>
      <c>
        <v>2658</v>
      </c>
      <c>
        <v>42861</v>
      </c>
    </row>
    <row ht="14.95">
      <c t="s">
        <v>410</v>
      </c>
      <c>
        <v>2658</v>
      </c>
      <c>
        <v>44470</v>
      </c>
    </row>
    <row ht="14.95">
      <c t="s">
        <v>520</v>
      </c>
      <c>
        <v>26580</v>
      </c>
      <c>
        <v>46065</v>
      </c>
    </row>
    <row ht="14.95">
      <c t="s">
        <v>51</v>
      </c>
      <c>
        <v>26580</v>
      </c>
      <c>
        <v>49112</v>
      </c>
    </row>
    <row ht="14.95">
      <c t="s">
        <v>271</v>
      </c>
      <c>
        <v>26580</v>
      </c>
      <c>
        <v>53452</v>
      </c>
    </row>
    <row ht="14.95">
      <c t="s">
        <v>174</v>
      </c>
      <c>
        <v>26580</v>
      </c>
      <c>
        <v>59969</v>
      </c>
    </row>
    <row ht="14.95">
      <c t="s">
        <v>282</v>
      </c>
      <c>
        <v>26580</v>
      </c>
      <c>
        <v>65607</v>
      </c>
    </row>
    <row ht="14.95">
      <c t="s">
        <v>391</v>
      </c>
      <c>
        <v>26580</v>
      </c>
      <c>
        <v>67794</v>
      </c>
    </row>
    <row ht="14.95">
      <c t="s">
        <v>502</v>
      </c>
      <c>
        <v>26580</v>
      </c>
      <c>
        <v>70317</v>
      </c>
    </row>
    <row ht="14.95">
      <c t="s">
        <v>26</v>
      </c>
      <c>
        <v>26580</v>
      </c>
      <c>
        <v>74031</v>
      </c>
    </row>
    <row ht="14.95">
      <c t="s">
        <v>145</v>
      </c>
      <c>
        <v>26580</v>
      </c>
      <c>
        <v>77403</v>
      </c>
    </row>
    <row ht="14.95">
      <c t="s">
        <v>245</v>
      </c>
      <c>
        <v>318</v>
      </c>
      <c>
        <v>3022</v>
      </c>
    </row>
    <row ht="14.95">
      <c t="s">
        <v>356</v>
      </c>
      <c>
        <v>318</v>
      </c>
      <c>
        <v>12385</v>
      </c>
    </row>
    <row ht="14.95">
      <c t="s">
        <v>577</v>
      </c>
      <c>
        <v>318</v>
      </c>
      <c>
        <v>16390</v>
      </c>
    </row>
    <row ht="14.95">
      <c t="s">
        <v>463</v>
      </c>
      <c>
        <v>318</v>
      </c>
      <c>
        <v>19345</v>
      </c>
    </row>
    <row ht="14.95">
      <c t="s">
        <v>565</v>
      </c>
      <c>
        <v>2658</v>
      </c>
      <c>
        <v>22783</v>
      </c>
    </row>
    <row ht="14.95">
      <c t="s">
        <v>95</v>
      </c>
      <c>
        <v>2658</v>
      </c>
      <c>
        <v>25645</v>
      </c>
    </row>
    <row ht="14.95">
      <c t="s">
        <v>200</v>
      </c>
      <c>
        <v>2658</v>
      </c>
      <c>
        <v>28371</v>
      </c>
    </row>
    <row ht="14.95">
      <c t="s">
        <v>309</v>
      </c>
      <c>
        <v>2658</v>
      </c>
      <c>
        <v>41584</v>
      </c>
    </row>
    <row ht="14.95">
      <c t="s">
        <v>411</v>
      </c>
      <c>
        <v>2658</v>
      </c>
      <c>
        <v>42963</v>
      </c>
    </row>
    <row ht="14.95">
      <c t="s">
        <v>521</v>
      </c>
      <c>
        <v>2658</v>
      </c>
      <c>
        <v>45080</v>
      </c>
    </row>
    <row ht="14.95">
      <c t="s">
        <v>52</v>
      </c>
      <c>
        <v>26580</v>
      </c>
      <c>
        <v>46973</v>
      </c>
    </row>
    <row ht="14.95">
      <c t="s">
        <v>165</v>
      </c>
      <c>
        <v>26580</v>
      </c>
      <c>
        <v>51449</v>
      </c>
    </row>
    <row ht="14.95">
      <c t="s">
        <v>378</v>
      </c>
      <c>
        <v>26580</v>
      </c>
      <c>
        <v>53679</v>
      </c>
    </row>
    <row ht="14.95">
      <c t="s">
        <v>280</v>
      </c>
      <c>
        <v>26580</v>
      </c>
      <c>
        <v>59501</v>
      </c>
    </row>
    <row ht="14.95">
      <c t="s">
        <v>389</v>
      </c>
      <c>
        <v>26580</v>
      </c>
      <c>
        <v>65688</v>
      </c>
    </row>
    <row ht="14.95">
      <c t="s">
        <v>498</v>
      </c>
      <c>
        <v>26580</v>
      </c>
      <c>
        <v>67852</v>
      </c>
    </row>
    <row ht="14.95">
      <c t="s">
        <v>28</v>
      </c>
      <c>
        <v>26580</v>
      </c>
      <c>
        <v>70635</v>
      </c>
    </row>
    <row ht="14.95">
      <c t="s">
        <v>134</v>
      </c>
      <c>
        <v>26580</v>
      </c>
      <c>
        <v>73982</v>
      </c>
    </row>
    <row ht="14.95">
      <c t="s">
        <v>248</v>
      </c>
      <c>
        <v>26580</v>
      </c>
      <c>
        <v>77317</v>
      </c>
    </row>
    <row ht="14.95">
      <c t="s">
        <v>324</v>
      </c>
      <c>
        <v>318</v>
      </c>
      <c>
        <v>4935</v>
      </c>
    </row>
    <row ht="14.95">
      <c t="s">
        <v>421</v>
      </c>
      <c>
        <v>318</v>
      </c>
      <c>
        <v>15476</v>
      </c>
    </row>
    <row ht="14.95">
      <c t="s">
        <v>68</v>
      </c>
      <c>
        <v>318</v>
      </c>
      <c>
        <v>15885</v>
      </c>
    </row>
    <row ht="14.95">
      <c t="s">
        <v>531</v>
      </c>
      <c>
        <v>318</v>
      </c>
      <c>
        <v>18411</v>
      </c>
    </row>
    <row ht="14.95">
      <c t="s">
        <v>53</v>
      </c>
      <c>
        <v>2658</v>
      </c>
      <c>
        <v>21844</v>
      </c>
    </row>
    <row ht="14.95">
      <c t="s">
        <v>166</v>
      </c>
      <c>
        <v>2658</v>
      </c>
      <c>
        <v>25243</v>
      </c>
    </row>
    <row ht="14.95">
      <c t="s">
        <v>272</v>
      </c>
      <c>
        <v>2658</v>
      </c>
      <c>
        <v>28637</v>
      </c>
    </row>
    <row ht="14.95">
      <c t="s">
        <v>379</v>
      </c>
      <c>
        <v>2658</v>
      </c>
      <c>
        <v>40702</v>
      </c>
    </row>
    <row ht="14.95">
      <c t="s">
        <v>483</v>
      </c>
      <c>
        <v>2658</v>
      </c>
      <c>
        <v>43265</v>
      </c>
    </row>
    <row ht="14.95">
      <c t="s">
        <v>14</v>
      </c>
      <c>
        <v>2658</v>
      </c>
      <c>
        <v>44882</v>
      </c>
    </row>
    <row ht="14.95">
      <c t="s">
        <v>126</v>
      </c>
      <c>
        <v>26580</v>
      </c>
      <c>
        <v>45811</v>
      </c>
    </row>
    <row ht="14.95">
      <c t="s">
        <v>229</v>
      </c>
      <c>
        <v>26580</v>
      </c>
      <c>
        <v>48600</v>
      </c>
    </row>
    <row ht="14.95">
      <c t="s">
        <v>451</v>
      </c>
      <c>
        <v>26580</v>
      </c>
      <c>
        <v>52664</v>
      </c>
    </row>
    <row ht="14.95">
      <c t="s">
        <v>346</v>
      </c>
      <c>
        <v>26580</v>
      </c>
      <c>
        <v>59182</v>
      </c>
    </row>
    <row ht="14.95">
      <c t="s">
        <v>460</v>
      </c>
      <c>
        <v>26580</v>
      </c>
      <c>
        <v>65541</v>
      </c>
    </row>
    <row ht="14.95">
      <c t="s">
        <v>527</v>
      </c>
      <c>
        <v>26580</v>
      </c>
      <c>
        <v>67626</v>
      </c>
    </row>
    <row ht="14.95">
      <c t="s">
        <v>64</v>
      </c>
      <c>
        <v>26580</v>
      </c>
      <c>
        <v>70504</v>
      </c>
    </row>
    <row ht="14.95">
      <c t="s">
        <v>179</v>
      </c>
      <c>
        <v>26580</v>
      </c>
      <c>
        <v>73452</v>
      </c>
    </row>
    <row ht="14.95">
      <c t="s">
        <v>291</v>
      </c>
      <c>
        <v>26580</v>
      </c>
      <c>
        <v>76866</v>
      </c>
    </row>
    <row ht="14.95">
      <c t="s">
        <v>358</v>
      </c>
      <c>
        <v>318</v>
      </c>
      <c>
        <v>6925</v>
      </c>
    </row>
    <row ht="14.95">
      <c t="s">
        <v>467</v>
      </c>
      <c>
        <v>318</v>
      </c>
      <c>
        <v>11731</v>
      </c>
    </row>
    <row ht="14.95">
      <c t="s">
        <v>110</v>
      </c>
      <c>
        <v>318</v>
      </c>
      <c>
        <v>16363</v>
      </c>
    </row>
    <row ht="14.95">
      <c t="s">
        <v>575</v>
      </c>
      <c>
        <v>318</v>
      </c>
      <c>
        <v>18776</v>
      </c>
    </row>
    <row ht="14.95">
      <c t="s">
        <v>96</v>
      </c>
      <c>
        <v>2658</v>
      </c>
      <c>
        <v>22916</v>
      </c>
    </row>
    <row ht="14.95">
      <c t="s">
        <v>201</v>
      </c>
      <c>
        <v>2658</v>
      </c>
      <c>
        <v>25117</v>
      </c>
    </row>
    <row ht="14.95">
      <c t="s">
        <v>310</v>
      </c>
      <c>
        <v>2658</v>
      </c>
      <c>
        <v>28502</v>
      </c>
    </row>
    <row ht="14.95">
      <c t="s">
        <v>412</v>
      </c>
      <c>
        <v>2658</v>
      </c>
      <c>
        <v>41100</v>
      </c>
    </row>
    <row ht="14.95">
      <c t="s">
        <v>522</v>
      </c>
      <c>
        <v>2658</v>
      </c>
      <c>
        <v>42901</v>
      </c>
    </row>
    <row ht="14.95">
      <c t="s">
        <v>54</v>
      </c>
      <c>
        <v>2658</v>
      </c>
      <c>
        <v>44138</v>
      </c>
    </row>
    <row ht="14.95">
      <c t="s">
        <v>167</v>
      </c>
      <c>
        <v>26580</v>
      </c>
      <c>
        <v>46072</v>
      </c>
    </row>
    <row ht="14.95">
      <c t="s">
        <v>273</v>
      </c>
      <c>
        <v>26580</v>
      </c>
      <c>
        <v>49928</v>
      </c>
    </row>
    <row ht="14.95">
      <c t="s">
        <v>484</v>
      </c>
      <c>
        <v>26580</v>
      </c>
      <c>
        <v>53040</v>
      </c>
    </row>
    <row ht="14.95">
      <c t="s">
        <v>386</v>
      </c>
      <c>
        <v>26580</v>
      </c>
      <c>
        <v>59266</v>
      </c>
    </row>
    <row ht="14.95">
      <c t="s">
        <v>495</v>
      </c>
      <c>
        <v>26580</v>
      </c>
      <c>
        <v>65334</v>
      </c>
    </row>
    <row ht="14.95">
      <c t="s">
        <v>24</v>
      </c>
      <c>
        <v>26580</v>
      </c>
      <c>
        <v>68086</v>
      </c>
    </row>
    <row ht="14.95">
      <c t="s">
        <v>136</v>
      </c>
      <c>
        <v>26580</v>
      </c>
      <c>
        <v>70438</v>
      </c>
    </row>
    <row ht="14.95">
      <c t="s">
        <v>237</v>
      </c>
      <c>
        <v>26580</v>
      </c>
      <c>
        <v>75362</v>
      </c>
    </row>
    <row ht="14.95">
      <c t="s">
        <v>361</v>
      </c>
      <c>
        <v>26580</v>
      </c>
      <c>
        <v>78475</v>
      </c>
    </row>
    <row ht="14.95">
      <c t="s">
        <v>423</v>
      </c>
      <c>
        <v>318</v>
      </c>
      <c>
        <v>4472</v>
      </c>
    </row>
    <row ht="14.95">
      <c t="s">
        <v>534</v>
      </c>
      <c>
        <v>318</v>
      </c>
      <c>
        <v>14321</v>
      </c>
    </row>
    <row ht="14.95">
      <c t="s">
        <v>183</v>
      </c>
      <c>
        <v>318</v>
      </c>
      <c>
        <v>16234</v>
      </c>
    </row>
    <row ht="14.95">
      <c t="s">
        <v>66</v>
      </c>
      <c>
        <v>318</v>
      </c>
      <c>
        <v>18986</v>
      </c>
    </row>
    <row ht="14.95">
      <c t="s">
        <v>168</v>
      </c>
      <c>
        <v>2658</v>
      </c>
      <c>
        <v>21957</v>
      </c>
    </row>
    <row ht="14.95">
      <c t="s">
        <v>274</v>
      </c>
      <c>
        <v>2658</v>
      </c>
      <c>
        <v>25005</v>
      </c>
    </row>
    <row ht="14.95">
      <c t="s">
        <v>380</v>
      </c>
      <c>
        <v>2658</v>
      </c>
      <c>
        <v>29865</v>
      </c>
    </row>
    <row ht="14.95">
      <c t="s">
        <v>485</v>
      </c>
      <c>
        <v>2658</v>
      </c>
      <c>
        <v>41195</v>
      </c>
    </row>
    <row ht="14.95">
      <c t="s">
        <v>15</v>
      </c>
      <c>
        <v>2658</v>
      </c>
      <c>
        <v>43468</v>
      </c>
    </row>
    <row ht="14.95">
      <c t="s">
        <v>127</v>
      </c>
      <c>
        <v>2658</v>
      </c>
      <c>
        <v>44537</v>
      </c>
    </row>
    <row ht="14.95">
      <c t="s">
        <v>230</v>
      </c>
      <c>
        <v>26580</v>
      </c>
      <c>
        <v>46830</v>
      </c>
    </row>
    <row ht="14.95">
      <c t="s">
        <v>340</v>
      </c>
      <c>
        <v>26580</v>
      </c>
      <c>
        <v>50258</v>
      </c>
    </row>
    <row ht="14.95">
      <c t="s">
        <v>566</v>
      </c>
      <c>
        <v>26580</v>
      </c>
      <c>
        <v>53032</v>
      </c>
    </row>
    <row ht="14.95">
      <c t="s">
        <v>458</v>
      </c>
      <c>
        <v>26580</v>
      </c>
      <c>
        <v>59338</v>
      </c>
    </row>
    <row ht="14.95">
      <c t="s">
        <v>571</v>
      </c>
      <c>
        <v>26580</v>
      </c>
      <c>
        <v>65512</v>
      </c>
    </row>
    <row ht="14.95">
      <c t="s">
        <v>106</v>
      </c>
      <c>
        <v>26580</v>
      </c>
      <c>
        <v>68156</v>
      </c>
    </row>
    <row ht="14.95">
      <c t="s">
        <v>211</v>
      </c>
      <c>
        <v>26580</v>
      </c>
      <c>
        <v>70903</v>
      </c>
    </row>
    <row ht="14.95">
      <c t="s">
        <v>317</v>
      </c>
      <c>
        <v>26580</v>
      </c>
      <c>
        <v>74080</v>
      </c>
    </row>
    <row ht="14.95">
      <c t="s">
        <v>427</v>
      </c>
      <c>
        <v>26580</v>
      </c>
      <c>
        <v>77554</v>
      </c>
    </row>
    <row ht="14.95">
      <c t="s">
        <v>468</v>
      </c>
      <c>
        <v>318</v>
      </c>
      <c>
        <v>4443</v>
      </c>
    </row>
    <row ht="14.95">
      <c t="s">
        <v>578</v>
      </c>
      <c>
        <v>318</v>
      </c>
      <c>
        <v>11617</v>
      </c>
    </row>
    <row ht="14.95">
      <c t="s">
        <v>212</v>
      </c>
      <c>
        <v>318</v>
      </c>
      <c>
        <v>16283</v>
      </c>
    </row>
    <row ht="14.95">
      <c t="s">
        <v>97</v>
      </c>
      <c>
        <v>318</v>
      </c>
      <c>
        <v>18666</v>
      </c>
    </row>
    <row ht="14.95">
      <c t="s">
        <v>202</v>
      </c>
      <c>
        <v>2658</v>
      </c>
      <c>
        <v>22685</v>
      </c>
    </row>
    <row ht="14.95">
      <c t="s">
        <v>311</v>
      </c>
      <c>
        <v>2658</v>
      </c>
      <c>
        <v>24772</v>
      </c>
    </row>
    <row ht="14.95">
      <c t="s">
        <v>413</v>
      </c>
      <c>
        <v>2658</v>
      </c>
      <c>
        <v>28057</v>
      </c>
    </row>
    <row ht="14.95">
      <c t="s">
        <v>523</v>
      </c>
      <c>
        <v>2658</v>
      </c>
      <c>
        <v>40624</v>
      </c>
    </row>
    <row ht="14.95">
      <c t="s">
        <v>55</v>
      </c>
      <c>
        <v>2658</v>
      </c>
      <c>
        <v>43234</v>
      </c>
    </row>
    <row ht="14.95">
      <c t="s">
        <v>169</v>
      </c>
      <c>
        <v>2658</v>
      </c>
      <c>
        <v>43902</v>
      </c>
    </row>
    <row ht="14.95">
      <c t="s">
        <v>275</v>
      </c>
      <c>
        <v>26580</v>
      </c>
      <c>
        <v>45773</v>
      </c>
    </row>
    <row ht="14.95">
      <c t="s">
        <v>381</v>
      </c>
      <c>
        <v>26580</v>
      </c>
      <c>
        <v>48446</v>
      </c>
    </row>
    <row ht="14.95">
      <c t="s">
        <v>16</v>
      </c>
      <c>
        <v>26580</v>
      </c>
      <c>
        <v>52346</v>
      </c>
    </row>
    <row ht="14.95">
      <c t="s">
        <v>493</v>
      </c>
      <c>
        <v>26580</v>
      </c>
      <c>
        <v>59689</v>
      </c>
    </row>
    <row ht="14.95">
      <c t="s">
        <v>22</v>
      </c>
      <c>
        <v>26580</v>
      </c>
      <c>
        <v>65042</v>
      </c>
    </row>
    <row ht="14.95">
      <c t="s">
        <v>132</v>
      </c>
      <c>
        <v>26580</v>
      </c>
      <c>
        <v>69009</v>
      </c>
    </row>
    <row ht="14.95">
      <c t="s">
        <v>238</v>
      </c>
      <c>
        <v>26580</v>
      </c>
      <c>
        <v>70590</v>
      </c>
    </row>
    <row ht="14.95">
      <c t="s">
        <v>359</v>
      </c>
      <c>
        <v>26580</v>
      </c>
      <c>
        <v>73629</v>
      </c>
    </row>
    <row ht="14.95">
      <c t="s">
        <v>471</v>
      </c>
      <c>
        <v>26580</v>
      </c>
      <c>
        <v>77038</v>
      </c>
    </row>
    <row ht="14.95">
      <c t="s">
        <v>535</v>
      </c>
      <c>
        <v>318</v>
      </c>
      <c>
        <v>3578</v>
      </c>
    </row>
    <row ht="14.95">
      <c t="s">
        <v>69</v>
      </c>
      <c>
        <v>318</v>
      </c>
      <c>
        <v>11082</v>
      </c>
    </row>
    <row ht="14.95">
      <c t="s">
        <v>287</v>
      </c>
      <c>
        <v>318</v>
      </c>
      <c>
        <v>15978</v>
      </c>
    </row>
    <row ht="14.95">
      <c t="s">
        <v>170</v>
      </c>
      <c>
        <v>318</v>
      </c>
      <c>
        <v>18539</v>
      </c>
    </row>
    <row ht="14.95">
      <c t="s">
        <v>276</v>
      </c>
      <c>
        <v>2658</v>
      </c>
      <c>
        <v>22888</v>
      </c>
    </row>
    <row ht="14.95">
      <c t="s">
        <v>382</v>
      </c>
      <c>
        <v>2658</v>
      </c>
      <c>
        <v>24510</v>
      </c>
    </row>
    <row ht="14.95">
      <c t="s">
        <v>486</v>
      </c>
      <c>
        <v>2658</v>
      </c>
      <c>
        <v>28311</v>
      </c>
    </row>
    <row ht="14.95">
      <c t="s">
        <v>17</v>
      </c>
      <c>
        <v>2658</v>
      </c>
      <c>
        <v>40670</v>
      </c>
    </row>
    <row ht="14.95">
      <c t="s">
        <v>128</v>
      </c>
      <c>
        <v>2658</v>
      </c>
      <c>
        <v>42300</v>
      </c>
    </row>
    <row ht="14.95">
      <c t="s">
        <v>231</v>
      </c>
      <c>
        <v>2658</v>
      </c>
      <c>
        <v>43962</v>
      </c>
    </row>
    <row ht="14.95">
      <c t="s">
        <v>341</v>
      </c>
      <c>
        <v>26580</v>
      </c>
      <c>
        <v>45749</v>
      </c>
    </row>
    <row ht="14.95">
      <c t="s">
        <v>452</v>
      </c>
      <c>
        <v>26580</v>
      </c>
      <c>
        <v>47779</v>
      </c>
    </row>
    <row ht="14.95">
      <c t="s">
        <v>98</v>
      </c>
      <c>
        <v>26580</v>
      </c>
      <c>
        <v>52530</v>
      </c>
    </row>
    <row ht="14.95">
      <c t="s">
        <v>569</v>
      </c>
      <c>
        <v>26580</v>
      </c>
      <c>
        <v>59892</v>
      </c>
    </row>
    <row ht="14.95">
      <c t="s">
        <v>104</v>
      </c>
      <c>
        <v>26580</v>
      </c>
      <c>
        <v>65585</v>
      </c>
    </row>
    <row ht="14.95">
      <c t="s">
        <v>208</v>
      </c>
      <c>
        <v>26580</v>
      </c>
      <c>
        <v>68067</v>
      </c>
    </row>
    <row ht="14.95">
      <c t="s">
        <v>318</v>
      </c>
      <c>
        <v>26580</v>
      </c>
      <c>
        <v>70867</v>
      </c>
    </row>
    <row ht="14.95">
      <c t="s">
        <v>424</v>
      </c>
      <c>
        <v>26580</v>
      </c>
      <c>
        <v>73933</v>
      </c>
    </row>
    <row ht="14.95">
      <c t="s">
        <v>540</v>
      </c>
      <c>
        <v>26580</v>
      </c>
      <c>
        <v>77220</v>
      </c>
    </row>
    <row ht="14.95">
      <c t="s">
        <v>31</v>
      </c>
      <c>
        <v>318</v>
      </c>
      <c>
        <v>4941</v>
      </c>
    </row>
    <row ht="14.95">
      <c t="s">
        <v>138</v>
      </c>
      <c>
        <v>318</v>
      </c>
      <c>
        <v>11221</v>
      </c>
    </row>
    <row ht="14.95">
      <c t="s">
        <v>352</v>
      </c>
      <c>
        <v>318</v>
      </c>
      <c>
        <v>16779</v>
      </c>
    </row>
    <row ht="14.95">
      <c t="s">
        <v>232</v>
      </c>
      <c>
        <v>318</v>
      </c>
      <c>
        <v>18673</v>
      </c>
    </row>
    <row ht="14.95">
      <c t="s">
        <v>342</v>
      </c>
      <c>
        <v>2658</v>
      </c>
      <c>
        <v>21885</v>
      </c>
    </row>
    <row ht="14.95">
      <c t="s">
        <v>453</v>
      </c>
      <c>
        <v>2658</v>
      </c>
      <c>
        <v>25315</v>
      </c>
    </row>
    <row ht="14.95">
      <c t="s">
        <v>524</v>
      </c>
      <c>
        <v>2658</v>
      </c>
      <c>
        <v>28319</v>
      </c>
    </row>
    <row ht="14.95">
      <c t="s">
        <v>56</v>
      </c>
      <c>
        <v>2658</v>
      </c>
      <c>
        <v>40935</v>
      </c>
    </row>
    <row ht="14.95">
      <c t="s">
        <v>171</v>
      </c>
      <c>
        <v>2658</v>
      </c>
      <c>
        <v>42767</v>
      </c>
    </row>
    <row ht="14.95">
      <c t="s">
        <v>277</v>
      </c>
      <c>
        <v>2658</v>
      </c>
      <c>
        <v>44595</v>
      </c>
    </row>
    <row ht="14.95">
      <c t="s">
        <v>383</v>
      </c>
      <c>
        <v>26580</v>
      </c>
      <c>
        <v>46165</v>
      </c>
    </row>
    <row ht="14.95">
      <c t="s">
        <v>487</v>
      </c>
      <c>
        <v>26580</v>
      </c>
      <c>
        <v>49306</v>
      </c>
    </row>
    <row ht="14.95">
      <c t="s">
        <v>129</v>
      </c>
      <c>
        <v>26580</v>
      </c>
      <c>
        <v>53245</v>
      </c>
    </row>
    <row ht="14.95">
      <c t="s">
        <v>20</v>
      </c>
      <c>
        <v>26580</v>
      </c>
      <c>
        <v>59646</v>
      </c>
    </row>
    <row ht="14.95">
      <c t="s">
        <v>130</v>
      </c>
      <c>
        <v>26580</v>
      </c>
      <c>
        <v>65168</v>
      </c>
    </row>
    <row ht="14.95">
      <c t="s">
        <v>235</v>
      </c>
      <c>
        <v>26580</v>
      </c>
      <c>
        <v>67506</v>
      </c>
    </row>
    <row ht="14.95">
      <c t="s">
        <v>349</v>
      </c>
      <c>
        <v>26580</v>
      </c>
      <c>
        <v>70451</v>
      </c>
    </row>
    <row ht="14.95">
      <c t="s">
        <v>469</v>
      </c>
      <c>
        <v>26580</v>
      </c>
      <c>
        <v>73468</v>
      </c>
    </row>
    <row ht="14.95">
      <c t="s">
        <v>579</v>
      </c>
      <c>
        <v>26580</v>
      </c>
      <c>
        <v>76754</v>
      </c>
    </row>
    <row r="416"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  <row ht="14.95">
      <c s="64"/>
      <c s="35"/>
      <c s="35"/>
    </row>
  </sheetData>
  <pageMargins left="0.7" right="0.7" top="0.787401575" bottom="0.7874015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Z49"/>
  <sheetViews>
    <sheetView topLeftCell="A26" workbookViewId="0">
      <selection activeCell="C50" sqref="C50"/>
    </sheetView>
  </sheetViews>
  <sheetFormatPr defaultColWidth="9.140625" defaultRowHeight="13.6"/>
  <cols>
    <col min="1" max="1" width="13.7109375" style="31" customWidth="1"/>
    <col min="2" max="2" width="40.85546875" style="31" customWidth="1"/>
    <col min="3" max="3" width="28.140625" style="31" customWidth="1"/>
    <col min="4" max="4" width="18.28515625" style="31" customWidth="1"/>
    <col min="5" max="5" width="19.28515625" style="31" customWidth="1"/>
    <col min="6" max="6" width="11.140625" style="31" customWidth="1"/>
    <col min="7" max="7" width="9.140625" style="31"/>
    <col min="8" max="8" width="17.28515625" style="31" customWidth="1"/>
    <col min="9" max="9" width="19.7109375" style="31" customWidth="1"/>
    <col min="10" max="12" width="12.28515625" style="31" customWidth="1"/>
    <col min="13" max="13" width="16" style="31" bestFit="1" customWidth="1"/>
    <col min="14" max="14" width="14.28515625" style="31" bestFit="1" customWidth="1"/>
    <col min="15" max="15" width="18.28515625" style="31" bestFit="1" customWidth="1"/>
    <col min="16" max="25" width="9.140625" style="31"/>
    <col min="26" max="26" width="9.140625" style="31" hidden="1" customWidth="1"/>
    <col min="27" max="16384" width="9.140625" style="31"/>
  </cols>
  <sheetData>
    <row>
      <c s="44"/>
      <c r="H1" s="55">
        <v>129806172700000000</v>
      </c>
      <c r="Z1" s="42" t="b">
        <f>0=1</f>
        <v>0</v>
      </c>
    </row>
    <row>
      <c r="Z2" s="42" t="b">
        <f>1=1</f>
        <v>1</v>
      </c>
    </row>
    <row>
      <c r="Z3" s="42"/>
    </row>
    <row>
      <c r="I4" s="31" t="s">
        <v>185</v>
      </c>
      <c s="75" t="s">
        <v>396</v>
      </c>
      <c s="13"/>
      <c s="13"/>
      <c s="13"/>
      <c s="13"/>
      <c s="13"/>
    </row>
    <row>
      <c r="J5" s="36" t="s">
        <v>146</v>
      </c>
      <c s="22" t="s">
        <v>292</v>
      </c>
      <c s="22" t="s">
        <v>362</v>
      </c>
      <c s="36" t="s">
        <v>541</v>
      </c>
      <c s="68" t="s">
        <v>428</v>
      </c>
      <c s="22" t="s">
        <v>0</v>
      </c>
    </row>
    <row>
      <c r="B6" s="33" t="s">
        <v>429</v>
      </c>
      <c s="26" t="s">
        <v>472</v>
      </c>
      <c s="51" t="s">
        <v>37</v>
      </c>
      <c s="11" t="s">
        <v>293</v>
      </c>
    </row>
    <row>
      <c r="C7" s="24"/>
      <c s="32" t="s">
        <v>38</v>
      </c>
      <c s="11" t="s">
        <v>326</v>
      </c>
    </row>
    <row>
      <c r="C8" s="32" t="s">
        <v>1</v>
      </c>
      <c s="24"/>
    </row>
    <row>
      <c r="C9" s="24"/>
      <c s="26" t="s">
        <v>147</v>
      </c>
      <c s="70"/>
    </row>
    <row>
      <c r="C10" s="26" t="s">
        <v>250</v>
      </c>
      <c s="53" t="s">
        <v>363</v>
      </c>
      <c s="11" t="s">
        <v>75</v>
      </c>
    </row>
    <row>
      <c r="B11" s="33" t="s">
        <v>294</v>
      </c>
      <c s="50" t="s">
        <v>251</v>
      </c>
      <c s="54">
        <v>60398</v>
      </c>
      <c s="11" t="s">
        <v>148</v>
      </c>
    </row>
    <row>
      <c r="B12" s="33"/>
      <c s="67"/>
      <c s="45"/>
      <c s="72" t="s">
        <v>397</v>
      </c>
    </row>
    <row>
      <c r="B13" s="33" t="s">
        <v>252</v>
      </c>
      <c s="66" t="s">
        <v>111</v>
      </c>
      <c s="57">
        <v>1212</v>
      </c>
      <c s="31" t="b">
        <v>0</v>
      </c>
      <c s="11" t="s">
        <v>364</v>
      </c>
    </row>
    <row ht="12.75" hidden="1">
      <c r="B14" s="33"/>
      <c s="66"/>
      <c s="73"/>
      <c s="31" t="b">
        <v>0</v>
      </c>
    </row>
    <row>
      <c r="B15" s="33" t="s">
        <v>473</v>
      </c>
      <c s="31" t="s">
        <v>505</v>
      </c>
      <c s="76">
        <v>1212</v>
      </c>
      <c s="31" t="b">
        <v>0</v>
      </c>
      <c s="11" t="s">
        <v>112</v>
      </c>
    </row>
    <row ht="12.75" hidden="1">
      <c r="B16" s="33"/>
      <c r="D16" s="25"/>
      <c s="31" t="b">
        <v>0</v>
      </c>
      <c s="11"/>
    </row>
    <row>
      <c r="B17" s="33"/>
      <c s="31" t="s">
        <v>149</v>
      </c>
      <c s="80">
        <v>3434</v>
      </c>
      <c s="31" t="b">
        <v>0</v>
      </c>
      <c s="11" t="s">
        <v>365</v>
      </c>
    </row>
    <row>
      <c r="B18" s="33"/>
      <c r="D18" s="25"/>
      <c s="31" t="b">
        <v>0</v>
      </c>
      <c s="11"/>
    </row>
    <row>
      <c r="B19" s="33"/>
      <c s="31" t="s">
        <v>2</v>
      </c>
      <c s="43">
        <v>3434</v>
      </c>
      <c s="31" t="b">
        <v>0</v>
      </c>
      <c s="11" t="s">
        <v>430</v>
      </c>
    </row>
    <row>
      <c r="B20" s="33"/>
      <c r="D20" s="25"/>
      <c s="31" t="b">
        <v>0</v>
      </c>
      <c s="11"/>
    </row>
    <row>
      <c r="B21" s="33"/>
      <c s="31" t="s">
        <v>431</v>
      </c>
      <c s="46">
        <v>5656</v>
      </c>
      <c s="31" t="b">
        <v>0</v>
      </c>
      <c s="11" t="s">
        <v>542</v>
      </c>
    </row>
    <row>
      <c r="B22" s="33"/>
      <c r="E22" s="11"/>
      <c r="I22" s="69"/>
    </row>
    <row>
      <c r="B23" s="39" t="s">
        <v>3</v>
      </c>
      <c s="39"/>
    </row>
    <row>
      <c r="B24" s="10" t="s">
        <v>295</v>
      </c>
      <c s="10" t="s">
        <v>150</v>
      </c>
      <c s="10" t="s">
        <v>39</v>
      </c>
      <c s="10" t="s">
        <v>432</v>
      </c>
      <c s="10"/>
      <c s="10"/>
      <c s="10" t="s">
        <v>543</v>
      </c>
    </row>
    <row ht="25.4">
      <c r="C25" s="79" t="s">
        <v>297</v>
      </c>
      <c s="20" t="s">
        <v>254</v>
      </c>
      <c s="23">
        <v>1234.5599999999999</v>
      </c>
      <c s="11"/>
    </row>
    <row>
      <c r="C26" s="79" t="s">
        <v>298</v>
      </c>
      <c s="34" t="s">
        <v>546</v>
      </c>
      <c s="40">
        <v>1234.5599999999999</v>
      </c>
      <c s="11"/>
    </row>
    <row>
      <c r="C27" s="79" t="s">
        <v>298</v>
      </c>
      <c s="34" t="s">
        <v>546</v>
      </c>
      <c s="40">
        <v>1234.5599999999999</v>
      </c>
    </row>
    <row>
      <c r="C28" s="38" t="s">
        <v>329</v>
      </c>
      <c s="34" t="s">
        <v>253</v>
      </c>
      <c s="74">
        <v>1234.5599999999999</v>
      </c>
    </row>
    <row>
      <c r="C29" s="38" t="s">
        <v>329</v>
      </c>
      <c s="20" t="s">
        <v>327</v>
      </c>
      <c s="23">
        <v>1234.5599999999999</v>
      </c>
    </row>
    <row>
      <c r="C30" s="38" t="s">
        <v>329</v>
      </c>
      <c s="41" t="s">
        <v>113</v>
      </c>
      <c s="60">
        <v>1234.5599999999999</v>
      </c>
    </row>
    <row>
      <c r="C31" s="38" t="s">
        <v>298</v>
      </c>
      <c s="34" t="s">
        <v>76</v>
      </c>
      <c s="40">
        <v>1234.5599999999999</v>
      </c>
    </row>
    <row>
      <c r="C32" s="38" t="s">
        <v>298</v>
      </c>
      <c s="34" t="s">
        <v>435</v>
      </c>
      <c s="40">
        <v>1234.5599999999999</v>
      </c>
    </row>
    <row>
      <c r="C33" s="38" t="s">
        <v>298</v>
      </c>
      <c s="34" t="s">
        <v>190</v>
      </c>
      <c s="40">
        <v>1234.5599999999999</v>
      </c>
    </row>
    <row>
      <c r="C34" s="38" t="s">
        <v>298</v>
      </c>
      <c s="34" t="s">
        <v>80</v>
      </c>
      <c s="40">
        <v>1234.5599999999999</v>
      </c>
    </row>
    <row>
      <c r="C35" s="38" t="s">
        <v>298</v>
      </c>
      <c s="34" t="s">
        <v>300</v>
      </c>
      <c s="40">
        <v>1234.5599999999999</v>
      </c>
    </row>
    <row>
      <c r="C36" s="38" t="s">
        <v>298</v>
      </c>
      <c s="34" t="s">
        <v>401</v>
      </c>
      <c s="40">
        <v>1234.5599999999999</v>
      </c>
    </row>
    <row>
      <c r="C37" s="38" t="s">
        <v>298</v>
      </c>
      <c s="34" t="s">
        <v>511</v>
      </c>
      <c s="40">
        <v>1234.5599999999999</v>
      </c>
    </row>
    <row>
      <c r="C38" s="38" t="s">
        <v>298</v>
      </c>
      <c s="34" t="s">
        <v>43</v>
      </c>
      <c s="40">
        <v>1234.5599999999999</v>
      </c>
    </row>
    <row>
      <c r="C39" s="38" t="s">
        <v>298</v>
      </c>
      <c s="34" t="s">
        <v>154</v>
      </c>
      <c s="40">
        <v>1234.5599999999999</v>
      </c>
    </row>
    <row>
      <c r="C40" s="38" t="s">
        <v>298</v>
      </c>
      <c s="34" t="s">
        <v>262</v>
      </c>
      <c s="40">
        <v>1234.5599999999999</v>
      </c>
    </row>
    <row>
      <c r="C41" s="31" t="s">
        <v>298</v>
      </c>
      <c s="34" t="s">
        <v>491</v>
      </c>
      <c s="31">
        <v>1234.5599999999999</v>
      </c>
    </row>
    <row>
      <c r="C42" s="31" t="s">
        <v>298</v>
      </c>
      <c s="34" t="s">
        <v>387</v>
      </c>
      <c s="31">
        <v>1234.5599999999999</v>
      </c>
    </row>
    <row>
      <c r="C43" s="31" t="s">
        <v>298</v>
      </c>
      <c s="34" t="s">
        <v>496</v>
      </c>
      <c s="31">
        <v>1234.5599999999999</v>
      </c>
    </row>
    <row>
      <c r="C44" s="31" t="s">
        <v>298</v>
      </c>
      <c s="34" t="s">
        <v>29</v>
      </c>
      <c s="31">
        <v>1234.5599999999999</v>
      </c>
    </row>
    <row>
      <c r="C45" s="31" t="s">
        <v>298</v>
      </c>
      <c s="34" t="s">
        <v>143</v>
      </c>
      <c s="31">
        <v>1234.5599999999999</v>
      </c>
    </row>
    <row>
      <c r="C46" s="31" t="s">
        <v>298</v>
      </c>
      <c s="34" t="s">
        <v>246</v>
      </c>
      <c s="31">
        <v>1234.5599999999999</v>
      </c>
    </row>
    <row ht="25.4">
      <c r="C47" s="38" t="s">
        <v>297</v>
      </c>
      <c s="78" t="s">
        <v>254</v>
      </c>
      <c s="59">
        <v>1234.5599999999999</v>
      </c>
    </row>
    <row>
      <c r="C48" s="38" t="s">
        <v>297</v>
      </c>
      <c s="20" t="s">
        <v>399</v>
      </c>
      <c s="23">
        <v>1234.5599999999999</v>
      </c>
    </row>
    <row>
      <c r="C49" s="38" t="s">
        <v>329</v>
      </c>
      <c s="62" t="s">
        <v>552</v>
      </c>
      <c s="49">
        <v>1234.5599999999999</v>
      </c>
    </row>
  </sheetData>
  <mergeCells count="2">
    <mergeCell ref="J4:O4"/>
    <mergeCell ref="B23:C23"/>
  </mergeCells>
  <dataValidations count="1">
    <dataValidation type="list" allowBlank="1" showInputMessage="1" showErrorMessage="1" sqref="E13:E21">
      <formula1>$Z$1:$Z$2</formula1>
    </dataValidation>
  </dataValidations>
  <pageMargins left="0.7" right="0.7" top="0.787401575" bottom="0.787401575" header="0.3" footer="0.3"/>
  <pageSetup paperSize="9" orientation="portrait"/>
  <drawing r:id="rId1"/>
</worksheet>
</file>
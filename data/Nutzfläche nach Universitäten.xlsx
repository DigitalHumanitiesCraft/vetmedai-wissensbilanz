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930" windowHeight="10005"/>
  </bookViews>
  <sheets>
    <sheet name="Tab" sheetId="1" r:id="rId1"/>
    <sheet name="XLCubedFormats" sheetId="2" state="hidden" r:id="rId2"/>
  </sheets>
  <definedNames>
    <definedName name="_xlnm.Print_Area" localSheetId="0">Tab!$A$1:$W$40</definedName>
    <definedName name="XL3DisableCameraObjects" hidden="1">XLCubedFormats!A1</definedName>
    <definedName name="XL3ObjLocationc97f4613_6487_440a_99e2_325ac0f32839">Tab!$A$8</definedName>
  </definedNames>
  <calcPr calcId="40001"/>
</workbook>
</file>

<file path=xl/sharedStrings.xml><?xml version="1.0" encoding="utf-8"?>
<sst xmlns="http://schemas.openxmlformats.org/spreadsheetml/2006/main" uniqueCount="107">
  <si>
    <t>Wirtschaftsuniversität Wien</t>
  </si>
  <si>
    <t>Slicer Button Background</t>
  </si>
  <si>
    <t>Grid Title</t>
  </si>
  <si>
    <t>Oth Written Member</t>
  </si>
  <si>
    <t>Fill in Grid Name, Dimension or Both</t>
  </si>
  <si>
    <t>Universität</t>
  </si>
  <si>
    <t>Universität für Musik und darstellende Kunst Wien</t>
  </si>
  <si>
    <t>All Marital Status</t>
  </si>
  <si>
    <t>Male</t>
  </si>
  <si>
    <t>Member1 Name</t>
  </si>
  <si>
    <t>Datenaufbereitung: bmfwf, Abt. I/10</t>
  </si>
  <si>
    <t>Universität für angewandte Kunst Wien</t>
  </si>
  <si>
    <t>Universität Wien</t>
  </si>
  <si>
    <t>&lt;-- default Column Member Format</t>
  </si>
  <si>
    <t>31.12.2012</t>
  </si>
  <si>
    <t>Quelle: Datenmeldungen der Universitäten gemäß Z 1 der Anlage 13 UHSBV</t>
  </si>
  <si>
    <t>2022</t>
  </si>
  <si>
    <t>Universität Mozarteum Salzburg</t>
  </si>
  <si>
    <t>2011</t>
  </si>
  <si>
    <t>2008</t>
  </si>
  <si>
    <t>Universität Klagenfurt</t>
  </si>
  <si>
    <t>2015</t>
  </si>
  <si>
    <t>Alternate Rows</t>
  </si>
  <si>
    <t>&lt;--  writeable cell format</t>
  </si>
  <si>
    <t>31.12.2009</t>
  </si>
  <si>
    <t>Gesamt</t>
  </si>
  <si>
    <t>Slicer Title</t>
  </si>
  <si>
    <t>Calendar Period</t>
  </si>
  <si>
    <t>&lt;-- default cell format</t>
  </si>
  <si>
    <t>Written Member</t>
  </si>
  <si>
    <t>Dimension/Column</t>
  </si>
  <si>
    <t>2019</t>
  </si>
  <si>
    <r>
      <t>Nutzfläche nach Universitäten in m</t>
    </r>
    <r>
      <rPr>
        <b/>
        <sz val="11"/>
        <color rgb="FF000000"/>
        <rFont val="Calibri"/>
        <family val="2"/>
      </rPr>
      <t>²</t>
    </r>
  </si>
  <si>
    <t>Medizinische Universität Innsbruck</t>
  </si>
  <si>
    <t>Slice Name (Optional)</t>
  </si>
  <si>
    <t>Measures</t>
  </si>
  <si>
    <t>Veterinärmedizinische Universität Wien</t>
  </si>
  <si>
    <t>Montanuniversität Leoben</t>
  </si>
  <si>
    <t>[RU Objekt].[Datenstichtag #Raum Universitäten#]</t>
  </si>
  <si>
    <t>2016</t>
  </si>
  <si>
    <t>2012</t>
  </si>
  <si>
    <t>2009</t>
  </si>
  <si>
    <t>2023</t>
  </si>
  <si>
    <t>Customer</t>
  </si>
  <si>
    <t>-All Customer</t>
  </si>
  <si>
    <t>Default Alternate Row Member Format --&gt;</t>
  </si>
  <si>
    <t>31.12.2006</t>
  </si>
  <si>
    <t>31.12.2013</t>
  </si>
  <si>
    <t>Universität für Weiterbildung Krems</t>
  </si>
  <si>
    <t>Bundesland Universität</t>
  </si>
  <si>
    <t>Medizinische Universität Graz</t>
  </si>
  <si>
    <t>Universität Innsbruck</t>
  </si>
  <si>
    <t>Slicer Item</t>
  </si>
  <si>
    <t>&lt;-- default Slicer Member Format</t>
  </si>
  <si>
    <t>Default Row Member Format --&gt;</t>
  </si>
  <si>
    <t>Grid/Table Name</t>
  </si>
  <si>
    <t>[Measures]</t>
  </si>
  <si>
    <t>Datenprüfung: bmfwf, Abt. Präs/5</t>
  </si>
  <si>
    <t>ALLG Zeit.Jahr</t>
  </si>
  <si>
    <t>Objektort</t>
  </si>
  <si>
    <t>Technische Universität Graz</t>
  </si>
  <si>
    <t>&lt;-- writeable Slicer Member Format</t>
  </si>
  <si>
    <t>Anmerkung: * Daten 2013, 2014, 2017 nicht verfügbar</t>
  </si>
  <si>
    <t>Universität für künstlerische und industrielle Gestaltung Linz</t>
  </si>
  <si>
    <t>Slicer Button</t>
  </si>
  <si>
    <t>+2009</t>
  </si>
  <si>
    <t>&lt;-- default alternate row cell format</t>
  </si>
  <si>
    <t>&lt;--  written cell format</t>
  </si>
  <si>
    <t>31.12.2010</t>
  </si>
  <si>
    <t>42004</t>
  </si>
  <si>
    <t>2013</t>
  </si>
  <si>
    <t>2017</t>
  </si>
  <si>
    <t>2006</t>
  </si>
  <si>
    <t>2020</t>
  </si>
  <si>
    <t>Display Formats For:</t>
  </si>
  <si>
    <t>Enabled?</t>
  </si>
  <si>
    <t>31.12.2007</t>
  </si>
  <si>
    <t>Akademie der bildenden Künste Wien</t>
  </si>
  <si>
    <t>Objektbezeichnung</t>
  </si>
  <si>
    <t>Universität-Ausrichtung</t>
  </si>
  <si>
    <t>Universität für Musik und darstellende Kunst Graz</t>
  </si>
  <si>
    <t>Universität Graz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</si>
  <si>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</si>
  <si>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</si>
  <si>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</si>
  <si>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</si>
  <si>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</si>
  <si>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Universität Linz</t>
  </si>
  <si>
    <t>Universität für Bodenkultur Wien</t>
  </si>
  <si>
    <t>Universität Salzburg</t>
  </si>
  <si>
    <t>Medizinische Universität Wien</t>
  </si>
  <si>
    <t>Marital Status</t>
  </si>
  <si>
    <t>Default Writeable Member Format --&gt;</t>
  </si>
  <si>
    <t>[ALLG Zeit].[Jahr]</t>
  </si>
  <si>
    <t>Technische Universität Wien</t>
  </si>
  <si>
    <t>Writeable Member</t>
  </si>
  <si>
    <t>31.12.2011</t>
  </si>
  <si>
    <t>Raum Universitäten</t>
  </si>
  <si>
    <t>Nutzfläche in m2</t>
  </si>
  <si>
    <t>2018</t>
  </si>
  <si>
    <t>2021</t>
  </si>
  <si>
    <t>2010</t>
  </si>
  <si>
    <t>2007</t>
  </si>
  <si>
    <t>Slicer Button Selected</t>
  </si>
  <si>
    <t>&lt;--  summary written cell</t>
  </si>
  <si>
    <t>31.12.2008</t>
  </si>
  <si>
    <t>2014</t>
  </si>
</sst>
</file>

<file path=xl/styles.xml><?xml version="1.0" encoding="utf-8"?>
<styleSheet xmlns="http://schemas.openxmlformats.org/spreadsheetml/2006/main">
  <numFmts count="1">
    <numFmt numFmtId="164" formatCode=";;;"/>
  </numFmts>
  <fonts count="3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262626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11"/>
      <color rgb="FF000000"/>
      <name val="Tahoma"/>
      <family val="2"/>
    </font>
    <font>
      <b/>
      <sz val="8"/>
      <color indexed="23"/>
      <name val="Tahoma"/>
      <family val="2"/>
    </font>
    <font>
      <sz val="10"/>
      <color rgb="FF000000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sz val="10"/>
      <color rgb="FF595959"/>
      <name val="Tahoma"/>
    </font>
    <font>
      <sz val="8"/>
      <name val="Tahoma"/>
      <family val="2"/>
    </font>
    <font>
      <sz val="10"/>
      <color theme="1" tint="0.0499893185216834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 tint="0.14996795556505021"/>
      <name val="Tahoma"/>
      <family val="2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D9F1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0" xfId="0" applyFont="1" applyFill="1" applyBorder="1"/>
    <xf numFmtId="0" fontId="3" fillId="0" borderId="1" xfId="0" applyFont="1" applyFill="1" applyBorder="1" applyAlignment="1" applyProtection="1">
      <alignment horizontal="center"/>
    </xf>
    <xf numFmtId="3" fontId="3" fillId="0" borderId="1" xfId="0" applyNumberFormat="1" applyFont="1" applyFill="1" applyBorder="1" applyAlignment="1" applyProtection="1">
      <alignment horizontal="right"/>
    </xf>
    <xf numFmtId="0" fontId="3" fillId="0" borderId="1" xfId="0" quotePrefix="1" applyFont="1" applyFill="1" applyBorder="1" applyAlignment="1" applyProtection="1">
      <alignment horizontal="center"/>
    </xf>
    <xf numFmtId="3" fontId="4" fillId="0" borderId="0" xfId="0" applyNumberFormat="1" applyFont="1" applyFill="1" applyBorder="1"/>
    <xf numFmtId="0" fontId="0" fillId="0" borderId="0" xfId="0" applyFill="1" applyBorder="1" applyAlignment="1"/>
    <xf numFmtId="0" fontId="5" fillId="0" borderId="0" xfId="0" applyFont="1"/>
    <xf numFmtId="0" fontId="3" fillId="0" borderId="2" xfId="0" applyFont="1" applyBorder="1" applyAlignment="1" applyProtection="1">
      <alignment horizontal="right"/>
    </xf>
    <xf numFmtId="0" fontId="6" fillId="0" borderId="0" xfId="0" applyFont="1" applyFill="1" applyBorder="1" applyAlignment="1">
      <alignment vertical="top"/>
    </xf>
    <xf numFmtId="0" fontId="7" fillId="0" borderId="0" xfId="0" applyFont="1"/>
    <xf numFmtId="0" fontId="8" fillId="0" borderId="0" xfId="0" applyFont="1" applyFill="1" applyBorder="1" applyAlignment="1"/>
    <xf numFmtId="0" fontId="9" fillId="2" borderId="0" xfId="1" applyFont="1" applyFill="1" applyBorder="1" applyAlignment="1">
      <alignment horizontal="center"/>
    </xf>
    <xf numFmtId="0" fontId="10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vertical="top"/>
    </xf>
    <xf numFmtId="0" fontId="3" fillId="0" borderId="3" xfId="0" applyFont="1" applyBorder="1" applyAlignment="1" applyProtection="1">
      <alignment horizontal="center"/>
    </xf>
    <xf numFmtId="0" fontId="11" fillId="3" borderId="4" xfId="0" quotePrefix="1" applyFont="1" applyFill="1" applyBorder="1" applyAlignment="1" applyProtection="1"/>
    <xf numFmtId="0" fontId="12" fillId="0" borderId="0" xfId="1" applyFont="1"/>
    <xf numFmtId="0" fontId="3" fillId="0" borderId="1" xfId="0" quotePrefix="1" applyFont="1" applyFill="1" applyBorder="1" applyAlignment="1" applyProtection="1">
      <alignment horizontal="right"/>
    </xf>
    <xf numFmtId="0" fontId="13" fillId="0" borderId="0" xfId="0" applyFont="1"/>
    <xf numFmtId="0" fontId="14" fillId="4" borderId="0" xfId="0" applyFont="1" applyFill="1" applyAlignment="1"/>
    <xf numFmtId="0" fontId="3" fillId="0" borderId="5" xfId="0" applyFont="1" applyBorder="1" applyAlignment="1" applyProtection="1">
      <alignment horizontal="center"/>
    </xf>
    <xf numFmtId="0" fontId="15" fillId="0" borderId="0" xfId="0" applyNumberFormat="1" applyFont="1" applyAlignment="1"/>
    <xf numFmtId="0" fontId="15" fillId="0" borderId="0" xfId="0" applyFont="1"/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12" fillId="4" borderId="0" xfId="1" applyFont="1" applyFill="1"/>
    <xf numFmtId="0" fontId="3" fillId="0" borderId="1" xfId="0" applyFont="1" applyBorder="1" applyAlignment="1" applyProtection="1">
      <alignment horizontal="right"/>
    </xf>
    <xf numFmtId="0" fontId="16" fillId="0" borderId="0" xfId="0" applyFont="1" applyFill="1" applyBorder="1" applyAlignment="1"/>
    <xf numFmtId="0" fontId="17" fillId="0" borderId="0" xfId="0" applyFont="1"/>
    <xf numFmtId="14" fontId="3" fillId="0" borderId="3" xfId="0" applyNumberFormat="1" applyFont="1" applyBorder="1" applyAlignment="1" applyProtection="1">
      <alignment horizontal="center"/>
    </xf>
    <xf numFmtId="0" fontId="18" fillId="0" borderId="0" xfId="0" applyFont="1"/>
    <xf numFmtId="0" fontId="3" fillId="0" borderId="3" xfId="0" applyFont="1" applyBorder="1" applyAlignment="1" applyProtection="1">
      <alignment horizontal="right"/>
    </xf>
    <xf numFmtId="0" fontId="3" fillId="0" borderId="1" xfId="0" applyFont="1" applyBorder="1" applyAlignment="1" applyProtection="1">
      <alignment horizontal="center"/>
    </xf>
    <xf numFmtId="0" fontId="17" fillId="0" borderId="6" xfId="0" quotePrefix="1" applyFont="1" applyFill="1" applyBorder="1" applyAlignment="1">
      <alignment horizontal="right"/>
    </xf>
    <xf numFmtId="0" fontId="0" fillId="0" borderId="0" xfId="0" applyFont="1" applyFill="1" applyBorder="1" applyAlignment="1"/>
    <xf numFmtId="0" fontId="19" fillId="0" borderId="0" xfId="0" applyFont="1"/>
    <xf numFmtId="0" fontId="8" fillId="0" borderId="0" xfId="0" applyFont="1" applyFill="1" applyBorder="1" applyAlignment="1">
      <alignment horizontal="left" vertical="center"/>
    </xf>
    <xf numFmtId="3" fontId="15" fillId="5" borderId="0" xfId="0" applyNumberFormat="1" applyFont="1" applyFill="1" applyAlignment="1"/>
    <xf numFmtId="0" fontId="15" fillId="0" borderId="0" xfId="0" applyNumberFormat="1" applyFont="1" applyFill="1" applyBorder="1" applyAlignment="1"/>
    <xf numFmtId="0" fontId="17" fillId="0" borderId="6" xfId="0" quotePrefix="1" applyFont="1" applyFill="1" applyBorder="1" applyAlignment="1"/>
    <xf numFmtId="0" fontId="15" fillId="6" borderId="0" xfId="0" applyNumberFormat="1" applyFont="1" applyFill="1" applyAlignment="1"/>
    <xf numFmtId="3" fontId="3" fillId="0" borderId="2" xfId="0" applyNumberFormat="1" applyFont="1" applyBorder="1" applyAlignment="1" applyProtection="1">
      <alignment horizontal="right"/>
    </xf>
    <xf numFmtId="0" fontId="0" fillId="0" borderId="0" xfId="0" applyFont="1"/>
    <xf numFmtId="0" fontId="17" fillId="0" borderId="6" xfId="0" applyFont="1" applyFill="1" applyBorder="1" applyAlignment="1">
      <alignment vertical="center"/>
    </xf>
    <xf numFmtId="0" fontId="12" fillId="6" borderId="0" xfId="1" applyFont="1" applyFill="1"/>
    <xf numFmtId="0" fontId="5" fillId="0" borderId="0" xfId="0" applyFont="1" applyFill="1" applyBorder="1" applyAlignment="1">
      <alignment vertical="center"/>
    </xf>
    <xf numFmtId="0" fontId="0" fillId="0" borderId="0" xfId="0" quotePrefix="1"/>
    <xf numFmtId="3" fontId="3" fillId="0" borderId="3" xfId="0" applyNumberFormat="1" applyFont="1" applyBorder="1" applyAlignment="1" applyProtection="1">
      <alignment horizontal="center"/>
    </xf>
    <xf numFmtId="3" fontId="15" fillId="7" borderId="0" xfId="0" applyNumberFormat="1" applyFont="1" applyFill="1" applyAlignment="1"/>
    <xf numFmtId="0" fontId="15" fillId="0" borderId="0" xfId="0" applyNumberFormat="1" applyFont="1"/>
    <xf numFmtId="3" fontId="15" fillId="6" borderId="0" xfId="0" applyNumberFormat="1" applyFont="1" applyFill="1" applyAlignment="1"/>
    <xf numFmtId="0" fontId="15" fillId="0" borderId="0" xfId="0" quotePrefix="1" applyFont="1" applyFill="1"/>
    <xf numFmtId="0" fontId="20" fillId="0" borderId="0" xfId="0" quotePrefix="1" applyFont="1" applyFill="1" applyBorder="1" applyAlignment="1">
      <alignment horizontal="left" vertical="center" wrapText="1"/>
    </xf>
    <xf numFmtId="2" fontId="15" fillId="0" borderId="0" xfId="0" applyNumberFormat="1" applyFont="1"/>
    <xf numFmtId="3" fontId="15" fillId="0" borderId="0" xfId="0" applyNumberFormat="1" applyFont="1" applyAlignment="1"/>
    <xf numFmtId="0" fontId="7" fillId="0" borderId="0" xfId="0" applyFont="1" applyAlignment="1">
      <alignment horizontal="center"/>
    </xf>
    <xf numFmtId="0" fontId="16" fillId="0" borderId="0" xfId="0" applyFont="1"/>
    <xf numFmtId="0" fontId="15" fillId="6" borderId="0" xfId="0" applyFont="1" applyFill="1"/>
    <xf numFmtId="0" fontId="9" fillId="2" borderId="7" xfId="1" applyFont="1" applyFill="1" applyBorder="1" applyAlignment="1">
      <alignment horizontal="center"/>
    </xf>
    <xf numFmtId="0" fontId="8" fillId="0" borderId="0" xfId="0" applyFont="1" applyFill="1" applyBorder="1" applyAlignment="1">
      <alignment vertical="center"/>
    </xf>
    <xf numFmtId="3" fontId="5" fillId="0" borderId="0" xfId="0" applyNumberFormat="1" applyFont="1" applyFill="1" applyAlignment="1"/>
    <xf numFmtId="0" fontId="3" fillId="0" borderId="1" xfId="0" applyFont="1" applyFill="1" applyBorder="1" applyAlignment="1" applyProtection="1">
      <alignment vertical="center"/>
    </xf>
    <xf numFmtId="0" fontId="3" fillId="0" borderId="1" xfId="0" quotePrefix="1" applyFont="1" applyBorder="1" applyAlignment="1" applyProtection="1"/>
    <xf numFmtId="0" fontId="15" fillId="0" borderId="0" xfId="0" applyFont="1" applyFill="1" applyBorder="1" applyAlignment="1">
      <alignment vertical="center"/>
    </xf>
    <xf numFmtId="3" fontId="17" fillId="0" borderId="6" xfId="0" applyNumberFormat="1" applyFont="1" applyFill="1" applyBorder="1" applyAlignment="1"/>
    <xf numFmtId="164" fontId="15" fillId="0" borderId="0" xfId="0" applyNumberFormat="1" applyFont="1"/>
    <xf numFmtId="0" fontId="15" fillId="0" borderId="0" xfId="0" quotePrefix="1" applyFo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0</xdr:colOff>
      <xdr:row>7</xdr:row>
      <xdr:rowOff>0</xdr:rowOff>
    </xdr:from>
    <xdr:to>
      <xdr:col>5</xdr:col>
      <xdr:colOff>281181</xdr:colOff>
      <xdr:row>8</xdr:row>
      <xdr:rowOff>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132905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189865</xdr:rowOff>
    </xdr:from>
    <xdr:to>
      <xdr:col>5</xdr:col>
      <xdr:colOff>281181</xdr:colOff>
      <xdr:row>8</xdr:row>
      <xdr:rowOff>189865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151892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5</xdr:col>
      <xdr:colOff>281181</xdr:colOff>
      <xdr:row>10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170878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5</xdr:col>
      <xdr:colOff>281181</xdr:colOff>
      <xdr:row>11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189865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69850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638"/>
  <sheetViews>
    <sheetView tabSelected="1" workbookViewId="0"/>
  </sheetViews>
  <sheetFormatPr defaultColWidth="11.42578125" defaultRowHeight="14.95"/>
  <cols>
    <col min="1" max="1" width="52.85546875" style="44" customWidth="1"/>
    <col min="2" max="6" width="11.7109375" customWidth="1"/>
    <col min="7" max="7" width="11.7109375" hidden="1" customWidth="1"/>
    <col min="8" max="11" width="11.7109375" customWidth="1"/>
    <col min="12" max="12" width="11.7109375" hidden="1" customWidth="1"/>
    <col min="13" max="13" width="11.7109375" customWidth="1"/>
    <col min="14" max="14" width="11.7109375" hidden="1" customWidth="1"/>
    <col min="15" max="16" width="11.7109375" customWidth="1"/>
    <col min="17" max="17" width="11.28515625" customWidth="1"/>
    <col min="18" max="20" width="11.7109375" customWidth="1"/>
    <col min="21" max="21" width="11.8554687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13" t="s">
        <v>97</v>
      </c>
      <c s="13"/>
      <c s="13"/>
      <c s="13"/>
      <c s="13"/>
      <c s="6"/>
      <c s="6"/>
    </row>
    <row s="58" customFormat="1">
      <c s="9" t="s">
        <v>32</v>
      </c>
      <c s="9"/>
      <c s="9"/>
      <c s="9"/>
      <c s="9"/>
      <c s="29"/>
      <c s="29"/>
    </row>
    <row>
      <c s="61" t="s">
        <v>15</v>
      </c>
      <c s="11"/>
      <c s="11"/>
      <c s="11"/>
      <c s="11"/>
      <c s="11"/>
      <c s="6"/>
    </row>
    <row>
      <c s="61" t="s">
        <v>57</v>
      </c>
      <c s="11"/>
      <c s="11"/>
      <c s="11"/>
      <c s="11"/>
      <c s="11"/>
      <c s="6"/>
    </row>
    <row>
      <c s="54" t="s">
        <v>10</v>
      </c>
      <c s="15"/>
      <c s="15"/>
      <c s="15"/>
      <c s="15"/>
      <c s="6"/>
      <c s="6"/>
    </row>
    <row>
      <c s="38" t="s">
        <v>62</v>
      </c>
      <c s="14"/>
      <c s="14"/>
      <c s="14"/>
      <c s="14"/>
      <c s="6"/>
      <c s="6"/>
    </row>
    <row>
      <c s="36"/>
      <c s="6"/>
      <c s="6"/>
      <c s="6"/>
      <c s="6"/>
      <c s="6"/>
      <c s="6"/>
    </row>
    <row>
      <c s="17" t="s">
        <v>49</v>
      </c>
      <c s="64" t="s">
        <v>25</v>
      </c>
    </row>
    <row>
      <c s="17" t="s">
        <v>79</v>
      </c>
      <c s="64" t="s">
        <v>25</v>
      </c>
    </row>
    <row>
      <c s="17" t="s">
        <v>59</v>
      </c>
      <c s="64" t="s">
        <v>25</v>
      </c>
    </row>
    <row>
      <c s="17" t="s">
        <v>78</v>
      </c>
      <c s="64" t="s">
        <v>25</v>
      </c>
    </row>
    <row>
      <c/>
    </row>
    <row>
      <c/>
    </row>
    <row ht="15" hidden="1">
      <c/>
      <c s="17" t="s">
        <v>35</v>
      </c>
      <c s="17" t="s">
        <v>58</v>
      </c>
    </row>
    <row>
      <c/>
      <c s="4" t="s">
        <v>98</v>
      </c>
      <c s="4"/>
      <c s="4"/>
      <c s="4"/>
      <c s="4"/>
      <c s="4"/>
      <c s="4"/>
      <c s="19"/>
      <c s="4"/>
      <c s="4"/>
      <c s="4"/>
      <c s="19"/>
      <c s="4"/>
      <c s="19"/>
      <c s="4"/>
      <c s="4"/>
      <c s="4"/>
      <c s="4"/>
      <c s="4"/>
      <c s="4"/>
      <c s="4"/>
    </row>
    <row>
      <c s="17" t="s">
        <v>5</v>
      </c>
      <c s="2" t="s">
        <v>42</v>
      </c>
      <c s="2" t="s">
        <v>16</v>
      </c>
      <c s="2" t="s">
        <v>100</v>
      </c>
      <c s="2" t="s">
        <v>73</v>
      </c>
      <c s="2" t="s">
        <v>31</v>
      </c>
      <c s="2" t="s">
        <v>99</v>
      </c>
      <c s="2" t="s">
        <v>71</v>
      </c>
      <c s="2" t="s">
        <v>71</v>
      </c>
      <c s="2" t="s">
        <v>39</v>
      </c>
      <c s="2" t="s">
        <v>21</v>
      </c>
      <c s="2" t="s">
        <v>106</v>
      </c>
      <c s="2" t="s">
        <v>106</v>
      </c>
      <c s="2" t="s">
        <v>70</v>
      </c>
      <c s="2" t="s">
        <v>70</v>
      </c>
      <c s="2" t="s">
        <v>40</v>
      </c>
      <c s="2" t="s">
        <v>18</v>
      </c>
      <c s="2" t="s">
        <v>101</v>
      </c>
      <c s="2" t="s">
        <v>41</v>
      </c>
      <c s="2" t="s">
        <v>19</v>
      </c>
      <c s="2" t="s">
        <v>102</v>
      </c>
      <c s="2" t="s">
        <v>72</v>
      </c>
    </row>
    <row>
      <c s="63" t="s">
        <v>12</v>
      </c>
      <c s="3">
        <v>364488</v>
      </c>
      <c s="3">
        <v>365200.47000000003</v>
      </c>
      <c s="3">
        <v>388221.75</v>
      </c>
      <c s="3">
        <v>365518.65000000008</v>
      </c>
      <c s="3">
        <v>349140.33999999991</v>
      </c>
      <c s="3">
        <v>349249.12</v>
      </c>
      <c s="3">
        <v>348412.98000000004</v>
      </c>
      <c s="3">
        <f t="shared" si="0" ref="I17:I39">IF(TRIM(B17)&lt;&gt;"Akademie der bildenden Künste Wien",IF(TRIM(C17)&lt;&gt;"Gesamt",H17," "),"*")</f>
        <v>348412.98000000004</v>
      </c>
      <c s="3">
        <v>348573.15999999997</v>
      </c>
      <c s="3">
        <v>347687.17999999993</v>
      </c>
      <c s="3">
        <v>347281.81999999995</v>
      </c>
      <c s="3">
        <f t="shared" si="1" ref="M17:M39">IF(AND(TRIM(A17)&lt;&gt;"Wirtschaftsuniversität Wien",TRIM(A17)&lt;&gt;"Medizinische Universität Wien"),IF(TRIM(A17)&lt;&gt;"Gesamt",L17," "),"*")</f>
        <v>347281.81999999995</v>
      </c>
      <c s="3">
        <v>361165.42999999993</v>
      </c>
      <c s="3">
        <f t="shared" si="2" ref="O17:O39">IF(AND(TRIM(A17)&lt;&gt;"Medizinische Universität Wien"),IF(TRIM(A17)&lt;&gt;"Gesamt",N17," "),"*")</f>
        <v>361165.42999999993</v>
      </c>
      <c s="3">
        <v>343270.70999999996</v>
      </c>
      <c s="3">
        <v>338531.47999999992</v>
      </c>
      <c s="3">
        <v>335090.80000000005</v>
      </c>
      <c s="3">
        <v>329980.19999999995</v>
      </c>
      <c s="3">
        <v>325848.5</v>
      </c>
      <c s="3">
        <v>324640.95999999996</v>
      </c>
      <c s="3">
        <v>319128.26000000001</v>
      </c>
    </row>
    <row>
      <c s="63" t="s">
        <v>81</v>
      </c>
      <c s="3">
        <v>157502.02999999997</v>
      </c>
      <c s="3">
        <v>158858.72999999998</v>
      </c>
      <c s="3">
        <v>158128.73999999999</v>
      </c>
      <c s="3">
        <v>156441.47000000003</v>
      </c>
      <c s="3">
        <v>155885.37</v>
      </c>
      <c s="3">
        <v>156708.85000000001</v>
      </c>
      <c s="3">
        <v>152932.71999999997</v>
      </c>
      <c s="3">
        <f t="shared" si="0"/>
        <v>152932.71999999997</v>
      </c>
      <c s="3">
        <v>143062.94999999998</v>
      </c>
      <c s="3">
        <v>138116.39999999997</v>
      </c>
      <c s="3">
        <v>136714.02000000002</v>
      </c>
      <c s="3">
        <f t="shared" si="1"/>
        <v>136714.02000000002</v>
      </c>
      <c s="3">
        <v>149671.67999999999</v>
      </c>
      <c s="3">
        <f t="shared" si="2"/>
        <v>149671.67999999999</v>
      </c>
      <c s="3">
        <v>141957.36000000002</v>
      </c>
      <c s="3">
        <v>141147.85999999999</v>
      </c>
      <c s="3">
        <v>132689.44000000003</v>
      </c>
      <c s="3">
        <v>127023.95000000003</v>
      </c>
      <c s="3">
        <v>122907.58</v>
      </c>
      <c s="3">
        <v>117354.78000000001</v>
      </c>
      <c s="3">
        <v>103600.83000000002</v>
      </c>
    </row>
    <row>
      <c s="63" t="s">
        <v>51</v>
      </c>
      <c s="3">
        <v>216580.5</v>
      </c>
      <c s="3">
        <v>225265.53999999998</v>
      </c>
      <c s="3">
        <v>207805.66999999998</v>
      </c>
      <c s="3">
        <v>209552.95999999996</v>
      </c>
      <c s="3">
        <v>203579</v>
      </c>
      <c s="3">
        <v>200355</v>
      </c>
      <c s="3">
        <v>198892.12</v>
      </c>
      <c s="3">
        <f t="shared" si="0"/>
        <v>198892.12</v>
      </c>
      <c s="3">
        <v>194559.60000000001</v>
      </c>
      <c s="3">
        <v>193449.63</v>
      </c>
      <c s="3">
        <v>192930.98999999999</v>
      </c>
      <c s="3">
        <f t="shared" si="1"/>
        <v>192930.98999999999</v>
      </c>
      <c s="3">
        <v>192636.48000000001</v>
      </c>
      <c s="3">
        <f t="shared" si="2"/>
        <v>192636.48000000001</v>
      </c>
      <c s="3">
        <v>193161.30000000002</v>
      </c>
      <c s="3">
        <v>190663.92000000001</v>
      </c>
      <c s="3">
        <v>179025.04000000001</v>
      </c>
      <c s="3">
        <v>178568.67999999999</v>
      </c>
      <c s="3">
        <v>176430.44</v>
      </c>
      <c s="3">
        <v>176147.53000000003</v>
      </c>
      <c s="3">
        <v>180085.87</v>
      </c>
    </row>
    <row>
      <c s="63" t="s">
        <v>90</v>
      </c>
      <c s="3">
        <v>82733.869999999995</v>
      </c>
      <c s="3">
        <v>82733.869999999995</v>
      </c>
      <c s="3">
        <v>81995.929999999993</v>
      </c>
      <c s="3">
        <v>70652.539999999994</v>
      </c>
      <c s="3">
        <v>70652.540000000008</v>
      </c>
      <c s="3">
        <v>70925.770000000004</v>
      </c>
      <c s="3">
        <v>71097.880000000005</v>
      </c>
      <c s="3">
        <f t="shared" si="0"/>
        <v>71097.880000000005</v>
      </c>
      <c s="3">
        <v>71259.520000000004</v>
      </c>
      <c s="3">
        <v>70526.300000000003</v>
      </c>
      <c s="3">
        <v>0</v>
      </c>
      <c s="3" t="str">
        <f t="shared" si="1"/>
        <v>*</v>
      </c>
      <c s="3">
        <v>0</v>
      </c>
      <c s="3" t="str">
        <f t="shared" si="2"/>
        <v>*</v>
      </c>
      <c s="3">
        <v>70526.300000000003</v>
      </c>
      <c s="3">
        <v>71136.819999999992</v>
      </c>
      <c s="3">
        <v>64880.879999999997</v>
      </c>
      <c s="3">
        <v>64880.879999999997</v>
      </c>
      <c s="3">
        <v>64880.879999999997</v>
      </c>
      <c s="3">
        <v>64776.93</v>
      </c>
      <c s="3">
        <v>63812.569999999992</v>
      </c>
    </row>
    <row>
      <c s="63" t="s">
        <v>50</v>
      </c>
      <c s="3">
        <v>68200.110000000001</v>
      </c>
      <c s="3">
        <v>79726.889999999999</v>
      </c>
      <c s="3">
        <v>53950.839999999997</v>
      </c>
      <c s="3">
        <v>58174.489999999998</v>
      </c>
      <c s="3">
        <v>55652.830000000016</v>
      </c>
      <c s="3">
        <v>55681.760000000002</v>
      </c>
      <c s="3">
        <v>55609.080000000009</v>
      </c>
      <c s="3">
        <f t="shared" si="0"/>
        <v>55609.080000000009</v>
      </c>
      <c s="3">
        <v>45117.760000000009</v>
      </c>
      <c s="3">
        <v>11598.879999999999</v>
      </c>
      <c s="3">
        <v>12193.249999999998</v>
      </c>
      <c s="3">
        <f t="shared" si="1"/>
        <v>12193.249999999998</v>
      </c>
      <c s="3">
        <v>10510.809999999999</v>
      </c>
      <c s="3">
        <f t="shared" si="2"/>
        <v>10510.809999999999</v>
      </c>
      <c s="3">
        <v>34157.93</v>
      </c>
      <c s="3">
        <v>34018.830000000002</v>
      </c>
      <c s="3">
        <v>35282.580000000002</v>
      </c>
      <c s="3">
        <v>32072.950000000001</v>
      </c>
      <c s="3">
        <v>32135.799999999999</v>
      </c>
      <c s="3">
        <v>32613.260000000002</v>
      </c>
      <c s="3">
        <v>32773.159999999996</v>
      </c>
    </row>
    <row>
      <c s="63" t="s">
        <v>33</v>
      </c>
      <c s="3">
        <v>42677.55999999999</v>
      </c>
      <c s="3">
        <v>42332.129999999997</v>
      </c>
      <c s="3">
        <v>42619.359999999993</v>
      </c>
      <c s="3">
        <v>39715.459999999992</v>
      </c>
      <c s="3">
        <v>43983.559999999998</v>
      </c>
      <c s="3">
        <v>34431.260000000002</v>
      </c>
      <c s="3">
        <v>34624.889999999999</v>
      </c>
      <c s="3">
        <f t="shared" si="0"/>
        <v>34624.889999999999</v>
      </c>
      <c s="3">
        <v>40594.139999999992</v>
      </c>
      <c s="3">
        <v>41228.230000000003</v>
      </c>
      <c s="3">
        <v>40414.5</v>
      </c>
      <c s="3">
        <f t="shared" si="1"/>
        <v>40414.5</v>
      </c>
      <c s="3">
        <v>40028.730000000003</v>
      </c>
      <c s="3">
        <f t="shared" si="2"/>
        <v>40028.730000000003</v>
      </c>
      <c s="3">
        <v>40060.740000000005</v>
      </c>
      <c s="3">
        <v>38322.590000000004</v>
      </c>
      <c s="3">
        <v>30456.499999999996</v>
      </c>
      <c s="3">
        <v>29402.509999999998</v>
      </c>
      <c s="3">
        <v>28491.449999999997</v>
      </c>
      <c s="3">
        <v>27433.759999999998</v>
      </c>
      <c s="3">
        <v>27639.389999999999</v>
      </c>
    </row>
    <row>
      <c s="63" t="s">
        <v>89</v>
      </c>
      <c s="3">
        <v>116681.29999999999</v>
      </c>
      <c s="3">
        <v>116946.17999999999</v>
      </c>
      <c s="3">
        <v>117010</v>
      </c>
      <c s="3">
        <v>119412.84999999999</v>
      </c>
      <c s="3">
        <v>119423.20000000001</v>
      </c>
      <c s="3">
        <v>118944.24000000001</v>
      </c>
      <c s="3">
        <v>118876.5</v>
      </c>
      <c s="3">
        <f t="shared" si="0"/>
        <v>118876.5</v>
      </c>
      <c s="3">
        <v>117959.32000000001</v>
      </c>
      <c s="3">
        <v>112096.42999999999</v>
      </c>
      <c s="3">
        <v>111468.20999999999</v>
      </c>
      <c s="3">
        <f t="shared" si="1"/>
        <v>111468.20999999999</v>
      </c>
      <c s="3">
        <v>111211.02000000002</v>
      </c>
      <c s="3">
        <f t="shared" si="2"/>
        <v>111211.02000000002</v>
      </c>
      <c s="3">
        <v>109687.45000000001</v>
      </c>
      <c s="3">
        <v>110865.54000000001</v>
      </c>
      <c s="3">
        <v>104684.47</v>
      </c>
      <c s="3">
        <v>104224.60000000001</v>
      </c>
      <c s="3">
        <v>103974.60000000002</v>
      </c>
      <c s="3">
        <v>102600.25</v>
      </c>
      <c s="3">
        <v>103802.15000000001</v>
      </c>
    </row>
    <row>
      <c s="63" t="s">
        <v>94</v>
      </c>
      <c s="3">
        <v>212962.58999999997</v>
      </c>
      <c s="3">
        <v>210115.98999999999</v>
      </c>
      <c s="3">
        <v>207749.01000000001</v>
      </c>
      <c s="3">
        <v>214689.14999999997</v>
      </c>
      <c s="3">
        <v>219750.84</v>
      </c>
      <c s="3">
        <v>217617.96999999997</v>
      </c>
      <c s="3">
        <v>221114.9599999999</v>
      </c>
      <c s="3">
        <f t="shared" si="0"/>
        <v>221114.9599999999</v>
      </c>
      <c s="3">
        <v>205121.23999999999</v>
      </c>
      <c s="3">
        <v>199393.25999999998</v>
      </c>
      <c s="3">
        <v>198966.70000000001</v>
      </c>
      <c s="3">
        <f t="shared" si="1"/>
        <v>198966.70000000001</v>
      </c>
      <c s="3">
        <v>199230.86000000002</v>
      </c>
      <c s="3">
        <f t="shared" si="2"/>
        <v>199230.86000000002</v>
      </c>
      <c s="3">
        <v>198376.82999999996</v>
      </c>
      <c s="3">
        <v>197648.92999999996</v>
      </c>
      <c s="3">
        <v>197096.63</v>
      </c>
      <c s="3">
        <v>189744.53</v>
      </c>
      <c s="3">
        <v>189499.47</v>
      </c>
      <c s="3">
        <v>190135.95000000001</v>
      </c>
      <c s="3">
        <v>190144.21000000002</v>
      </c>
    </row>
    <row>
      <c s="63" t="s">
        <v>60</v>
      </c>
      <c s="3">
        <v>190860.46000000002</v>
      </c>
      <c s="3">
        <v>174626.10999999996</v>
      </c>
      <c s="3">
        <v>168073.57000000001</v>
      </c>
      <c s="3">
        <v>172061.91</v>
      </c>
      <c s="3">
        <v>168174.86999999997</v>
      </c>
      <c s="3">
        <v>164635.44</v>
      </c>
      <c s="3">
        <v>162701.69</v>
      </c>
      <c s="3">
        <f t="shared" si="0"/>
        <v>162701.69</v>
      </c>
      <c s="3">
        <v>162106.69</v>
      </c>
      <c s="3">
        <v>159121.53000000003</v>
      </c>
      <c s="3">
        <v>158400.67000000001</v>
      </c>
      <c s="3">
        <f t="shared" si="1"/>
        <v>158400.67000000001</v>
      </c>
      <c s="3">
        <v>157247.94999999995</v>
      </c>
      <c s="3">
        <f t="shared" si="2"/>
        <v>157247.94999999995</v>
      </c>
      <c s="3">
        <v>157446.39000000001</v>
      </c>
      <c s="3">
        <v>150497.84</v>
      </c>
      <c s="3">
        <v>147051.38999999996</v>
      </c>
      <c s="3">
        <v>137524.5</v>
      </c>
      <c s="3">
        <v>135617.48000000001</v>
      </c>
      <c s="3">
        <v>136074.83000000002</v>
      </c>
      <c s="3">
        <v>131413.69999999998</v>
      </c>
    </row>
    <row>
      <c s="63" t="s">
        <v>37</v>
      </c>
      <c s="3">
        <v>53959.880000000005</v>
      </c>
      <c s="3">
        <v>51307.389999999999</v>
      </c>
      <c s="3">
        <v>48629.619999999995</v>
      </c>
      <c s="3">
        <v>48652.690000000002</v>
      </c>
      <c s="3">
        <v>49183.909999999996</v>
      </c>
      <c s="3">
        <v>49201.460000000006</v>
      </c>
      <c s="3">
        <v>46576.349999999991</v>
      </c>
      <c s="3">
        <f t="shared" si="0"/>
        <v>46576.349999999991</v>
      </c>
      <c s="3">
        <v>46405.089999999997</v>
      </c>
      <c s="3">
        <v>45486.460000000006</v>
      </c>
      <c s="3">
        <v>45461.909999999996</v>
      </c>
      <c s="3">
        <f t="shared" si="1"/>
        <v>45461.909999999996</v>
      </c>
      <c s="3">
        <v>45747.789999999994</v>
      </c>
      <c s="3">
        <f t="shared" si="2"/>
        <v>45747.789999999994</v>
      </c>
      <c s="3">
        <v>46033.209999999999</v>
      </c>
      <c s="3">
        <v>45831.119999999995</v>
      </c>
      <c s="3">
        <v>43394.190000000002</v>
      </c>
      <c s="3">
        <v>37965.580000000002</v>
      </c>
      <c s="3">
        <v>37619.409999999996</v>
      </c>
      <c s="3">
        <v>39054.25</v>
      </c>
      <c s="3">
        <v>36502.32</v>
      </c>
    </row>
    <row>
      <c s="63" t="s">
        <v>88</v>
      </c>
      <c s="3">
        <v>111969.62000000001</v>
      </c>
      <c s="3">
        <v>103983.09999999999</v>
      </c>
      <c s="3">
        <v>103555.08000000002</v>
      </c>
      <c s="3">
        <v>102107.91</v>
      </c>
      <c s="3">
        <v>101425.39999999999</v>
      </c>
      <c s="3">
        <v>101757.83</v>
      </c>
      <c s="3">
        <v>95527.979999999981</v>
      </c>
      <c s="3">
        <f t="shared" si="0"/>
        <v>95527.979999999981</v>
      </c>
      <c s="3">
        <v>97330.470000000001</v>
      </c>
      <c s="3">
        <v>98255.00999999998</v>
      </c>
      <c s="3">
        <v>97123.389999999985</v>
      </c>
      <c s="3">
        <f t="shared" si="1"/>
        <v>97123.389999999985</v>
      </c>
      <c s="3">
        <v>92406.540000000008</v>
      </c>
      <c s="3">
        <f t="shared" si="2"/>
        <v>92406.540000000008</v>
      </c>
      <c s="3">
        <v>92388.970000000001</v>
      </c>
      <c s="3">
        <v>92388.889999999999</v>
      </c>
      <c s="3">
        <v>85748.970000000001</v>
      </c>
      <c s="3">
        <v>85701.12000000001</v>
      </c>
      <c s="3">
        <v>78261.680000000008</v>
      </c>
      <c s="3">
        <v>78261.680000000008</v>
      </c>
      <c s="3">
        <v>78261.680000000008</v>
      </c>
    </row>
    <row>
      <c s="63" t="s">
        <v>36</v>
      </c>
      <c s="3">
        <v>98909.180000000008</v>
      </c>
      <c s="3">
        <v>99002.020000000004</v>
      </c>
      <c s="3">
        <v>98817.990000000005</v>
      </c>
      <c s="3">
        <v>95315.309999999969</v>
      </c>
      <c s="3">
        <v>96215.970000000016</v>
      </c>
      <c s="3">
        <v>95132.76999999999</v>
      </c>
      <c s="3">
        <v>95132.76999999999</v>
      </c>
      <c s="3">
        <f t="shared" si="0"/>
        <v>95132.76999999999</v>
      </c>
      <c s="3">
        <v>95132.76999999999</v>
      </c>
      <c s="3">
        <v>81719.639999999999</v>
      </c>
      <c s="3">
        <v>81719.639999999999</v>
      </c>
      <c s="3">
        <f t="shared" si="1"/>
        <v>81719.639999999999</v>
      </c>
      <c s="3">
        <v>81719.639999999999</v>
      </c>
      <c s="3">
        <f t="shared" si="2"/>
        <v>81719.639999999999</v>
      </c>
      <c s="3">
        <v>81719.639999999999</v>
      </c>
      <c s="3">
        <v>81719.639999999985</v>
      </c>
      <c s="3">
        <v>79881</v>
      </c>
      <c s="3">
        <v>79881</v>
      </c>
      <c s="3">
        <v>78640</v>
      </c>
      <c s="3">
        <v>77967.300000000003</v>
      </c>
      <c s="3">
        <v>77967.299999999988</v>
      </c>
    </row>
    <row>
      <c s="63" t="s">
        <v>0</v>
      </c>
      <c s="3">
        <v>82963.75999999998</v>
      </c>
      <c s="3">
        <v>81464.160000000003</v>
      </c>
      <c s="3">
        <v>81460.059999999998</v>
      </c>
      <c s="3">
        <v>81459.910000000003</v>
      </c>
      <c s="3">
        <v>77559.080000000002</v>
      </c>
      <c s="3">
        <v>77346.860000000001</v>
      </c>
      <c s="3">
        <v>77032.400000000009</v>
      </c>
      <c s="3">
        <f t="shared" si="0"/>
        <v>77032.400000000009</v>
      </c>
      <c s="3">
        <v>78475.830000000002</v>
      </c>
      <c s="3">
        <v>78708.450000000012</v>
      </c>
      <c s="3">
        <v>0</v>
      </c>
      <c s="3" t="str">
        <f t="shared" si="1"/>
        <v>*</v>
      </c>
      <c s="3">
        <v>73086.589999999997</v>
      </c>
      <c s="3">
        <f t="shared" si="2"/>
        <v>73086.589999999997</v>
      </c>
      <c s="3">
        <v>65263.290000000001</v>
      </c>
      <c s="3">
        <v>65263.290000000001</v>
      </c>
      <c s="3">
        <v>65071.450000000012</v>
      </c>
      <c s="3">
        <v>65094.379999999997</v>
      </c>
      <c s="3">
        <v>64164.87999999999</v>
      </c>
      <c s="3">
        <v>62308.809999999998</v>
      </c>
      <c s="3">
        <v>63022.100000000006</v>
      </c>
    </row>
    <row>
      <c s="63" t="s">
        <v>87</v>
      </c>
      <c s="3">
        <v>143662.01000000001</v>
      </c>
      <c s="3">
        <v>145438.43999999997</v>
      </c>
      <c s="3">
        <v>143786.81</v>
      </c>
      <c s="3">
        <v>118007.42000000003</v>
      </c>
      <c s="3">
        <v>112389.01999999999</v>
      </c>
      <c s="3">
        <v>106233.95999999998</v>
      </c>
      <c s="3">
        <v>103387.18999999999</v>
      </c>
      <c s="3">
        <f t="shared" si="0"/>
        <v>103387.18999999999</v>
      </c>
      <c s="3">
        <v>103544.37999999998</v>
      </c>
      <c s="3">
        <v>101027.91999999998</v>
      </c>
      <c s="3">
        <v>100740.76999999997</v>
      </c>
      <c s="3">
        <f t="shared" si="1"/>
        <v>100740.76999999997</v>
      </c>
      <c s="3">
        <v>101270.64999999998</v>
      </c>
      <c s="3">
        <f t="shared" si="2"/>
        <v>101270.64999999998</v>
      </c>
      <c s="3">
        <v>101270.64999999998</v>
      </c>
      <c s="3">
        <v>92401.849999999991</v>
      </c>
      <c s="3">
        <v>75966.849999999991</v>
      </c>
      <c s="3">
        <v>73137.749999999985</v>
      </c>
      <c s="3">
        <v>67107.399999999994</v>
      </c>
      <c s="3">
        <v>66770.800000000003</v>
      </c>
      <c s="3">
        <v>65481.689999999995</v>
      </c>
    </row>
    <row>
      <c s="63" t="s">
        <v>20</v>
      </c>
      <c s="3">
        <v>36250.369999999988</v>
      </c>
      <c s="3">
        <v>36148.719999999987</v>
      </c>
      <c s="3">
        <v>36079.189999999988</v>
      </c>
      <c s="3">
        <v>35982.919999999991</v>
      </c>
      <c s="3">
        <v>35432.109999999993</v>
      </c>
      <c s="3">
        <v>37630.349999999991</v>
      </c>
      <c s="3">
        <v>36869.069999999992</v>
      </c>
      <c s="3">
        <f t="shared" si="0"/>
        <v>36869.069999999992</v>
      </c>
      <c s="3">
        <v>36848.909999999996</v>
      </c>
      <c s="3">
        <v>36461.599999999999</v>
      </c>
      <c s="3">
        <v>36484.470000000001</v>
      </c>
      <c s="3">
        <f t="shared" si="1"/>
        <v>36484.470000000001</v>
      </c>
      <c s="3">
        <v>36278.25</v>
      </c>
      <c s="3">
        <f t="shared" si="2"/>
        <v>36278.25</v>
      </c>
      <c s="3">
        <v>35809.990000000005</v>
      </c>
      <c s="3">
        <v>35809.629999999997</v>
      </c>
      <c s="3">
        <v>35690.109999999986</v>
      </c>
      <c s="3">
        <v>35997.629999999997</v>
      </c>
      <c s="3">
        <v>34708.199999999997</v>
      </c>
      <c s="3">
        <v>34062.139999999999</v>
      </c>
      <c s="3">
        <v>32797.5</v>
      </c>
    </row>
    <row>
      <c s="63" t="s">
        <v>11</v>
      </c>
      <c s="3">
        <v>37066.849999999999</v>
      </c>
      <c s="3">
        <v>37739.659999999996</v>
      </c>
      <c s="3">
        <v>36783.970000000001</v>
      </c>
      <c s="3">
        <v>35274.990000000005</v>
      </c>
      <c s="3">
        <v>33042.370000000003</v>
      </c>
      <c s="3">
        <v>47662.32</v>
      </c>
      <c s="3">
        <v>29283.260000000002</v>
      </c>
      <c s="3">
        <f t="shared" si="0"/>
        <v>29283.260000000002</v>
      </c>
      <c s="3">
        <v>25237.689999999999</v>
      </c>
      <c s="3">
        <v>24294.689999999999</v>
      </c>
      <c s="3">
        <v>23554.060000000001</v>
      </c>
      <c s="3">
        <f t="shared" si="1"/>
        <v>23554.060000000001</v>
      </c>
      <c s="3">
        <v>23554.060000000001</v>
      </c>
      <c s="3">
        <f t="shared" si="2"/>
        <v>23554.060000000001</v>
      </c>
      <c s="3">
        <v>23534.110000000004</v>
      </c>
      <c s="3">
        <v>23534.110000000004</v>
      </c>
      <c s="3">
        <v>23534.110000000004</v>
      </c>
      <c s="3">
        <v>22529.709999999999</v>
      </c>
      <c s="3">
        <v>23057.900000000001</v>
      </c>
      <c s="3">
        <v>22484.900000000001</v>
      </c>
      <c s="3">
        <v>20977.899999999998</v>
      </c>
    </row>
    <row>
      <c s="63" t="s">
        <v>6</v>
      </c>
      <c s="3">
        <v>42109.520000000004</v>
      </c>
      <c s="3">
        <v>44571.209999999992</v>
      </c>
      <c s="3">
        <v>44107.529999999999</v>
      </c>
      <c s="3">
        <v>44577.370000000003</v>
      </c>
      <c s="3">
        <v>39024.710000000006</v>
      </c>
      <c s="3">
        <v>37860.470000000001</v>
      </c>
      <c s="3">
        <v>37940.470000000001</v>
      </c>
      <c s="3">
        <f t="shared" si="0"/>
        <v>37940.470000000001</v>
      </c>
      <c s="3">
        <v>35343.059999999998</v>
      </c>
      <c s="3">
        <v>35092</v>
      </c>
      <c s="3">
        <v>35092</v>
      </c>
      <c s="3">
        <f t="shared" si="1"/>
        <v>35092</v>
      </c>
      <c s="3">
        <v>35023</v>
      </c>
      <c s="3">
        <f t="shared" si="2"/>
        <v>35023</v>
      </c>
      <c s="3">
        <v>35023.000000000007</v>
      </c>
      <c s="3">
        <v>35406.770000000004</v>
      </c>
      <c s="3">
        <v>35927.840000000004</v>
      </c>
      <c s="3">
        <v>36245.030000000006</v>
      </c>
      <c s="3">
        <v>36156.869999999995</v>
      </c>
      <c s="3">
        <v>35751.470000000001</v>
      </c>
      <c s="3">
        <v>35757.300000000003</v>
      </c>
    </row>
    <row>
      <c s="63" t="s">
        <v>17</v>
      </c>
      <c s="3">
        <v>30257.779999999999</v>
      </c>
      <c s="3">
        <v>29785.530000000002</v>
      </c>
      <c s="3">
        <v>29335.060000000001</v>
      </c>
      <c s="3">
        <v>29260.060000000001</v>
      </c>
      <c s="3">
        <v>28437.259999999995</v>
      </c>
      <c s="3">
        <v>29877.919999999998</v>
      </c>
      <c s="3">
        <v>27561.189999999999</v>
      </c>
      <c s="3">
        <f t="shared" si="0"/>
        <v>27561.189999999999</v>
      </c>
      <c s="3">
        <v>27185.789999999997</v>
      </c>
      <c s="3">
        <v>27177.889999999999</v>
      </c>
      <c s="3">
        <v>27051.670000000002</v>
      </c>
      <c s="3">
        <f t="shared" si="1"/>
        <v>27051.670000000002</v>
      </c>
      <c s="3">
        <v>26827.670000000002</v>
      </c>
      <c s="3">
        <f t="shared" si="2"/>
        <v>26827.670000000002</v>
      </c>
      <c s="3">
        <v>26827.670000000002</v>
      </c>
      <c s="3">
        <v>26883.079999999998</v>
      </c>
      <c s="3">
        <v>26809.969999999998</v>
      </c>
      <c s="3">
        <v>26911.460000000003</v>
      </c>
      <c s="3">
        <v>26912.720000000001</v>
      </c>
      <c s="3">
        <v>27931.259999999998</v>
      </c>
      <c s="3">
        <v>27179.430000000004</v>
      </c>
    </row>
    <row>
      <c s="63" t="s">
        <v>80</v>
      </c>
      <c s="3">
        <v>25055.860000000001</v>
      </c>
      <c s="3">
        <v>24824.060000000001</v>
      </c>
      <c s="3">
        <v>24845.609999999993</v>
      </c>
      <c s="3">
        <v>24537.499999999996</v>
      </c>
      <c s="3">
        <v>23776.010000000002</v>
      </c>
      <c s="3">
        <v>23649.259999999998</v>
      </c>
      <c s="3">
        <v>23149.32</v>
      </c>
      <c s="3">
        <f t="shared" si="0"/>
        <v>23149.32</v>
      </c>
      <c s="3">
        <v>22475.989999999998</v>
      </c>
      <c s="3">
        <v>22360.699999999997</v>
      </c>
      <c s="3">
        <v>22160.84</v>
      </c>
      <c s="3">
        <f t="shared" si="1"/>
        <v>22160.84</v>
      </c>
      <c s="3">
        <v>21806.130000000001</v>
      </c>
      <c s="3">
        <f t="shared" si="2"/>
        <v>21806.130000000001</v>
      </c>
      <c s="3">
        <v>21445.040000000001</v>
      </c>
      <c s="3">
        <v>21835.410000000003</v>
      </c>
      <c s="3">
        <v>21143.920000000002</v>
      </c>
      <c s="3">
        <v>21598.68</v>
      </c>
      <c s="3">
        <v>21707.360000000001</v>
      </c>
      <c s="3">
        <v>19564.75</v>
      </c>
      <c s="3">
        <v>19411.709999999999</v>
      </c>
    </row>
    <row>
      <c s="63" t="s">
        <v>63</v>
      </c>
      <c s="3">
        <v>27425.869999999999</v>
      </c>
      <c s="3">
        <v>27339.68</v>
      </c>
      <c s="3">
        <v>27155.509999999995</v>
      </c>
      <c s="3">
        <v>27121.369999999999</v>
      </c>
      <c s="3">
        <v>29300.960000000003</v>
      </c>
      <c s="3">
        <v>24614.779999999999</v>
      </c>
      <c s="3">
        <v>22075.23</v>
      </c>
      <c s="3">
        <f t="shared" si="0"/>
        <v>22075.23</v>
      </c>
      <c s="3">
        <v>22939.959999999999</v>
      </c>
      <c s="3">
        <v>22876.950000000004</v>
      </c>
      <c s="3">
        <v>17609.489999999998</v>
      </c>
      <c s="3">
        <f t="shared" si="1"/>
        <v>17609.489999999998</v>
      </c>
      <c s="3">
        <v>17609.489999999998</v>
      </c>
      <c s="3">
        <f t="shared" si="2"/>
        <v>17609.489999999998</v>
      </c>
      <c s="3">
        <v>17326.68</v>
      </c>
      <c s="3">
        <v>17088.52</v>
      </c>
      <c s="3">
        <v>17088.510000000002</v>
      </c>
      <c s="3">
        <v>16691.550000000003</v>
      </c>
      <c s="3">
        <v>16217.48</v>
      </c>
      <c s="3">
        <v>16217.48</v>
      </c>
      <c s="3">
        <v>16217.48</v>
      </c>
    </row>
    <row>
      <c s="63" t="s">
        <v>77</v>
      </c>
      <c s="3">
        <v>34049.5</v>
      </c>
      <c s="3">
        <v>34049.5</v>
      </c>
      <c s="3">
        <v>33874.629999999997</v>
      </c>
      <c s="3">
        <v>32221.73</v>
      </c>
      <c s="3">
        <v>32607.650000000001</v>
      </c>
      <c s="3">
        <v>32893.690000000002</v>
      </c>
      <c s="3">
        <v>0</v>
      </c>
      <c s="3">
        <f t="shared" si="0"/>
        <v>0</v>
      </c>
      <c s="3">
        <v>28291.650000000001</v>
      </c>
      <c s="3">
        <v>28291.650000000001</v>
      </c>
      <c s="3">
        <v>28291.650000000001</v>
      </c>
      <c s="3">
        <f t="shared" si="1"/>
        <v>28291.650000000001</v>
      </c>
      <c s="3">
        <v>28056.75</v>
      </c>
      <c s="3">
        <f t="shared" si="2"/>
        <v>28056.75</v>
      </c>
      <c s="3">
        <v>26335.300000000003</v>
      </c>
      <c s="3">
        <v>26424.299999999999</v>
      </c>
      <c s="3">
        <v>26248.840000000004</v>
      </c>
      <c s="3">
        <v>26263.009999999998</v>
      </c>
      <c s="3">
        <v>26174.009999999998</v>
      </c>
      <c s="3">
        <v>25557.57</v>
      </c>
      <c s="3">
        <v>25557.57</v>
      </c>
    </row>
    <row>
      <c s="63" t="s">
        <v>48</v>
      </c>
      <c s="3">
        <v>25341.019999999997</v>
      </c>
      <c s="3">
        <v>21102.219999999998</v>
      </c>
      <c s="3">
        <v>20995.219999999998</v>
      </c>
      <c s="3">
        <v>20880.25</v>
      </c>
      <c s="3">
        <v>20766.810000000001</v>
      </c>
      <c s="3">
        <v>20517.799999999999</v>
      </c>
      <c s="3">
        <v>18920.440000000002</v>
      </c>
      <c s="3">
        <f t="shared" si="0"/>
        <v>18920.440000000002</v>
      </c>
      <c s="3">
        <v>18559.900000000001</v>
      </c>
      <c s="3">
        <v>18551.850000000002</v>
      </c>
      <c s="3">
        <v>18754.570000000003</v>
      </c>
      <c s="3">
        <f t="shared" si="1"/>
        <v>18754.570000000003</v>
      </c>
      <c s="3">
        <v>18754.570000000003</v>
      </c>
      <c s="3">
        <f t="shared" si="2"/>
        <v>18754.570000000003</v>
      </c>
      <c s="3">
        <v>18567.420000000002</v>
      </c>
      <c s="3">
        <v>18517.820000000003</v>
      </c>
      <c s="3">
        <v>18517.820000000003</v>
      </c>
      <c s="3">
        <v>18407.170000000002</v>
      </c>
      <c s="3">
        <v>18493.380000000001</v>
      </c>
      <c s="3">
        <v>14081.700000000001</v>
      </c>
      <c s="3">
        <v>14100.299999999999</v>
      </c>
    </row>
    <row>
      <c s="63" t="s">
        <v>25</v>
      </c>
      <c s="3">
        <v>2201707.6400000001</v>
      </c>
      <c s="3">
        <v>2192561.6000000015</v>
      </c>
      <c s="3">
        <v>2154981.1500000018</v>
      </c>
      <c s="3">
        <v>2101618.9100000015</v>
      </c>
      <c s="3">
        <v>2065403.8099999998</v>
      </c>
      <c s="3">
        <v>2052928.8800000004</v>
      </c>
      <c s="3">
        <v>1977718.4900000002</v>
      </c>
      <c s="3">
        <f t="shared" si="0"/>
        <v>1977718.4900000002</v>
      </c>
      <c s="3">
        <v>1966125.8699999994</v>
      </c>
      <c s="3">
        <v>1893522.6499999999</v>
      </c>
      <c s="3">
        <v>1732414.6200000001</v>
      </c>
      <c s="3" t="str">
        <f t="shared" si="1"/>
        <v xml:space="preserve"> </v>
      </c>
      <c s="3">
        <v>1823844.0900000003</v>
      </c>
      <c s="3" t="str">
        <f t="shared" si="2"/>
        <v xml:space="preserve"> </v>
      </c>
      <c s="3">
        <v>1880189.9800000004</v>
      </c>
      <c s="3">
        <v>1855938.24</v>
      </c>
      <c s="3">
        <v>1781281.3099999996</v>
      </c>
      <c s="3">
        <v>1739846.8699999999</v>
      </c>
      <c s="3">
        <v>1709007.4900000002</v>
      </c>
      <c s="3">
        <v>1691792.3599999994</v>
      </c>
      <c s="3">
        <v>1665634.4199999999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47"/>
      <c s="5"/>
      <c s="5"/>
      <c s="5"/>
      <c s="5"/>
      <c s="5"/>
      <c s="5"/>
      <c s="5"/>
      <c s="5"/>
      <c s="5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1">
    <mergeCell ref="B15:V15"/>
  </mergeCells>
  <pageMargins left="0.70866141732283472" right="0.70866141732283472" top="0.78740157480314965" bottom="0.78740157480314965" header="0.31496062992125984" footer="0.31496062992125984"/>
  <pageSetup paperSize="9" scale="48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54"/>
  <sheetViews>
    <sheetView topLeftCell="A20" workbookViewId="0">
      <selection activeCell="D55" sqref="D55"/>
    </sheetView>
  </sheetViews>
  <sheetFormatPr defaultColWidth="9.140625" defaultRowHeight="13.6"/>
  <cols>
    <col min="1" max="1" width="13.5703125" style="24" customWidth="1"/>
    <col min="2" max="2" width="40.85546875" style="24" customWidth="1"/>
    <col min="3" max="3" width="28.140625" style="24" customWidth="1"/>
    <col min="4" max="4" width="16.28515625" style="24" customWidth="1"/>
    <col min="5" max="5" width="19.42578125" style="24" customWidth="1"/>
    <col min="6" max="6" width="11.140625" style="24" customWidth="1"/>
    <col min="7" max="7" width="9.140625" style="24" customWidth="1"/>
    <col min="8" max="8" width="17.28515625" style="24" customWidth="1"/>
    <col min="9" max="9" width="19.5703125" style="24" customWidth="1"/>
    <col min="10" max="12" width="12.42578125" style="24" customWidth="1"/>
    <col min="13" max="13" width="16" style="24" customWidth="1"/>
    <col min="14" max="14" width="14.28515625" style="24" customWidth="1"/>
    <col min="15" max="15" width="18.28515625" style="24" customWidth="1"/>
    <col min="16" max="25" width="9.140625" style="24" customWidth="1"/>
    <col min="26" max="26" width="9.140625" style="24" hidden="1" customWidth="1"/>
    <col min="27" max="27" width="9.140625" style="24" customWidth="1"/>
    <col min="28" max="16384" width="9.140625" style="24"/>
  </cols>
  <sheetData>
    <row>
      <c s="51"/>
      <c r="H1" s="67">
        <v>129806172700000000</v>
      </c>
      <c r="Z1" s="55" t="b">
        <f>0=1</f>
        <v>0</v>
      </c>
    </row>
    <row>
      <c r="Z2" s="55" t="b">
        <f>1=1</f>
        <v>1</v>
      </c>
    </row>
    <row>
      <c r="Z3" s="55"/>
    </row>
    <row>
      <c r="I4" s="24" t="s">
        <v>34</v>
      </c>
      <c s="60" t="s">
        <v>74</v>
      </c>
      <c s="12"/>
      <c s="12"/>
      <c s="12"/>
      <c s="12"/>
      <c s="12"/>
    </row>
    <row>
      <c r="J5" s="27" t="s">
        <v>26</v>
      </c>
      <c s="18" t="s">
        <v>52</v>
      </c>
      <c s="18" t="s">
        <v>64</v>
      </c>
      <c s="27" t="s">
        <v>103</v>
      </c>
      <c s="46" t="s">
        <v>82</v>
      </c>
      <c s="18" t="s">
        <v>1</v>
      </c>
    </row>
    <row>
      <c r="B6" s="25" t="s">
        <v>83</v>
      </c>
      <c s="21" t="s">
        <v>91</v>
      </c>
      <c s="41" t="s">
        <v>7</v>
      </c>
      <c s="10" t="s">
        <v>53</v>
      </c>
    </row>
    <row>
      <c r="C7" s="20"/>
      <c s="30" t="s">
        <v>8</v>
      </c>
      <c s="10" t="s">
        <v>61</v>
      </c>
    </row>
    <row>
      <c r="C8" s="30" t="s">
        <v>2</v>
      </c>
      <c s="20"/>
    </row>
    <row>
      <c r="C9" s="20"/>
      <c s="21" t="s">
        <v>27</v>
      </c>
      <c s="37"/>
    </row>
    <row>
      <c r="C10" s="21" t="s">
        <v>43</v>
      </c>
      <c s="35" t="s">
        <v>65</v>
      </c>
      <c s="10" t="s">
        <v>13</v>
      </c>
    </row>
    <row>
      <c r="B11" s="25" t="s">
        <v>54</v>
      </c>
      <c s="45" t="s">
        <v>44</v>
      </c>
      <c s="66">
        <v>60398</v>
      </c>
      <c s="10" t="s">
        <v>28</v>
      </c>
    </row>
    <row>
      <c r="B12" s="25"/>
      <c s="65"/>
      <c s="40"/>
      <c s="57" t="s">
        <v>75</v>
      </c>
    </row>
    <row>
      <c r="B13" s="25" t="s">
        <v>45</v>
      </c>
      <c s="59" t="s">
        <v>22</v>
      </c>
      <c s="52">
        <v>1212</v>
      </c>
      <c s="24" t="b">
        <v>0</v>
      </c>
      <c s="10" t="s">
        <v>66</v>
      </c>
    </row>
    <row ht="12.75" hidden="1">
      <c r="B14" s="25"/>
      <c s="59"/>
      <c s="42"/>
      <c s="24" t="b">
        <v>0</v>
      </c>
    </row>
    <row>
      <c r="B15" s="25" t="s">
        <v>92</v>
      </c>
      <c s="24" t="s">
        <v>95</v>
      </c>
      <c s="56">
        <v>1212</v>
      </c>
      <c s="24" t="b">
        <v>0</v>
      </c>
      <c s="10" t="s">
        <v>23</v>
      </c>
    </row>
    <row ht="12.75" hidden="1">
      <c r="B16" s="25"/>
      <c r="D16" s="23"/>
      <c s="24" t="b">
        <v>0</v>
      </c>
      <c s="10"/>
    </row>
    <row>
      <c r="B17" s="25"/>
      <c s="24" t="s">
        <v>29</v>
      </c>
      <c s="50">
        <v>3434</v>
      </c>
      <c s="24" t="b">
        <v>0</v>
      </c>
      <c s="10" t="s">
        <v>67</v>
      </c>
    </row>
    <row>
      <c r="B18" s="25"/>
      <c r="D18" s="23"/>
      <c s="24" t="b">
        <v>0</v>
      </c>
      <c s="10"/>
    </row>
    <row>
      <c r="B19" s="25"/>
      <c s="24" t="s">
        <v>3</v>
      </c>
      <c s="39">
        <v>3434</v>
      </c>
      <c s="24" t="b">
        <v>0</v>
      </c>
      <c s="10" t="s">
        <v>84</v>
      </c>
    </row>
    <row>
      <c r="B20" s="25"/>
      <c r="D20" s="23"/>
      <c s="24" t="b">
        <v>0</v>
      </c>
      <c s="10"/>
    </row>
    <row>
      <c r="B21" s="25"/>
      <c s="24" t="s">
        <v>85</v>
      </c>
      <c s="62">
        <v>5656</v>
      </c>
      <c s="24" t="b">
        <v>0</v>
      </c>
      <c s="10" t="s">
        <v>104</v>
      </c>
    </row>
    <row>
      <c r="B22" s="25"/>
      <c r="E22" s="10"/>
      <c r="I22" s="32"/>
    </row>
    <row>
      <c r="B23" s="26" t="s">
        <v>4</v>
      </c>
      <c s="26"/>
    </row>
    <row>
      <c r="B24" s="7" t="s">
        <v>55</v>
      </c>
      <c s="7" t="s">
        <v>30</v>
      </c>
      <c s="7" t="s">
        <v>9</v>
      </c>
      <c s="7" t="s">
        <v>86</v>
      </c>
      <c s="7"/>
      <c s="7"/>
      <c s="7"/>
    </row>
    <row ht="14.95">
      <c/>
      <c/>
      <c s="48" t="s">
        <v>56</v>
      </c>
      <c s="16" t="s">
        <v>98</v>
      </c>
      <c s="33">
        <v>1234.5599999999999</v>
      </c>
      <c/>
      <c/>
    </row>
    <row ht="14.95">
      <c/>
      <c/>
      <c s="48" t="s">
        <v>93</v>
      </c>
      <c s="16" t="s">
        <v>40</v>
      </c>
      <c s="8">
        <v>1234.5599999999999</v>
      </c>
      <c/>
      <c/>
    </row>
    <row>
      <c r="C27" s="53" t="s">
        <v>93</v>
      </c>
      <c s="16" t="s">
        <v>18</v>
      </c>
      <c s="8">
        <v>1234.5599999999999</v>
      </c>
    </row>
    <row>
      <c r="C28" s="68" t="s">
        <v>93</v>
      </c>
      <c s="16" t="s">
        <v>101</v>
      </c>
      <c s="8">
        <v>1234.5599999999999</v>
      </c>
    </row>
    <row>
      <c r="C29" s="68" t="s">
        <v>93</v>
      </c>
      <c s="16" t="s">
        <v>41</v>
      </c>
      <c s="8">
        <v>1234.5599999999999</v>
      </c>
    </row>
    <row>
      <c r="C30" s="68" t="s">
        <v>93</v>
      </c>
      <c s="16" t="s">
        <v>19</v>
      </c>
      <c s="8">
        <v>1234.5599999999999</v>
      </c>
    </row>
    <row>
      <c r="C31" s="68" t="s">
        <v>93</v>
      </c>
      <c s="16" t="s">
        <v>102</v>
      </c>
      <c s="8">
        <v>1234.5599999999999</v>
      </c>
    </row>
    <row>
      <c r="C32" s="68" t="s">
        <v>93</v>
      </c>
      <c s="16" t="s">
        <v>72</v>
      </c>
      <c s="8">
        <v>1234.5599999999999</v>
      </c>
    </row>
    <row>
      <c r="C33" s="68" t="s">
        <v>93</v>
      </c>
      <c s="16">
        <v>2013</v>
      </c>
      <c s="8">
        <v>1234.5599999999999</v>
      </c>
    </row>
    <row>
      <c r="C34" s="68" t="s">
        <v>93</v>
      </c>
      <c s="16">
        <v>2014</v>
      </c>
      <c s="8">
        <v>1234.5599999999999</v>
      </c>
    </row>
    <row>
      <c r="C35" s="68" t="s">
        <v>93</v>
      </c>
      <c s="16">
        <v>2015</v>
      </c>
      <c s="8">
        <v>1234.5599999999999</v>
      </c>
    </row>
    <row>
      <c r="C36" s="68" t="s">
        <v>93</v>
      </c>
      <c s="16">
        <v>2016</v>
      </c>
      <c s="8">
        <v>1234.5599999999999</v>
      </c>
    </row>
    <row>
      <c r="C37" s="68" t="s">
        <v>93</v>
      </c>
      <c s="16">
        <v>2017</v>
      </c>
      <c s="8">
        <v>1234.5599999999999</v>
      </c>
    </row>
    <row>
      <c r="C38" s="68" t="s">
        <v>38</v>
      </c>
      <c s="49" t="s">
        <v>14</v>
      </c>
      <c s="43">
        <v>1234.5599999999999</v>
      </c>
    </row>
    <row>
      <c r="C39" s="68" t="s">
        <v>38</v>
      </c>
      <c s="16" t="s">
        <v>96</v>
      </c>
      <c s="8">
        <v>1234.5599999999999</v>
      </c>
    </row>
    <row>
      <c r="C40" s="68" t="s">
        <v>38</v>
      </c>
      <c s="16" t="s">
        <v>68</v>
      </c>
      <c s="8">
        <v>1234.5599999999999</v>
      </c>
    </row>
    <row>
      <c r="C41" s="68" t="s">
        <v>38</v>
      </c>
      <c s="16" t="s">
        <v>24</v>
      </c>
      <c s="8">
        <v>1234.5599999999999</v>
      </c>
    </row>
    <row>
      <c r="C42" s="68" t="s">
        <v>38</v>
      </c>
      <c s="16" t="s">
        <v>105</v>
      </c>
      <c s="8">
        <v>1234.5599999999999</v>
      </c>
    </row>
    <row>
      <c r="C43" s="68" t="s">
        <v>38</v>
      </c>
      <c s="16" t="s">
        <v>76</v>
      </c>
      <c s="8">
        <v>1234.5599999999999</v>
      </c>
    </row>
    <row>
      <c r="C44" s="68" t="s">
        <v>38</v>
      </c>
      <c s="22" t="s">
        <v>46</v>
      </c>
      <c s="28">
        <v>1234.5599999999999</v>
      </c>
    </row>
    <row>
      <c r="C45" s="68" t="s">
        <v>38</v>
      </c>
      <c s="31">
        <v>41639</v>
      </c>
      <c s="8">
        <v>1234.5599999999999</v>
      </c>
    </row>
    <row>
      <c r="C46" s="68" t="s">
        <v>38</v>
      </c>
      <c s="22" t="s">
        <v>47</v>
      </c>
      <c s="28">
        <v>1234.5599999999999</v>
      </c>
    </row>
    <row>
      <c r="C47" s="68" t="s">
        <v>38</v>
      </c>
      <c s="16" t="s">
        <v>47</v>
      </c>
      <c s="8">
        <v>1234.5599999999999</v>
      </c>
    </row>
    <row>
      <c r="C48" s="68" t="s">
        <v>38</v>
      </c>
      <c s="22" t="s">
        <v>69</v>
      </c>
      <c s="34">
        <v>1234.5599999999999</v>
      </c>
    </row>
    <row>
      <c r="C49" s="68" t="s">
        <v>93</v>
      </c>
      <c s="16">
        <v>2018</v>
      </c>
      <c s="8">
        <v>1234.5599999999999</v>
      </c>
    </row>
    <row>
      <c r="C50" s="68" t="s">
        <v>93</v>
      </c>
      <c s="16">
        <v>2019</v>
      </c>
      <c s="8">
        <v>1234.5599999999999</v>
      </c>
    </row>
    <row>
      <c r="C51" s="68" t="s">
        <v>93</v>
      </c>
      <c s="16">
        <v>2020</v>
      </c>
      <c s="8">
        <v>1234.5599999999999</v>
      </c>
    </row>
    <row>
      <c r="C52" s="68" t="s">
        <v>93</v>
      </c>
      <c s="16">
        <v>2021</v>
      </c>
      <c s="8">
        <v>1234.5599999999999</v>
      </c>
    </row>
    <row>
      <c r="C53" s="68" t="s">
        <v>93</v>
      </c>
      <c s="16">
        <v>2022</v>
      </c>
      <c s="8">
        <v>1234.5599999999999</v>
      </c>
    </row>
    <row>
      <c r="C54" s="68" t="s">
        <v>93</v>
      </c>
      <c s="16">
        <v>2023</v>
      </c>
      <c s="8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
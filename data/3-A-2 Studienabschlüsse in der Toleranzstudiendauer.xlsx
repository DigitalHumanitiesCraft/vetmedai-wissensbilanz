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Tab!$A$1:$I$46</definedName>
    <definedName name="XL3DisableCameraObjects" hidden="1">XLCubedFormats!A1</definedName>
    <definedName name="XL3ObjLocation1c1db664_1580_4c7e_a25e_97ee0778f934">Tab!$A$10</definedName>
  </definedNames>
  <calcPr calcId="40001"/>
</workbook>
</file>

<file path=xl/sharedStrings.xml><?xml version="1.0" encoding="utf-8"?>
<sst xmlns="http://schemas.openxmlformats.org/spreadsheetml/2006/main" uniqueCount="581">
  <si>
    <t>Slicer Button Background</t>
  </si>
  <si>
    <t>Grid Title</t>
  </si>
  <si>
    <t>Oth Written Member</t>
  </si>
  <si>
    <t>Fill in Grid Name, Dimension or Both</t>
  </si>
  <si>
    <t xml:space="preserve">      UR</t>
  </si>
  <si>
    <t xml:space="preserve">      UV</t>
  </si>
  <si>
    <t>UA Studienjahr 2008/09</t>
  </si>
  <si>
    <t>UB Studienjahr 2014/15</t>
  </si>
  <si>
    <t>UC Studienjahr 2007/08</t>
  </si>
  <si>
    <t>UD Studienjahr 2013/14</t>
  </si>
  <si>
    <t>UE Studienjahr 2006/07</t>
  </si>
  <si>
    <t>UF Studienjahr 2017/18</t>
  </si>
  <si>
    <t>UH Studienjahr 2016/17</t>
  </si>
  <si>
    <t>UJ Studienjahr 2015/16</t>
  </si>
  <si>
    <t>UL Studienjahr 2014/15</t>
  </si>
  <si>
    <t>UM Studienjahr 2007/08</t>
  </si>
  <si>
    <t>UN Studienjahr 2013/14</t>
  </si>
  <si>
    <t>UO Studienjahr 2006/07</t>
  </si>
  <si>
    <t>UR Studienjahr 2016/17</t>
  </si>
  <si>
    <t>UT Studienjahr 2015/16</t>
  </si>
  <si>
    <t>UU Studienjahr 2019/20</t>
  </si>
  <si>
    <t>UV Studienjahr 2014/15</t>
  </si>
  <si>
    <t>UW Studienjahr 2007/08</t>
  </si>
  <si>
    <t>UC</t>
  </si>
  <si>
    <t>UG</t>
  </si>
  <si>
    <t>UW Studienjahr 2020/21</t>
  </si>
  <si>
    <t>UK Studienjahr 2021/22</t>
  </si>
  <si>
    <t>UU Studienjahr 2021/22</t>
  </si>
  <si>
    <t>UI Studienjahr 2022/23</t>
  </si>
  <si>
    <t>US Studienjahr 2022/23</t>
  </si>
  <si>
    <t>Studienjahr 2022/23</t>
  </si>
  <si>
    <t>UG Studienjahr 2023/24</t>
  </si>
  <si>
    <t>UQ Studienjahr 2023/24</t>
  </si>
  <si>
    <t>UE Studienjahr 2024/25</t>
  </si>
  <si>
    <t>UO Studienjahr 2024/25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</si>
  <si>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</si>
  <si>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</si>
  <si>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</si>
  <si>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</si>
  <si>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</si>
  <si>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</si>
  <si>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UA Studienjahr 2019/20</t>
  </si>
  <si>
    <t>UB Studienjahr 2008/09</t>
  </si>
  <si>
    <t>UE Studienjahr 2018/19</t>
  </si>
  <si>
    <t>UF Studienjahr 2012/13</t>
  </si>
  <si>
    <t>UG Studienjahr 2017/18</t>
  </si>
  <si>
    <t>UH Studienjahr 2009/10</t>
  </si>
  <si>
    <t>UH Studienjahr 2011/12</t>
  </si>
  <si>
    <t>UI Studienjahr 2016/17</t>
  </si>
  <si>
    <t>UJ Studienjahr 2010/11</t>
  </si>
  <si>
    <t>UK Studienjahr 2019/20</t>
  </si>
  <si>
    <t>UL Studienjahr 2008/09</t>
  </si>
  <si>
    <t>UN Studienjahr 2007/08</t>
  </si>
  <si>
    <t>UO Studienjahr 2018/19</t>
  </si>
  <si>
    <t>UQ Studienjahr 2017/18</t>
  </si>
  <si>
    <t>UR Studienjahr 2009/10</t>
  </si>
  <si>
    <t>UR Studienjahr 2011/12</t>
  </si>
  <si>
    <t>US Studienjahr 2016/17</t>
  </si>
  <si>
    <t>UT Studienjahr 2010/11</t>
  </si>
  <si>
    <t>UU Studienjahr 2015/16</t>
  </si>
  <si>
    <t>UV Studienjahr 2008/09</t>
  </si>
  <si>
    <t>UW Studienjahr 2014/15</t>
  </si>
  <si>
    <t>UO</t>
  </si>
  <si>
    <t>UK</t>
  </si>
  <si>
    <t>US</t>
  </si>
  <si>
    <t>UC Studienjahr 2020/21</t>
  </si>
  <si>
    <t>UM Studienjahr 2020/21</t>
  </si>
  <si>
    <t>Studienjahr 2016/17</t>
  </si>
  <si>
    <t>UA Studienjahr 2021/22</t>
  </si>
  <si>
    <t>2021/22</t>
  </si>
  <si>
    <t>UR Studienjahr 2023/24</t>
  </si>
  <si>
    <t>Staatengruppe (Ö, EU, andere)</t>
  </si>
  <si>
    <t>&lt;-- default Column Member Format</t>
  </si>
  <si>
    <t>Studienjahr 2009/10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</si>
  <si>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</si>
  <si>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</si>
  <si>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</si>
  <si>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</si>
  <si>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>Studienjahr 2011/12</t>
  </si>
  <si>
    <t xml:space="preserve">      UG</t>
  </si>
  <si>
    <t xml:space="preserve">      UC</t>
  </si>
  <si>
    <t>UA Studienjahr 2015/16</t>
  </si>
  <si>
    <t>UB Studienjahr 2019/20</t>
  </si>
  <si>
    <t>UC Studienjahr 2014/15</t>
  </si>
  <si>
    <t>UD Studienjahr 2007/08</t>
  </si>
  <si>
    <t>UE Studienjahr 2013/14</t>
  </si>
  <si>
    <t>UF Studienjahr 2006/07</t>
  </si>
  <si>
    <t>UG Studienjahr 2012/13</t>
  </si>
  <si>
    <t>UI Studienjahr 2009/10</t>
  </si>
  <si>
    <t>UI Studienjahr 2011/12</t>
  </si>
  <si>
    <t>UK Studienjahr 2015/16</t>
  </si>
  <si>
    <t>UL Studienjahr 2019/20</t>
  </si>
  <si>
    <t>UM Studienjahr 2014/15</t>
  </si>
  <si>
    <t>UO Studienjahr 2013/14</t>
  </si>
  <si>
    <t>UQ Studienjahr 2012/13</t>
  </si>
  <si>
    <t>US Studienjahr 2009/10</t>
  </si>
  <si>
    <t>US Studienjahr 2011/12</t>
  </si>
  <si>
    <t>UU Studienjahr 2010/11</t>
  </si>
  <si>
    <t>UV Studienjahr 2019/20</t>
  </si>
  <si>
    <t>UW</t>
  </si>
  <si>
    <t>UD Studienjahr 2020/21</t>
  </si>
  <si>
    <t>UN Studienjahr 2020/21</t>
  </si>
  <si>
    <t>UB Studienjahr 2021/22</t>
  </si>
  <si>
    <t>UL Studienjahr 2021/22</t>
  </si>
  <si>
    <t>UV Studienjahr 2021/22</t>
  </si>
  <si>
    <t>UJ Studienjahr 2022/23</t>
  </si>
  <si>
    <t>UT Studienjahr 2022/23</t>
  </si>
  <si>
    <t>Abschlussart-Code</t>
  </si>
  <si>
    <t>ISCED2013 2.Ebene (Langtext)</t>
  </si>
  <si>
    <t>UF Studienjahr 2024/25</t>
  </si>
  <si>
    <t>UH Studienjahr 2023/24</t>
  </si>
  <si>
    <t>Alternate Rows</t>
  </si>
  <si>
    <t>&lt;--  writeable cell format</t>
  </si>
  <si>
    <t>Gesamt</t>
  </si>
  <si>
    <t>Studienjahr 2023/24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</si>
  <si>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</si>
  <si>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</si>
  <si>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</si>
  <si>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 xml:space="preserve">      Universität Wien</t>
  </si>
  <si>
    <t>UA Studienjahr 2010/11</t>
  </si>
  <si>
    <t>UB Studienjahr 2015/16</t>
  </si>
  <si>
    <t>UC Studienjahr 2008/09</t>
  </si>
  <si>
    <t>UD Studienjahr 2014/15</t>
  </si>
  <si>
    <t>UE Studienjahr 2007/08</t>
  </si>
  <si>
    <t>UF Studienjahr 2018/19</t>
  </si>
  <si>
    <t>UG Studienjahr 2006/07</t>
  </si>
  <si>
    <t>UH Studienjahr 2017/18</t>
  </si>
  <si>
    <t>UJ Studienjahr 2016/17</t>
  </si>
  <si>
    <t>UK Studienjahr 2010/11</t>
  </si>
  <si>
    <t>UL Studienjahr 2015/16</t>
  </si>
  <si>
    <t>UM Studienjahr 2008/09</t>
  </si>
  <si>
    <t>UN Studienjahr 2014/15</t>
  </si>
  <si>
    <t>UO Studienjahr 2007/08</t>
  </si>
  <si>
    <t>UQ Studienjahr 2006/07</t>
  </si>
  <si>
    <t>UR Studienjahr 2017/18</t>
  </si>
  <si>
    <t>UT Studienjahr 2016/17</t>
  </si>
  <si>
    <t>UV Studienjahr 2015/16</t>
  </si>
  <si>
    <t>UW Studienjahr 2008/09</t>
  </si>
  <si>
    <t>UW Studienjahr 2019/20</t>
  </si>
  <si>
    <t>UW Studienjahr 2021/22</t>
  </si>
  <si>
    <t>UK Studienjahr 2022/23</t>
  </si>
  <si>
    <t>UU Studienjahr 2022/23</t>
  </si>
  <si>
    <t>UI Studienjahr 2023/24</t>
  </si>
  <si>
    <t>US Studienjahr 2023/24</t>
  </si>
  <si>
    <t xml:space="preserve">      UK</t>
  </si>
  <si>
    <t>UG Studienjahr 2024/25</t>
  </si>
  <si>
    <t>UQ Studienjahr 2024/25</t>
  </si>
  <si>
    <t>Slicer Title</t>
  </si>
  <si>
    <t>Calendar Period</t>
  </si>
  <si>
    <t>&lt;-- default cell format</t>
  </si>
  <si>
    <t>Written Member</t>
  </si>
  <si>
    <t>Dimension/Column</t>
  </si>
  <si>
    <t xml:space="preserve">      UW</t>
  </si>
  <si>
    <t xml:space="preserve">      US</t>
  </si>
  <si>
    <t>Studienjahr 2017/18</t>
  </si>
  <si>
    <t xml:space="preserve">      Akad.d.bild.Künste Wien</t>
  </si>
  <si>
    <t xml:space="preserve">      Medizinische Univ.Graz</t>
  </si>
  <si>
    <t>UB Studienjahr 2010/11</t>
  </si>
  <si>
    <t>UC Studienjahr 2019/20</t>
  </si>
  <si>
    <t>UF Studienjahr 2013/14</t>
  </si>
  <si>
    <t>UG Studienjahr 2018/19</t>
  </si>
  <si>
    <t>UH Studienjahr 2012/13</t>
  </si>
  <si>
    <t>UI Studienjahr 2017/18</t>
  </si>
  <si>
    <t>UJ Studienjahr 2009/10</t>
  </si>
  <si>
    <t>UJ Studienjahr 2011/12</t>
  </si>
  <si>
    <t>UK Studienjahr 2016/17</t>
  </si>
  <si>
    <t>UL Studienjahr 2010/11</t>
  </si>
  <si>
    <t>UM Studienjahr 2019/20</t>
  </si>
  <si>
    <t>UN Studienjahr 2008/09</t>
  </si>
  <si>
    <t>UQ Studienjahr 2018/19</t>
  </si>
  <si>
    <t>UR Studienjahr 2012/13</t>
  </si>
  <si>
    <t>US Studienjahr 2017/18</t>
  </si>
  <si>
    <t>UT Studienjahr 2009/10</t>
  </si>
  <si>
    <t>UT Studienjahr 2011/12</t>
  </si>
  <si>
    <t>UU Studienjahr 2016/17</t>
  </si>
  <si>
    <t>UV Studienjahr 2010/11</t>
  </si>
  <si>
    <t>UW Studienjahr 2015/16</t>
  </si>
  <si>
    <t>UH</t>
  </si>
  <si>
    <t>UE Studienjahr 2020/21</t>
  </si>
  <si>
    <t>UO Studienjahr 2020/21</t>
  </si>
  <si>
    <t>UC Studienjahr 2021/22</t>
  </si>
  <si>
    <t>UM Studienjahr 2021/22</t>
  </si>
  <si>
    <t>UA Studienjahr 2022/23</t>
  </si>
  <si>
    <t>2022/23</t>
  </si>
  <si>
    <t>ISCED2013 1.Ebene (Langtext)</t>
  </si>
  <si>
    <t>UR Studienjahr 2024/25</t>
  </si>
  <si>
    <t>Slice Name (Optional)</t>
  </si>
  <si>
    <t>Anzahl der Studienabschlüsse in der Toleranzstudiendauer</t>
  </si>
  <si>
    <t>Kennzahl 3.A.2 - Gesamtübersicht</t>
  </si>
  <si>
    <t>Anmerkung: Aufgrund von Sonderbestimmungen entfällt diese Kennzahl für die Universität für Weiterbildung Krems.</t>
  </si>
  <si>
    <t xml:space="preserve">      Veterinärmed.Univ.Wien</t>
  </si>
  <si>
    <t>STICHTAG</t>
  </si>
  <si>
    <t xml:space="preserve">      Universität Mozarteum Salzburg</t>
  </si>
  <si>
    <t>Studienjahr 2012/13</t>
  </si>
  <si>
    <t>UA Studienjahr 2016/17</t>
  </si>
  <si>
    <t>UC Studienjahr 2015/16</t>
  </si>
  <si>
    <t>UD Studienjahr 2008/09</t>
  </si>
  <si>
    <t>UD Studienjahr 2019/20</t>
  </si>
  <si>
    <t>UE Studienjahr 2014/15</t>
  </si>
  <si>
    <t>UF Studienjahr 2007/08</t>
  </si>
  <si>
    <t>UG Studienjahr 2013/14</t>
  </si>
  <si>
    <t>UH Studienjahr 2006/07</t>
  </si>
  <si>
    <t>UI Studienjahr 2012/13</t>
  </si>
  <si>
    <t>UM Studienjahr 2015/16</t>
  </si>
  <si>
    <t>UN Studienjahr 2019/20</t>
  </si>
  <si>
    <t>UO Studienjahr 2014/15</t>
  </si>
  <si>
    <t>UQ Studienjahr 2013/14</t>
  </si>
  <si>
    <t>US Studienjahr 2012/13</t>
  </si>
  <si>
    <t>UU Studienjahr 2009/10</t>
  </si>
  <si>
    <t>UU Studienjahr 2011/12</t>
  </si>
  <si>
    <t>UL</t>
  </si>
  <si>
    <t>UD Studienjahr 2021/22</t>
  </si>
  <si>
    <t>UN Studienjahr 2021/22</t>
  </si>
  <si>
    <t>UB Studienjahr 2022/23</t>
  </si>
  <si>
    <t>UL Studienjahr 2022/23</t>
  </si>
  <si>
    <t>UV Studienjahr 2022/23</t>
  </si>
  <si>
    <t>UJ Studienjahr 2023/24</t>
  </si>
  <si>
    <t>UT Studienjahr 2023/24</t>
  </si>
  <si>
    <t>UH Studienjahr 2024/25</t>
  </si>
  <si>
    <t>(Members of Studienfach Fachcode) - (Zweitfach, Keine Angabe)</t>
  </si>
  <si>
    <t xml:space="preserve">      Akademie der bildenden Künste Wien</t>
  </si>
  <si>
    <t xml:space="preserve">      Univ.f.Mus.u.darst.K.Graz</t>
  </si>
  <si>
    <t>[ALLG Wissensbilanz Semester].[WB Studienjahr #Langbezeichnung#]</t>
  </si>
  <si>
    <t xml:space="preserve">      Universität Innsbruck</t>
  </si>
  <si>
    <t xml:space="preserve">      UD</t>
  </si>
  <si>
    <t>UA Studienjahr 2009/10</t>
  </si>
  <si>
    <t>UA Studienjahr 2011/12</t>
  </si>
  <si>
    <t>UB Studienjahr 2016/17</t>
  </si>
  <si>
    <t>UC Studienjahr 2010/11</t>
  </si>
  <si>
    <t>UD Studienjahr 2015/16</t>
  </si>
  <si>
    <t>UE Studienjahr 2008/09</t>
  </si>
  <si>
    <t>UG Studienjahr 2007/08</t>
  </si>
  <si>
    <t>UH Studienjahr 2018/19</t>
  </si>
  <si>
    <t>UI Studienjahr 2006/07</t>
  </si>
  <si>
    <t>UJ Studienjahr 2017/18</t>
  </si>
  <si>
    <t>UK Studienjahr 2011/12</t>
  </si>
  <si>
    <t>UL Studienjahr 2016/17</t>
  </si>
  <si>
    <t>UN Studienjahr 2015/16</t>
  </si>
  <si>
    <t>UO Studienjahr 2008/09</t>
  </si>
  <si>
    <t>UQ Studienjahr 2007/08</t>
  </si>
  <si>
    <t>UR Studienjahr 2018/19</t>
  </si>
  <si>
    <t>US Studienjahr 2006/07</t>
  </si>
  <si>
    <t>UT Studienjahr 2017/18</t>
  </si>
  <si>
    <t>UV Studienjahr 2016/17</t>
  </si>
  <si>
    <t>UW Studienjahr 2010/11</t>
  </si>
  <si>
    <t>UT</t>
  </si>
  <si>
    <t>UF Studienjahr 2020/21</t>
  </si>
  <si>
    <t>UW Studienjahr 2022/23</t>
  </si>
  <si>
    <t>UK Studienjahr 2023/24</t>
  </si>
  <si>
    <t>UU Studienjahr 2023/24</t>
  </si>
  <si>
    <t>UI Studienjahr 2024/25</t>
  </si>
  <si>
    <t>US Studienjahr 2024/25</t>
  </si>
  <si>
    <t>Measures</t>
  </si>
  <si>
    <t>Customer</t>
  </si>
  <si>
    <t>-All Customer</t>
  </si>
  <si>
    <t>Default Alternate Row Member Format --&gt;</t>
  </si>
  <si>
    <t>Studienabschlüsse in Toleranzstudiendauer</t>
  </si>
  <si>
    <t xml:space="preserve">      UL</t>
  </si>
  <si>
    <t xml:space="preserve">      UH</t>
  </si>
  <si>
    <t xml:space="preserve">      Veterinärmedizinische Universität Wien</t>
  </si>
  <si>
    <t xml:space="preserve">      Technische Universität Wien</t>
  </si>
  <si>
    <t xml:space="preserve">      Medizinische Universität Wien</t>
  </si>
  <si>
    <t>UB Studienjahr 2011/12</t>
  </si>
  <si>
    <t>UE Studienjahr 2019/20</t>
  </si>
  <si>
    <t>UF Studienjahr 2014/15</t>
  </si>
  <si>
    <t>UH Studienjahr 2013/14</t>
  </si>
  <si>
    <t>UI Studienjahr 2018/19</t>
  </si>
  <si>
    <t>UJ Studienjahr 2012/13</t>
  </si>
  <si>
    <t>UK Studienjahr 2017/18</t>
  </si>
  <si>
    <t>UL Studienjahr 2009/10</t>
  </si>
  <si>
    <t>UL Studienjahr 2011/12</t>
  </si>
  <si>
    <t>UN Studienjahr 2010/11</t>
  </si>
  <si>
    <t>UO Studienjahr 2019/20</t>
  </si>
  <si>
    <t>UR Studienjahr 2013/14</t>
  </si>
  <si>
    <t>US Studienjahr 2018/19</t>
  </si>
  <si>
    <t>UT Studienjahr 2012/13</t>
  </si>
  <si>
    <t>UU Studienjahr 2017/18</t>
  </si>
  <si>
    <t>UV Studienjahr 2009/10</t>
  </si>
  <si>
    <t>UV Studienjahr 2011/12</t>
  </si>
  <si>
    <t>UW Studienjahr 2016/17</t>
  </si>
  <si>
    <t>UA</t>
  </si>
  <si>
    <t>Studienjahr 2018/19</t>
  </si>
  <si>
    <t>UG Studienjahr 2020/21</t>
  </si>
  <si>
    <t>UQ Studienjahr 2020/21</t>
  </si>
  <si>
    <t>UE Studienjahr 2021/22</t>
  </si>
  <si>
    <t>UO Studienjahr 2021/22</t>
  </si>
  <si>
    <t>UC Studienjahr 2022/23</t>
  </si>
  <si>
    <t>UM Studienjahr 2022/23</t>
  </si>
  <si>
    <t>UA Studienjahr 2023/24</t>
  </si>
  <si>
    <t>2023/24</t>
  </si>
  <si>
    <t>Slicer Item</t>
  </si>
  <si>
    <t>&lt;-- default Slicer Member Format</t>
  </si>
  <si>
    <t>Default Row Member Format --&gt;</t>
  </si>
  <si>
    <t>Grid/Table Name</t>
  </si>
  <si>
    <t xml:space="preserve">      Univ.künst.u.i.Gest.Linz</t>
  </si>
  <si>
    <t>[Measures]</t>
  </si>
  <si>
    <t>KZIDF_IV_1_4</t>
  </si>
  <si>
    <t>LIEFIDF_IV_1_4</t>
  </si>
  <si>
    <t xml:space="preserve">      Universität für Musik und darstellende Kunst Wien</t>
  </si>
  <si>
    <t>Studienjahr 2013/14</t>
  </si>
  <si>
    <t xml:space="preserve">      UT</t>
  </si>
  <si>
    <t>UA Studienjahr 2017/18</t>
  </si>
  <si>
    <t>UC Studienjahr 2016/17</t>
  </si>
  <si>
    <t>UD Studienjahr 2010/11</t>
  </si>
  <si>
    <t>UE Studienjahr 2015/16</t>
  </si>
  <si>
    <t>UF Studienjahr 2008/09</t>
  </si>
  <si>
    <t>UG Studienjahr 2014/15</t>
  </si>
  <si>
    <t>UH Studienjahr 2007/08</t>
  </si>
  <si>
    <t>UI Studienjahr 2013/14</t>
  </si>
  <si>
    <t>UJ Studienjahr 2006/07</t>
  </si>
  <si>
    <t>UM Studienjahr 2016/17</t>
  </si>
  <si>
    <t>UO Studienjahr 2015/16</t>
  </si>
  <si>
    <t>UQ Studienjahr 2014/15</t>
  </si>
  <si>
    <t>UR Studienjahr 2007/08</t>
  </si>
  <si>
    <t>US Studienjahr 2013/14</t>
  </si>
  <si>
    <t>UT Studienjahr 2006/07</t>
  </si>
  <si>
    <t>UU Studienjahr 2012/13</t>
  </si>
  <si>
    <t>UE</t>
  </si>
  <si>
    <t>UI</t>
  </si>
  <si>
    <t>UD Studienjahr 2022/23</t>
  </si>
  <si>
    <t>UN Studienjahr 2022/23</t>
  </si>
  <si>
    <t>UB Studienjahr 2023/24</t>
  </si>
  <si>
    <t>UL Studienjahr 2023/24</t>
  </si>
  <si>
    <t>UV Studienjahr 2023/24</t>
  </si>
  <si>
    <t>UJ Studienjahr 2024/25</t>
  </si>
  <si>
    <t>UT Studienjahr 2024/25</t>
  </si>
  <si>
    <t>&lt;-- writeable Slicer Member Format</t>
  </si>
  <si>
    <t xml:space="preserve">      Medizinische Univ.Wien</t>
  </si>
  <si>
    <t xml:space="preserve">      Universität für Bodenkultur Wien</t>
  </si>
  <si>
    <t>UA Studienjahr 2012/13</t>
  </si>
  <si>
    <t>UB Studienjahr 2017/18</t>
  </si>
  <si>
    <t>UC Studienjahr 2009/10</t>
  </si>
  <si>
    <t>UC Studienjahr 2011/12</t>
  </si>
  <si>
    <t>UD Studienjahr 2016/17</t>
  </si>
  <si>
    <t>UE Studienjahr 2010/11</t>
  </si>
  <si>
    <t>UF Studienjahr 2019/20</t>
  </si>
  <si>
    <t>UG Studienjahr 2008/09</t>
  </si>
  <si>
    <t>UI Studienjahr 2007/08</t>
  </si>
  <si>
    <t>UJ Studienjahr 2018/19</t>
  </si>
  <si>
    <t>UK Studienjahr 2012/13</t>
  </si>
  <si>
    <t>UL Studienjahr 2017/18</t>
  </si>
  <si>
    <t>UM Studienjahr 2009/10</t>
  </si>
  <si>
    <t>UM Studienjahr 2011/12</t>
  </si>
  <si>
    <t>UN Studienjahr 2016/17</t>
  </si>
  <si>
    <t>UO Studienjahr 2010/11</t>
  </si>
  <si>
    <t>UQ Studienjahr 2008/09</t>
  </si>
  <si>
    <t>US Studienjahr 2007/08</t>
  </si>
  <si>
    <t>UT Studienjahr 2018/19</t>
  </si>
  <si>
    <t>UU Studienjahr 2006/07</t>
  </si>
  <si>
    <t>UV Studienjahr 2017/18</t>
  </si>
  <si>
    <t>UW Studienjahr 2009/10</t>
  </si>
  <si>
    <t>UW Studienjahr 2011/12</t>
  </si>
  <si>
    <t>UQ</t>
  </si>
  <si>
    <t>UM</t>
  </si>
  <si>
    <t>UH Studienjahr 2020/21</t>
  </si>
  <si>
    <t>UR Studienjahr 2020/21</t>
  </si>
  <si>
    <t>UF Studienjahr 2021/22</t>
  </si>
  <si>
    <t>UW Studienjahr 2023/24</t>
  </si>
  <si>
    <t>UK Studienjahr 2024/25</t>
  </si>
  <si>
    <t>UU Studienjahr 2024/25</t>
  </si>
  <si>
    <t>Slicer Button</t>
  </si>
  <si>
    <t>+2009</t>
  </si>
  <si>
    <t>&lt;-- default alternate row cell format</t>
  </si>
  <si>
    <t>&lt;--  written cell format</t>
  </si>
  <si>
    <t>Anmerkung: Aufgrund von Änderungen in den Erhebungsmethoden sind die Indikatorwerte im zeitlichen Verlauf nicht immer direkt vergleichbar.</t>
  </si>
  <si>
    <t xml:space="preserve">      UE</t>
  </si>
  <si>
    <t xml:space="preserve">      UA</t>
  </si>
  <si>
    <t xml:space="preserve">      Wirtschaftsuniversität Wien</t>
  </si>
  <si>
    <t>UA Studienjahr 2006/07</t>
  </si>
  <si>
    <t>UB Studienjahr 2012/13</t>
  </si>
  <si>
    <t>UF Studienjahr 2015/16</t>
  </si>
  <si>
    <t>UG Studienjahr 2019/20</t>
  </si>
  <si>
    <t>UH Studienjahr 2014/15</t>
  </si>
  <si>
    <t>UJ Studienjahr 2013/14</t>
  </si>
  <si>
    <t>UK Studienjahr 2018/19</t>
  </si>
  <si>
    <t>UL Studienjahr 2012/13</t>
  </si>
  <si>
    <t>UN Studienjahr 2009/10</t>
  </si>
  <si>
    <t>UN Studienjahr 2011/12</t>
  </si>
  <si>
    <t>UQ Studienjahr 2019/20</t>
  </si>
  <si>
    <t>UR Studienjahr 2014/15</t>
  </si>
  <si>
    <t>UT Studienjahr 2013/14</t>
  </si>
  <si>
    <t>UU Studienjahr 2018/19</t>
  </si>
  <si>
    <t>UV Studienjahr 2012/13</t>
  </si>
  <si>
    <t>UW Studienjahr 2017/18</t>
  </si>
  <si>
    <t>UU</t>
  </si>
  <si>
    <t>UI Studienjahr 2020/21</t>
  </si>
  <si>
    <t>US Studienjahr 2020/21</t>
  </si>
  <si>
    <t>Studienjahr 2020/21</t>
  </si>
  <si>
    <t>UG Studienjahr 2021/22</t>
  </si>
  <si>
    <t>UQ Studienjahr 2021/22</t>
  </si>
  <si>
    <t>UE Studienjahr 2022/23</t>
  </si>
  <si>
    <t>UO Studienjahr 2022/23</t>
  </si>
  <si>
    <t>UC Studienjahr 2023/24</t>
  </si>
  <si>
    <t>UM Studienjahr 2023/24</t>
  </si>
  <si>
    <t>Studienarten</t>
  </si>
  <si>
    <t>UA Studienjahr 2024/25</t>
  </si>
  <si>
    <t>Display Formats For:</t>
  </si>
  <si>
    <t>Enabled?</t>
  </si>
  <si>
    <t xml:space="preserve">      Univ.f.Mus.u.darst.K.Wien</t>
  </si>
  <si>
    <t xml:space="preserve">      Universität für künstlerische und industrielle Gestaltung Linz</t>
  </si>
  <si>
    <t>Studienjahr 2014/15</t>
  </si>
  <si>
    <t xml:space="preserve">      UI</t>
  </si>
  <si>
    <t>UA Studienjahr 2018/19</t>
  </si>
  <si>
    <t>UB Studienjahr 2006/07</t>
  </si>
  <si>
    <t>UC Studienjahr 2017/18</t>
  </si>
  <si>
    <t>UD Studienjahr 2009/10</t>
  </si>
  <si>
    <t>UD Studienjahr 2011/12</t>
  </si>
  <si>
    <t>UE Studienjahr 2016/17</t>
  </si>
  <si>
    <t>UF Studienjahr 2010/11</t>
  </si>
  <si>
    <t>UG Studienjahr 2015/16</t>
  </si>
  <si>
    <t>UH Studienjahr 2008/09</t>
  </si>
  <si>
    <t>UI Studienjahr 2014/15</t>
  </si>
  <si>
    <t>UJ Studienjahr 2007/08</t>
  </si>
  <si>
    <t>UL Studienjahr 2006/07</t>
  </si>
  <si>
    <t>UM Studienjahr 2017/18</t>
  </si>
  <si>
    <t>UO Studienjahr 2016/17</t>
  </si>
  <si>
    <t>UQ Studienjahr 2015/16</t>
  </si>
  <si>
    <t>UR Studienjahr 2008/09</t>
  </si>
  <si>
    <t>US Studienjahr 2014/15</t>
  </si>
  <si>
    <t>UT Studienjahr 2007/08</t>
  </si>
  <si>
    <t>UU Studienjahr 2013/14</t>
  </si>
  <si>
    <t>UV Studienjahr 2006/07</t>
  </si>
  <si>
    <t>UD Studienjahr 2023/24</t>
  </si>
  <si>
    <t>UN Studienjahr 2023/24</t>
  </si>
  <si>
    <t>UB Studienjahr 2024/25</t>
  </si>
  <si>
    <t>UL Studienjahr 2024/25</t>
  </si>
  <si>
    <t>UV Studienjahr 2024/25</t>
  </si>
  <si>
    <t>Datenprüfung und -aufbereitung: bmfwf, Abt. I/10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</si>
  <si>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</si>
  <si>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</si>
  <si>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</si>
  <si>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</si>
  <si>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</si>
  <si>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Studienjahr 2008/09</t>
  </si>
  <si>
    <t xml:space="preserve">      UQ</t>
  </si>
  <si>
    <t>Universität-Ausrichtung</t>
  </si>
  <si>
    <t xml:space="preserve">      Techn.Universität Graz</t>
  </si>
  <si>
    <t xml:space="preserve">      UU</t>
  </si>
  <si>
    <t>UA Studienjahr 2013/14</t>
  </si>
  <si>
    <t>UB Studienjahr 2018/19</t>
  </si>
  <si>
    <t>UC Studienjahr 2012/13</t>
  </si>
  <si>
    <t>UD Studienjahr 2017/18</t>
  </si>
  <si>
    <t>UE Studienjahr 2009/10</t>
  </si>
  <si>
    <t>UE Studienjahr 2011/12</t>
  </si>
  <si>
    <t>UG Studienjahr 2010/11</t>
  </si>
  <si>
    <t>UH Studienjahr 2019/20</t>
  </si>
  <si>
    <t>UI Studienjahr 2008/09</t>
  </si>
  <si>
    <t>UK Studienjahr 2013/14</t>
  </si>
  <si>
    <t>UL Studienjahr 2018/19</t>
  </si>
  <si>
    <t>UM Studienjahr 2012/13</t>
  </si>
  <si>
    <t>UN Studienjahr 2017/18</t>
  </si>
  <si>
    <t>UO Studienjahr 2009/10</t>
  </si>
  <si>
    <t>UO Studienjahr 2011/12</t>
  </si>
  <si>
    <t>UQ Studienjahr 2010/11</t>
  </si>
  <si>
    <t>UR Studienjahr 2019/20</t>
  </si>
  <si>
    <t>US Studienjahr 2008/09</t>
  </si>
  <si>
    <t>UU Studienjahr 2007/08</t>
  </si>
  <si>
    <t>UV Studienjahr 2018/19</t>
  </si>
  <si>
    <t>UW Studienjahr 2012/13</t>
  </si>
  <si>
    <t>UB</t>
  </si>
  <si>
    <t>UF</t>
  </si>
  <si>
    <t>UJ</t>
  </si>
  <si>
    <t>Quelle: Datenmeldungen der Universitäten auf Basis UHSBV</t>
  </si>
  <si>
    <t>UJ Studienjahr 2020/21</t>
  </si>
  <si>
    <t>UT Studienjahr 2020/21</t>
  </si>
  <si>
    <t>UH Studienjahr 2021/22</t>
  </si>
  <si>
    <t>UR Studienjahr 2021/22</t>
  </si>
  <si>
    <t>UF Studienjahr 2022/23</t>
  </si>
  <si>
    <t>Universität (Langtext)</t>
  </si>
  <si>
    <t>UW Studienjahr 2024/25</t>
  </si>
  <si>
    <t>Marital Status</t>
  </si>
  <si>
    <t>Default Writeable Member Format --&gt;</t>
  </si>
  <si>
    <t>Studienfach Fachcode</t>
  </si>
  <si>
    <t>Abschlussart</t>
  </si>
  <si>
    <t>UA Studienjahr 2007/08</t>
  </si>
  <si>
    <t>UB Studienjahr 2013/14</t>
  </si>
  <si>
    <t>UC Studienjahr 2006/07</t>
  </si>
  <si>
    <t>UD Studienjahr 2012/13</t>
  </si>
  <si>
    <t>UF Studienjahr 2016/17</t>
  </si>
  <si>
    <t>UH Studienjahr 2015/16</t>
  </si>
  <si>
    <t>UI Studienjahr 2019/20</t>
  </si>
  <si>
    <t>UJ Studienjahr 2014/15</t>
  </si>
  <si>
    <t>UL Studienjahr 2013/14</t>
  </si>
  <si>
    <t>UM Studienjahr 2006/07</t>
  </si>
  <si>
    <t>UN Studienjahr 2012/13</t>
  </si>
  <si>
    <t>UR Studienjahr 2015/16</t>
  </si>
  <si>
    <t>US Studienjahr 2019/20</t>
  </si>
  <si>
    <t>UT Studienjahr 2014/15</t>
  </si>
  <si>
    <t>UV Studienjahr 2013/14</t>
  </si>
  <si>
    <t>UW Studienjahr 2006/07</t>
  </si>
  <si>
    <t>UW Studienjahr 2018/19</t>
  </si>
  <si>
    <t>UN</t>
  </si>
  <si>
    <t>UR</t>
  </si>
  <si>
    <t>UK Studienjahr 2020/21</t>
  </si>
  <si>
    <t>UU Studienjahr 2020/21</t>
  </si>
  <si>
    <t>Studienjahr 2019/20</t>
  </si>
  <si>
    <t>UI Studienjahr 2021/22</t>
  </si>
  <si>
    <t>US Studienjahr 2021/22</t>
  </si>
  <si>
    <t>Studienjahr 2021/22</t>
  </si>
  <si>
    <t>UG Studienjahr 2022/23</t>
  </si>
  <si>
    <t>UQ Studienjahr 2022/23</t>
  </si>
  <si>
    <t>UE Studienjahr 2023/24</t>
  </si>
  <si>
    <t>UO Studienjahr 2023/24</t>
  </si>
  <si>
    <t>Universität (Codex)</t>
  </si>
  <si>
    <t>WB Studienjahr (Langbezeichnung)</t>
  </si>
  <si>
    <t>UC Studienjahr 2024/25</t>
  </si>
  <si>
    <t>UM Studienjahr 2024/25</t>
  </si>
  <si>
    <t>(Members of Studienjahr und Datenstand) - (Studienjahr 2014/15 (vorläufig), Studienjahr 2015/16 (vorläufig), Studienjahr 2016/17 (vorläufig), Studienjahr 2017/18 (vorläufig), Studienjahr 2018/19 (vorläufig), Studienjahr 2019/20 (vorläufig), Studienjahr 2020/21 (vorläufig), Studienjahr 2021/22 (vorläufig), Studienjahr 2022/23 (vorläufig), Studienjahr 2023/24 (endgültig), Studienjahr 2024/25 (vorläufig))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</si>
  <si>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</si>
  <si>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</si>
  <si>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</si>
  <si>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</si>
  <si>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</si>
  <si>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</si>
  <si>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Studienjahr 2015/16</t>
  </si>
  <si>
    <t xml:space="preserve">      Univ.f.Bodenkultur Wien</t>
  </si>
  <si>
    <t xml:space="preserve">      UF</t>
  </si>
  <si>
    <t>UB Studienjahr 2007/08</t>
  </si>
  <si>
    <t>UC Studienjahr 2018/19</t>
  </si>
  <si>
    <t>UE Studienjahr 2017/18</t>
  </si>
  <si>
    <t>UF Studienjahr 2009/10</t>
  </si>
  <si>
    <t>UF Studienjahr 2011/12</t>
  </si>
  <si>
    <t>UG Studienjahr 2016/17</t>
  </si>
  <si>
    <t>UH Studienjahr 2010/11</t>
  </si>
  <si>
    <t>UI Studienjahr 2015/16</t>
  </si>
  <si>
    <t>UJ Studienjahr 2008/09</t>
  </si>
  <si>
    <t>UL Studienjahr 2007/08</t>
  </si>
  <si>
    <t>UM Studienjahr 2018/19</t>
  </si>
  <si>
    <t>UN Studienjahr 2006/07</t>
  </si>
  <si>
    <t>UO Studienjahr 2017/18</t>
  </si>
  <si>
    <t>UQ Studienjahr 2016/17</t>
  </si>
  <si>
    <t>UR Studienjahr 2010/11</t>
  </si>
  <si>
    <t>US Studienjahr 2015/16</t>
  </si>
  <si>
    <t>UT Studienjahr 2008/09</t>
  </si>
  <si>
    <t>UU Studienjahr 2014/15</t>
  </si>
  <si>
    <t>UV Studienjahr 2007/08</t>
  </si>
  <si>
    <t>UW Studienjahr 2013/14</t>
  </si>
  <si>
    <t>UV</t>
  </si>
  <si>
    <t>UA Studienjahr 2020/21</t>
  </si>
  <si>
    <t>UR Studienjahr 2022/23</t>
  </si>
  <si>
    <t>Studienjahr und Datenstand</t>
  </si>
  <si>
    <t>(Members of Abschlussart-Code) - (Unknown)</t>
  </si>
  <si>
    <t>UD Studienjahr 2024/25</t>
  </si>
  <si>
    <t>UN Studienjahr 2024/25</t>
  </si>
  <si>
    <t>Slicer Button Selected</t>
  </si>
  <si>
    <t>&lt;--  summary written cell</t>
  </si>
  <si>
    <t>Formatierungsrichtlinien</t>
  </si>
  <si>
    <t>Nähere Informationen zu den Kennzahlen bzw. deren Definition finden sich in der aktuellen Ausgabe des Arbeitsbehelfs zur Wissensbilanz-Verordnung.</t>
  </si>
  <si>
    <t>Studienjahr 2010/11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</si>
  <si>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</si>
  <si>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</si>
  <si>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</si>
  <si>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</si>
  <si>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</si>
  <si>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</si>
  <si>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</si>
  <si>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UA Studienjahr 2014/15</t>
  </si>
  <si>
    <t>UC Studienjahr 2013/14</t>
  </si>
  <si>
    <t>UD Studienjahr 2018/19</t>
  </si>
  <si>
    <t>UE Studienjahr 2012/13</t>
  </si>
  <si>
    <t>UG Studienjahr 2009/10</t>
  </si>
  <si>
    <t>UG Studienjahr 2011/12</t>
  </si>
  <si>
    <t>UI Studienjahr 2010/11</t>
  </si>
  <si>
    <t>UJ Studienjahr 2019/20</t>
  </si>
  <si>
    <t>UK Studienjahr 2014/15</t>
  </si>
  <si>
    <t>UM Studienjahr 2013/14</t>
  </si>
  <si>
    <t>UN Studienjahr 2018/19</t>
  </si>
  <si>
    <t>UO Studienjahr 2012/13</t>
  </si>
  <si>
    <t>UQ Studienjahr 2009/10</t>
  </si>
  <si>
    <t>UQ Studienjahr 2011/12</t>
  </si>
  <si>
    <t>US Studienjahr 2010/11</t>
  </si>
  <si>
    <t>UT Studienjahr 2019/20</t>
  </si>
  <si>
    <t>UU Studienjahr 2008/09</t>
  </si>
  <si>
    <t>UB Studienjahr 2020/21</t>
  </si>
  <si>
    <t>UL Studienjahr 2020/21</t>
  </si>
  <si>
    <t>UV Studienjahr 2020/21</t>
  </si>
  <si>
    <t>UJ Studienjahr 2021/22</t>
  </si>
  <si>
    <t>UT Studienjahr 2021/22</t>
  </si>
  <si>
    <t>UH Studienjahr 2022/23</t>
  </si>
  <si>
    <t>UF Studienjahr 2023/24</t>
  </si>
  <si>
    <t>Geschlecht</t>
  </si>
</sst>
</file>

<file path=xl/styles.xml><?xml version="1.0" encoding="utf-8"?>
<styleSheet xmlns="http://schemas.openxmlformats.org/spreadsheetml/2006/main">
  <numFmts count="1">
    <numFmt numFmtId="164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rgb="FF262626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1"/>
      <color theme="1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vertical="center"/>
    </xf>
    <xf numFmtId="3" fontId="4" fillId="0" borderId="0" xfId="0" applyNumberFormat="1" applyFont="1" applyFill="1" applyBorder="1"/>
    <xf numFmtId="0" fontId="5" fillId="0" borderId="0" xfId="0" applyFont="1"/>
    <xf numFmtId="0" fontId="0" fillId="0" borderId="0" xfId="0" applyFill="1" applyBorder="1" applyAlignment="1"/>
    <xf numFmtId="0" fontId="6" fillId="0" borderId="0" xfId="0" applyFont="1"/>
    <xf numFmtId="0" fontId="7" fillId="2" borderId="1" xfId="0" quotePrefix="1" applyFont="1" applyFill="1" applyBorder="1" applyAlignment="1" applyProtection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top"/>
    </xf>
    <xf numFmtId="0" fontId="10" fillId="3" borderId="0" xfId="1" applyFont="1" applyFill="1" applyBorder="1" applyAlignment="1">
      <alignment horizontal="center"/>
    </xf>
    <xf numFmtId="0" fontId="3" fillId="0" borderId="0" xfId="0" applyFont="1" applyFill="1" applyBorder="1" applyAlignment="1"/>
    <xf numFmtId="0" fontId="11" fillId="0" borderId="2" xfId="0" applyFont="1" applyFill="1" applyBorder="1" applyAlignment="1" applyProtection="1">
      <alignment horizontal="right"/>
    </xf>
    <xf numFmtId="0" fontId="11" fillId="0" borderId="2" xfId="0" quotePrefix="1" applyFont="1" applyFill="1" applyBorder="1" applyAlignment="1" applyProtection="1">
      <alignment horizontal="right"/>
    </xf>
    <xf numFmtId="0" fontId="12" fillId="0" borderId="0" xfId="0" applyFont="1"/>
    <xf numFmtId="0" fontId="11" fillId="0" borderId="2" xfId="0" applyFont="1" applyFill="1" applyBorder="1" applyAlignment="1" applyProtection="1">
      <alignment vertical="center"/>
    </xf>
    <xf numFmtId="0" fontId="13" fillId="0" borderId="0" xfId="1" applyFont="1"/>
    <xf numFmtId="0" fontId="11" fillId="0" borderId="2" xfId="0" quotePrefix="1" applyFont="1" applyFill="1" applyBorder="1" applyAlignment="1" applyProtection="1">
      <alignment horizontal="center"/>
    </xf>
    <xf numFmtId="3" fontId="11" fillId="0" borderId="2" xfId="0" quotePrefix="1" applyNumberFormat="1" applyFont="1" applyFill="1" applyBorder="1" applyAlignment="1" applyProtection="1">
      <alignment horizontal="right"/>
    </xf>
    <xf numFmtId="0" fontId="14" fillId="4" borderId="0" xfId="0" applyFont="1" applyFill="1" applyAlignment="1"/>
    <xf numFmtId="0" fontId="15" fillId="0" borderId="0" xfId="0" applyNumberFormat="1" applyFont="1" applyAlignment="1"/>
    <xf numFmtId="3" fontId="11" fillId="0" borderId="2" xfId="0" applyNumberFormat="1" applyFont="1" applyFill="1" applyBorder="1" applyAlignment="1" applyProtection="1">
      <alignment horizontal="right"/>
    </xf>
    <xf numFmtId="0" fontId="16" fillId="0" borderId="0" xfId="0" applyFont="1"/>
    <xf numFmtId="0" fontId="11" fillId="0" borderId="3" xfId="0" applyFont="1" applyBorder="1" applyAlignment="1" applyProtection="1">
      <alignment horizontal="center"/>
    </xf>
    <xf numFmtId="0" fontId="15" fillId="0" borderId="0" xfId="0" applyFont="1"/>
    <xf numFmtId="0" fontId="6" fillId="0" borderId="0" xfId="0" applyFont="1" applyAlignment="1">
      <alignment horizontal="right"/>
    </xf>
    <xf numFmtId="3" fontId="11" fillId="0" borderId="2" xfId="0" applyNumberFormat="1" applyFont="1" applyBorder="1" applyAlignment="1" applyProtection="1"/>
    <xf numFmtId="0" fontId="15" fillId="0" borderId="0" xfId="0" applyFont="1" applyAlignment="1">
      <alignment horizontal="center"/>
    </xf>
    <xf numFmtId="0" fontId="11" fillId="0" borderId="3" xfId="0" applyFont="1" applyBorder="1" applyAlignment="1" applyProtection="1">
      <alignment horizontal="right"/>
    </xf>
    <xf numFmtId="0" fontId="17" fillId="0" borderId="0" xfId="0" applyFont="1" applyFill="1" applyBorder="1" applyAlignment="1"/>
    <xf numFmtId="0" fontId="13" fillId="4" borderId="0" xfId="1" applyFont="1" applyFill="1"/>
    <xf numFmtId="0" fontId="11" fillId="0" borderId="2" xfId="0" applyFont="1" applyFill="1" applyBorder="1" applyAlignment="1" applyProtection="1">
      <alignment horizontal="center"/>
    </xf>
    <xf numFmtId="3" fontId="15" fillId="5" borderId="0" xfId="0" applyNumberFormat="1" applyFont="1" applyFill="1" applyAlignment="1"/>
    <xf numFmtId="3" fontId="15" fillId="0" borderId="0" xfId="0" applyNumberFormat="1" applyFont="1" applyAlignment="1"/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15" fillId="0" borderId="0" xfId="0" quotePrefix="1" applyFont="1" applyFill="1"/>
    <xf numFmtId="0" fontId="17" fillId="0" borderId="0" xfId="0" applyFont="1"/>
    <xf numFmtId="0" fontId="15" fillId="0" borderId="0" xfId="0" applyNumberFormat="1" applyFont="1" applyFill="1" applyBorder="1" applyAlignment="1"/>
    <xf numFmtId="0" fontId="18" fillId="0" borderId="0" xfId="0" applyFont="1"/>
    <xf numFmtId="0" fontId="5" fillId="0" borderId="0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right"/>
    </xf>
    <xf numFmtId="0" fontId="15" fillId="6" borderId="0" xfId="0" applyNumberFormat="1" applyFont="1" applyFill="1" applyAlignment="1"/>
    <xf numFmtId="0" fontId="0" fillId="0" borderId="0" xfId="0" applyFont="1"/>
    <xf numFmtId="0" fontId="11" fillId="0" borderId="5" xfId="0" applyFont="1" applyBorder="1" applyAlignment="1" applyProtection="1">
      <alignment horizontal="right"/>
    </xf>
    <xf numFmtId="0" fontId="10" fillId="3" borderId="6" xfId="1" applyFont="1" applyFill="1" applyBorder="1" applyAlignment="1">
      <alignment horizontal="center"/>
    </xf>
    <xf numFmtId="2" fontId="15" fillId="0" borderId="0" xfId="0" applyNumberFormat="1" applyFont="1"/>
    <xf numFmtId="3" fontId="5" fillId="0" borderId="0" xfId="0" applyNumberFormat="1" applyFont="1" applyFill="1" applyAlignment="1"/>
    <xf numFmtId="0" fontId="15" fillId="6" borderId="0" xfId="0" applyFont="1" applyFill="1"/>
    <xf numFmtId="0" fontId="11" fillId="0" borderId="2" xfId="0" quotePrefix="1" applyFont="1" applyBorder="1" applyAlignment="1" applyProtection="1">
      <alignment vertical="center"/>
    </xf>
    <xf numFmtId="0" fontId="15" fillId="0" borderId="0" xfId="0" applyNumberFormat="1" applyFont="1"/>
    <xf numFmtId="0" fontId="13" fillId="6" borderId="0" xfId="1" applyFont="1" applyFill="1"/>
    <xf numFmtId="0" fontId="11" fillId="0" borderId="7" xfId="0" quotePrefix="1" applyFont="1" applyBorder="1" applyAlignment="1" applyProtection="1">
      <alignment vertical="center"/>
    </xf>
    <xf numFmtId="164" fontId="15" fillId="0" borderId="0" xfId="0" applyNumberFormat="1" applyFont="1"/>
    <xf numFmtId="3" fontId="16" fillId="0" borderId="8" xfId="0" applyNumberFormat="1" applyFont="1" applyFill="1" applyBorder="1" applyAlignment="1"/>
    <xf numFmtId="0" fontId="16" fillId="0" borderId="8" xfId="0" quotePrefix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15" fillId="0" borderId="0" xfId="0" quotePrefix="1" applyFont="1"/>
    <xf numFmtId="0" fontId="19" fillId="0" borderId="0" xfId="0" applyFont="1" applyFill="1" applyBorder="1" applyAlignment="1"/>
    <xf numFmtId="3" fontId="15" fillId="7" borderId="0" xfId="0" applyNumberFormat="1" applyFont="1" applyFill="1" applyAlignment="1"/>
    <xf numFmtId="0" fontId="16" fillId="0" borderId="8" xfId="0" quotePrefix="1" applyFont="1" applyFill="1" applyBorder="1" applyAlignment="1"/>
    <xf numFmtId="0" fontId="16" fillId="0" borderId="8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3" fontId="11" fillId="0" borderId="2" xfId="0" quotePrefix="1" applyNumberFormat="1" applyFont="1" applyBorder="1" applyAlignment="1" applyProtection="1"/>
    <xf numFmtId="0" fontId="11" fillId="0" borderId="2" xfId="0" quotePrefix="1" applyFont="1" applyBorder="1" applyAlignment="1" applyProtection="1"/>
    <xf numFmtId="3" fontId="15" fillId="6" borderId="0" xfId="0" applyNumberFormat="1" applyFont="1" applyFill="1" applyAlignment="1"/>
    <xf numFmtId="0" fontId="20" fillId="0" borderId="0" xfId="0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8</xdr:row>
      <xdr:rowOff>190500</xdr:rowOff>
    </xdr:from>
    <xdr:to>
      <xdr:col>5</xdr:col>
      <xdr:colOff>0</xdr:colOff>
      <xdr:row>9</xdr:row>
      <xdr:rowOff>189865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1815465"/>
          <a:ext cx="222888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189865</xdr:rowOff>
    </xdr:from>
    <xdr:to>
      <xdr:col>5</xdr:col>
      <xdr:colOff>0</xdr:colOff>
      <xdr:row>11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005330"/>
          <a:ext cx="222888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574925"/>
          <a:ext cx="222888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189865</xdr:rowOff>
    </xdr:from>
    <xdr:to>
      <xdr:col>5</xdr:col>
      <xdr:colOff>0</xdr:colOff>
      <xdr:row>15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764790"/>
          <a:ext cx="222888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14</xdr:row>
      <xdr:rowOff>189865</xdr:rowOff>
    </xdr:from>
    <xdr:to>
      <xdr:col>5</xdr:col>
      <xdr:colOff>0</xdr:colOff>
      <xdr:row>16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954655"/>
          <a:ext cx="222888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0</xdr:colOff>
      <xdr:row>11</xdr:row>
      <xdr:rowOff>189865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195195"/>
          <a:ext cx="222888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385060"/>
          <a:ext cx="2228889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316547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406130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95713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85296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701967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8061344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39469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5825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640"/>
  <sheetViews>
    <sheetView tabSelected="1" workbookViewId="0"/>
  </sheetViews>
  <sheetFormatPr defaultColWidth="11.42578125" defaultRowHeight="14.95" outlineLevelRow="1" outlineLevelCol="1"/>
  <cols>
    <col min="1" max="1" width="52.7109375" style="43" customWidth="1"/>
    <col min="2" max="3" width="20.7109375" hidden="1" customWidth="1" outlineLevel="1"/>
    <col min="4" max="4" width="17.85546875" bestFit="1" customWidth="1" collapsed="1"/>
    <col min="5" max="5" width="12.7109375" customWidth="1"/>
    <col min="6" max="6" width="17.85546875" bestFit="1" customWidth="1"/>
    <col min="7" max="7" width="12.7109375" customWidth="1"/>
    <col min="8" max="8" width="17.85546875" bestFit="1" customWidth="1"/>
    <col min="9" max="9" width="12.7109375" customWidth="1"/>
    <col min="10" max="10" width="7.85546875" bestFit="1" customWidth="1"/>
    <col min="11" max="11" width="11.28515625" bestFit="1" customWidth="1"/>
    <col min="12" max="12" width="9.85546875" bestFit="1" customWidth="1"/>
    <col min="13" max="13" width="8.28515625" bestFit="1" customWidth="1"/>
    <col min="14" max="14" width="11.28515625" bestFit="1" customWidth="1"/>
    <col min="15" max="15" width="9.8554687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58" t="s">
        <v>509</v>
      </c>
      <c s="5"/>
      <c s="5"/>
      <c s="5"/>
      <c s="5"/>
      <c s="5"/>
      <c s="5"/>
    </row>
    <row>
      <c s="8" t="s">
        <v>188</v>
      </c>
      <c s="8"/>
      <c s="8"/>
      <c s="8"/>
      <c s="8"/>
      <c s="5"/>
      <c s="5"/>
    </row>
    <row ht="23.25" customHeight="1" s="37" customFormat="1">
      <c s="9" t="s">
        <v>187</v>
      </c>
      <c s="9"/>
      <c s="9"/>
      <c s="9"/>
      <c s="9"/>
      <c s="29"/>
      <c s="29"/>
    </row>
    <row ht="15" customHeight="1" s="37" customFormat="1">
      <c s="35" t="s">
        <v>462</v>
      </c>
      <c s="2"/>
      <c s="2"/>
      <c s="2"/>
      <c s="2"/>
      <c s="2"/>
      <c s="29"/>
    </row>
    <row>
      <c s="35" t="s">
        <v>427</v>
      </c>
      <c s="11"/>
      <c s="11"/>
      <c s="11"/>
      <c s="11"/>
      <c s="11"/>
      <c s="5"/>
    </row>
    <row>
      <c s="2" t="s">
        <v>189</v>
      </c>
      <c s="2"/>
      <c s="2"/>
      <c s="2"/>
      <c s="2"/>
      <c s="2"/>
      <c s="2"/>
      <c s="2"/>
      <c s="2"/>
      <c s="2"/>
      <c s="2"/>
      <c s="2"/>
    </row>
    <row>
      <c s="2" t="s">
        <v>364</v>
      </c>
      <c s="2"/>
      <c s="2"/>
      <c s="2"/>
      <c s="2"/>
      <c s="2"/>
      <c s="2"/>
      <c s="2"/>
    </row>
    <row>
      <c s="2" t="s">
        <v>547</v>
      </c>
      <c s="2"/>
      <c s="2"/>
      <c s="2"/>
      <c s="2"/>
      <c s="2"/>
      <c s="2"/>
      <c s="2"/>
    </row>
    <row ht="15" customHeight="1"/>
    <row>
      <c s="7" t="s">
        <v>473</v>
      </c>
      <c s="64" t="s">
        <v>113</v>
      </c>
    </row>
    <row>
      <c s="7" t="s">
        <v>394</v>
      </c>
      <c s="64" t="s">
        <v>113</v>
      </c>
    </row>
    <row>
      <c s="7" t="s">
        <v>184</v>
      </c>
      <c s="64" t="s">
        <v>113</v>
      </c>
    </row>
    <row>
      <c s="7" t="s">
        <v>108</v>
      </c>
      <c s="64" t="s">
        <v>113</v>
      </c>
    </row>
    <row>
      <c s="7" t="s">
        <v>580</v>
      </c>
      <c s="64" t="s">
        <v>113</v>
      </c>
    </row>
    <row>
      <c s="7" t="s">
        <v>71</v>
      </c>
      <c s="64" t="s">
        <v>113</v>
      </c>
    </row>
    <row>
      <c s="7" t="s">
        <v>435</v>
      </c>
      <c s="64" t="s">
        <v>113</v>
      </c>
    </row>
    <row ht="15" hidden="1" outlineLevel="1">
      <c s="7" t="s">
        <v>107</v>
      </c>
      <c s="64" t="s">
        <v>541</v>
      </c>
    </row>
    <row ht="15" hidden="1" outlineLevel="1">
      <c s="7" t="s">
        <v>472</v>
      </c>
      <c s="64" t="s">
        <v>219</v>
      </c>
    </row>
    <row ht="15" hidden="1" outlineLevel="1">
      <c s="7" t="s">
        <v>540</v>
      </c>
      <c s="64" t="s">
        <v>507</v>
      </c>
    </row>
    <row collapsed="1">
      <c/>
    </row>
    <row ht="15" hidden="1">
      <c/>
    </row>
    <row ht="15" hidden="1" customHeight="1" outlineLevel="1">
      <c/>
      <c r="D22" s="7" t="s">
        <v>252</v>
      </c>
      <c s="7" t="s">
        <v>504</v>
      </c>
    </row>
    <row collapsed="1">
      <c/>
      <c r="D23" s="17" t="s">
        <v>256</v>
      </c>
      <c s="13"/>
      <c s="17"/>
      <c s="13"/>
      <c s="17"/>
      <c s="13"/>
    </row>
    <row>
      <c s="7" t="s">
        <v>35</v>
      </c>
      <c s="7" t="s">
        <v>503</v>
      </c>
      <c s="7" t="s">
        <v>468</v>
      </c>
      <c s="12" t="s">
        <v>114</v>
      </c>
      <c s="12" t="s">
        <v>553</v>
      </c>
      <c s="31" t="s">
        <v>30</v>
      </c>
      <c s="12" t="s">
        <v>553</v>
      </c>
      <c s="31" t="s">
        <v>498</v>
      </c>
      <c s="12" t="s">
        <v>553</v>
      </c>
    </row>
    <row>
      <c s="15" t="s">
        <v>118</v>
      </c>
      <c s="15" t="s">
        <v>366</v>
      </c>
      <c s="15" t="s">
        <v>118</v>
      </c>
      <c s="21">
        <v>2349.6950000000006</v>
      </c>
      <c s="18" t="s">
        <v>553</v>
      </c>
      <c s="21">
        <v>2296.9979999999982</v>
      </c>
      <c s="18" t="s">
        <v>553</v>
      </c>
      <c s="21">
        <v>2326.4139999999984</v>
      </c>
      <c s="18" t="s">
        <v>553</v>
      </c>
    </row>
    <row>
      <c s="15" t="s">
        <v>512</v>
      </c>
      <c s="15" t="s">
        <v>510</v>
      </c>
      <c s="15" t="s">
        <v>512</v>
      </c>
      <c s="21">
        <v>883.83104999999978</v>
      </c>
      <c s="18" t="s">
        <v>553</v>
      </c>
      <c s="21">
        <v>880.80339999999978</v>
      </c>
      <c s="18" t="s">
        <v>553</v>
      </c>
      <c s="21">
        <v>859.2061999999994</v>
      </c>
      <c s="18" t="s">
        <v>553</v>
      </c>
    </row>
    <row>
      <c s="15" t="s">
        <v>223</v>
      </c>
      <c s="15" t="s">
        <v>80</v>
      </c>
      <c s="15" t="s">
        <v>223</v>
      </c>
      <c s="21">
        <v>1771.2372500000006</v>
      </c>
      <c s="18" t="s">
        <v>553</v>
      </c>
      <c s="21">
        <v>1866.7555000000007</v>
      </c>
      <c s="18" t="s">
        <v>553</v>
      </c>
      <c s="21">
        <v>1958.77865</v>
      </c>
      <c s="18" t="s">
        <v>553</v>
      </c>
    </row>
    <row>
      <c s="15" t="s">
        <v>261</v>
      </c>
      <c s="15" t="s">
        <v>551</v>
      </c>
      <c s="15" t="s">
        <v>327</v>
      </c>
      <c s="21">
        <v>554.70000000000005</v>
      </c>
      <c s="18" t="s">
        <v>553</v>
      </c>
      <c s="21">
        <v>494</v>
      </c>
      <c s="18" t="s">
        <v>553</v>
      </c>
      <c s="21">
        <v>577.10000000000002</v>
      </c>
      <c s="18" t="s">
        <v>553</v>
      </c>
    </row>
    <row>
      <c s="15" t="s">
        <v>40</v>
      </c>
      <c s="15" t="s">
        <v>115</v>
      </c>
      <c s="15" t="s">
        <v>156</v>
      </c>
      <c s="21">
        <v>257.99580000000088</v>
      </c>
      <c s="18" t="s">
        <v>553</v>
      </c>
      <c s="21">
        <v>289.32910000000095</v>
      </c>
      <c s="18" t="s">
        <v>553</v>
      </c>
      <c s="21">
        <v>246.99660000000077</v>
      </c>
      <c s="18" t="s">
        <v>553</v>
      </c>
    </row>
    <row>
      <c s="15" t="s">
        <v>552</v>
      </c>
      <c s="15" t="s">
        <v>434</v>
      </c>
      <c s="15" t="s">
        <v>555</v>
      </c>
      <c s="21">
        <v>318</v>
      </c>
      <c s="18" t="s">
        <v>553</v>
      </c>
      <c s="21">
        <v>324</v>
      </c>
      <c s="18" t="s">
        <v>553</v>
      </c>
      <c s="21">
        <v>348</v>
      </c>
      <c s="18" t="s">
        <v>553</v>
      </c>
    </row>
    <row>
      <c s="15" t="s">
        <v>77</v>
      </c>
      <c s="15" t="s">
        <v>224</v>
      </c>
      <c s="15" t="s">
        <v>77</v>
      </c>
      <c s="21">
        <v>826.98389999999984</v>
      </c>
      <c s="18" t="s">
        <v>553</v>
      </c>
      <c s="21">
        <v>856.19779999999969</v>
      </c>
      <c s="18" t="s">
        <v>553</v>
      </c>
      <c s="21">
        <v>808.93349999999964</v>
      </c>
      <c s="18" t="s">
        <v>553</v>
      </c>
    </row>
    <row>
      <c s="15" t="s">
        <v>260</v>
      </c>
      <c s="15" t="s">
        <v>365</v>
      </c>
      <c s="15" t="s">
        <v>39</v>
      </c>
      <c s="21">
        <v>547.5</v>
      </c>
      <c s="18" t="s">
        <v>553</v>
      </c>
      <c s="21">
        <v>544.5</v>
      </c>
      <c s="18" t="s">
        <v>553</v>
      </c>
      <c s="21">
        <v>576</v>
      </c>
      <c s="18" t="s">
        <v>553</v>
      </c>
    </row>
    <row>
      <c s="15" t="s">
        <v>76</v>
      </c>
      <c s="15" t="s">
        <v>516</v>
      </c>
      <c s="15" t="s">
        <v>436</v>
      </c>
      <c s="21">
        <v>470.84525000000002</v>
      </c>
      <c s="18" t="s">
        <v>553</v>
      </c>
      <c s="21">
        <v>395.75559999999996</v>
      </c>
      <c s="18" t="s">
        <v>553</v>
      </c>
      <c s="21">
        <v>474.64549999999997</v>
      </c>
      <c s="18" t="s">
        <v>553</v>
      </c>
    </row>
    <row>
      <c s="15" t="s">
        <v>74</v>
      </c>
      <c s="15" t="s">
        <v>79</v>
      </c>
      <c s="15" t="s">
        <v>74</v>
      </c>
      <c s="21">
        <v>271</v>
      </c>
      <c s="18" t="s">
        <v>553</v>
      </c>
      <c s="21">
        <v>290</v>
      </c>
      <c s="18" t="s">
        <v>553</v>
      </c>
      <c s="21">
        <v>216</v>
      </c>
      <c s="18" t="s">
        <v>553</v>
      </c>
    </row>
    <row>
      <c s="15" t="s">
        <v>328</v>
      </c>
      <c s="15" t="s">
        <v>258</v>
      </c>
      <c s="15" t="s">
        <v>515</v>
      </c>
      <c s="21">
        <v>260.22000000000003</v>
      </c>
      <c s="18" t="s">
        <v>553</v>
      </c>
      <c s="21">
        <v>234.44</v>
      </c>
      <c s="18" t="s">
        <v>553</v>
      </c>
      <c s="21">
        <v>223.66</v>
      </c>
      <c s="18" t="s">
        <v>553</v>
      </c>
    </row>
    <row>
      <c s="15" t="s">
        <v>259</v>
      </c>
      <c s="15" t="s">
        <v>401</v>
      </c>
      <c s="15" t="s">
        <v>190</v>
      </c>
      <c s="21">
        <v>192.89999999999998</v>
      </c>
      <c s="18" t="s">
        <v>553</v>
      </c>
      <c s="21">
        <v>195.39999999999989</v>
      </c>
      <c s="18" t="s">
        <v>553</v>
      </c>
      <c s="21">
        <v>166.34</v>
      </c>
      <c s="18" t="s">
        <v>553</v>
      </c>
    </row>
    <row>
      <c s="15" t="s">
        <v>367</v>
      </c>
      <c s="15" t="s">
        <v>550</v>
      </c>
      <c s="15" t="s">
        <v>554</v>
      </c>
      <c s="21">
        <v>1504</v>
      </c>
      <c s="18" t="s">
        <v>553</v>
      </c>
      <c s="21">
        <v>1495</v>
      </c>
      <c s="18" t="s">
        <v>553</v>
      </c>
      <c s="21">
        <v>1378</v>
      </c>
      <c s="18" t="s">
        <v>553</v>
      </c>
    </row>
    <row>
      <c s="15" t="s">
        <v>511</v>
      </c>
      <c s="15" t="s">
        <v>144</v>
      </c>
      <c s="15" t="s">
        <v>511</v>
      </c>
      <c s="21">
        <v>920.53339999999889</v>
      </c>
      <c s="18" t="s">
        <v>553</v>
      </c>
      <c s="21">
        <v>922.19449999999904</v>
      </c>
      <c s="18" t="s">
        <v>553</v>
      </c>
      <c s="21">
        <v>706.66599999999949</v>
      </c>
      <c s="18" t="s">
        <v>553</v>
      </c>
    </row>
    <row>
      <c s="15" t="s">
        <v>513</v>
      </c>
      <c s="15" t="s">
        <v>257</v>
      </c>
      <c s="15" t="s">
        <v>513</v>
      </c>
      <c s="21">
        <v>317.10345000000018</v>
      </c>
      <c s="18" t="s">
        <v>553</v>
      </c>
      <c s="21">
        <v>313.88109999999995</v>
      </c>
      <c s="18" t="s">
        <v>553</v>
      </c>
      <c s="21">
        <v>300.13904999999977</v>
      </c>
      <c s="18" t="s">
        <v>553</v>
      </c>
    </row>
    <row>
      <c s="15" t="s">
        <v>117</v>
      </c>
      <c s="15" t="s">
        <v>153</v>
      </c>
      <c s="15" t="s">
        <v>75</v>
      </c>
      <c s="21">
        <v>101</v>
      </c>
      <c s="18" t="s">
        <v>553</v>
      </c>
      <c s="21">
        <v>101.5</v>
      </c>
      <c s="18" t="s">
        <v>553</v>
      </c>
      <c s="21">
        <v>79</v>
      </c>
      <c s="18" t="s">
        <v>553</v>
      </c>
    </row>
    <row>
      <c s="15" t="s">
        <v>298</v>
      </c>
      <c s="15" t="s">
        <v>300</v>
      </c>
      <c s="15" t="s">
        <v>398</v>
      </c>
      <c s="21">
        <v>143</v>
      </c>
      <c s="18" t="s">
        <v>553</v>
      </c>
      <c s="21">
        <v>166</v>
      </c>
      <c s="18" t="s">
        <v>553</v>
      </c>
      <c s="21">
        <v>135.5</v>
      </c>
      <c s="18" t="s">
        <v>553</v>
      </c>
    </row>
    <row>
      <c s="15" t="s">
        <v>192</v>
      </c>
      <c s="15" t="s">
        <v>437</v>
      </c>
      <c s="15" t="s">
        <v>549</v>
      </c>
      <c s="21">
        <v>153.40439999999998</v>
      </c>
      <c s="18" t="s">
        <v>553</v>
      </c>
      <c s="21">
        <v>193.05085</v>
      </c>
      <c s="18" t="s">
        <v>553</v>
      </c>
      <c s="21">
        <v>169.88840000000002</v>
      </c>
      <c s="18" t="s">
        <v>553</v>
      </c>
    </row>
    <row>
      <c s="15" t="s">
        <v>116</v>
      </c>
      <c s="15" t="s">
        <v>5</v>
      </c>
      <c s="15" t="s">
        <v>221</v>
      </c>
      <c s="21">
        <v>113.79015000000003</v>
      </c>
      <c s="18" t="s">
        <v>553</v>
      </c>
      <c s="21">
        <v>175.10705000000002</v>
      </c>
      <c s="18" t="s">
        <v>553</v>
      </c>
      <c s="21">
        <v>128.92859999999999</v>
      </c>
      <c s="18" t="s">
        <v>553</v>
      </c>
    </row>
    <row>
      <c s="15" t="s">
        <v>399</v>
      </c>
      <c s="15" t="s">
        <v>152</v>
      </c>
      <c s="15" t="s">
        <v>294</v>
      </c>
      <c s="21">
        <v>31.242299999999997</v>
      </c>
      <c s="18" t="s">
        <v>553</v>
      </c>
      <c s="21">
        <v>30.04045</v>
      </c>
      <c s="18" t="s">
        <v>553</v>
      </c>
      <c s="21">
        <v>31.040600000000001</v>
      </c>
      <c s="18" t="s">
        <v>553</v>
      </c>
    </row>
    <row>
      <c s="15" t="s">
        <v>220</v>
      </c>
      <c s="15" t="s">
        <v>4</v>
      </c>
      <c s="15" t="s">
        <v>155</v>
      </c>
      <c s="21">
        <v>29.5</v>
      </c>
      <c s="18" t="s">
        <v>553</v>
      </c>
      <c s="21">
        <v>35</v>
      </c>
      <c s="18" t="s">
        <v>553</v>
      </c>
      <c s="21">
        <v>35</v>
      </c>
      <c s="18" t="s">
        <v>553</v>
      </c>
    </row>
    <row>
      <c/>
    </row>
    <row>
      <c s="34"/>
    </row>
    <row>
      <c s="34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40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">
    <mergeCell ref="D23:I23"/>
  </mergeCells>
  <pageMargins left="0.70866141732283472" right="0.70866141732283472" top="0.78740157480314965" bottom="0.78740157480314965" header="0.31496062992125984" footer="0.31496062992125984"/>
  <pageSetup paperSize="9" scale="79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21" bestFit="1" customWidth="1"/>
    <col min="2" max="2" width="13" bestFit="1" customWidth="1"/>
    <col min="3" max="3" width="14.42578125" bestFit="1" customWidth="1"/>
  </cols>
  <sheetData>
    <row ht="14.95">
      <c t="s">
        <v>191</v>
      </c>
      <c t="s">
        <v>296</v>
      </c>
      <c t="s">
        <v>297</v>
      </c>
      <c r="I1" t="s">
        <v>289</v>
      </c>
      <c t="s">
        <v>183</v>
      </c>
      <c t="s">
        <v>69</v>
      </c>
      <c r="N1" t="s">
        <v>289</v>
      </c>
      <c t="s">
        <v>183</v>
      </c>
      <c t="s">
        <v>69</v>
      </c>
    </row>
    <row ht="14.95">
      <c t="s">
        <v>368</v>
      </c>
      <c>
        <v>414</v>
      </c>
      <c>
        <v>4534</v>
      </c>
      <c r="H2" s="52" t="s">
        <v>280</v>
      </c>
      <c>
        <f t="shared" si="0" ref="I2:I23">SUMIF($A$2:$A$1000,$H2&amp;" Studienjahr 2024/25",$C$2:$C$1000)</f>
        <v>77167</v>
      </c>
      <c>
        <f t="shared" si="1" ref="J2:J23">SUMIF($A$2:$A$1000,$H2&amp;" Studienjahr 2023/24",$C$2:$C$1000)</f>
        <v>73762</v>
      </c>
      <c>
        <f t="shared" si="2" ref="K2:K23">SUMIF($A$2:$A$1000,$H2&amp;" Studienjahr 2022/23",$C$2:$C$1000)</f>
        <v>70283</v>
      </c>
      <c r="N2">
        <v>36520</v>
      </c>
      <c>
        <v>36520</v>
      </c>
      <c>
        <v>36520</v>
      </c>
    </row>
    <row ht="14.95">
      <c t="s">
        <v>474</v>
      </c>
      <c>
        <v>414</v>
      </c>
      <c>
        <v>11593</v>
      </c>
      <c r="H3" s="49" t="s">
        <v>459</v>
      </c>
      <c>
        <f t="shared" si="0"/>
        <v>77259</v>
      </c>
      <c>
        <f t="shared" si="1"/>
        <v>73799</v>
      </c>
      <c>
        <f t="shared" si="2"/>
        <v>70762</v>
      </c>
      <c r="N3">
        <v>36520</v>
      </c>
      <c>
        <v>36520</v>
      </c>
      <c>
        <v>36520</v>
      </c>
    </row>
    <row ht="14.95">
      <c t="s">
        <v>6</v>
      </c>
      <c>
        <v>414</v>
      </c>
      <c>
        <v>16161</v>
      </c>
      <c r="H4" s="49" t="s">
        <v>23</v>
      </c>
      <c>
        <f t="shared" si="0"/>
        <v>76894</v>
      </c>
      <c>
        <f t="shared" si="1"/>
        <v>73488</v>
      </c>
      <c>
        <f t="shared" si="2"/>
        <v>70204</v>
      </c>
      <c r="N4">
        <v>36520</v>
      </c>
      <c>
        <v>36520</v>
      </c>
      <c>
        <v>36520</v>
      </c>
    </row>
    <row ht="14.95">
      <c t="s">
        <v>225</v>
      </c>
      <c>
        <v>414</v>
      </c>
      <c>
        <v>18652</v>
      </c>
      <c r="H5" s="49" t="s">
        <v>491</v>
      </c>
      <c>
        <f t="shared" si="0"/>
        <v>76772</v>
      </c>
      <c>
        <f t="shared" si="1"/>
        <v>73194</v>
      </c>
      <c>
        <f t="shared" si="2"/>
        <v>70168</v>
      </c>
      <c r="N5">
        <v>36520</v>
      </c>
      <c>
        <v>36520</v>
      </c>
      <c>
        <v>36520</v>
      </c>
    </row>
    <row ht="14.95">
      <c t="s">
        <v>119</v>
      </c>
      <c>
        <v>3652</v>
      </c>
      <c>
        <v>22694</v>
      </c>
      <c r="H6" s="49" t="s">
        <v>62</v>
      </c>
      <c>
        <f t="shared" si="0"/>
        <v>77408</v>
      </c>
      <c>
        <f t="shared" si="1"/>
        <v>74034</v>
      </c>
      <c>
        <f t="shared" si="2"/>
        <v>70332</v>
      </c>
      <c r="N6">
        <v>36520</v>
      </c>
      <c>
        <v>36520</v>
      </c>
      <c>
        <v>36520</v>
      </c>
    </row>
    <row ht="14.95">
      <c t="s">
        <v>226</v>
      </c>
      <c>
        <v>3652</v>
      </c>
      <c>
        <v>25581</v>
      </c>
      <c r="H7" s="49" t="s">
        <v>352</v>
      </c>
      <c>
        <f t="shared" si="0"/>
        <v>77308</v>
      </c>
      <c>
        <f t="shared" si="1"/>
        <v>74028</v>
      </c>
      <c>
        <f t="shared" si="2"/>
        <v>70652</v>
      </c>
      <c r="N7">
        <v>36520</v>
      </c>
      <c>
        <v>36520</v>
      </c>
      <c>
        <v>36520</v>
      </c>
    </row>
    <row ht="14.95">
      <c t="s">
        <v>329</v>
      </c>
      <c>
        <v>3652</v>
      </c>
      <c>
        <v>28440</v>
      </c>
      <c r="H8" s="49" t="str">
        <f>CONCATENATE("U","D")</f>
        <v>UD</v>
      </c>
      <c>
        <f t="shared" si="0"/>
        <v>77902</v>
      </c>
      <c>
        <f t="shared" si="1"/>
        <v>73575</v>
      </c>
      <c>
        <f t="shared" si="2"/>
        <v>70256</v>
      </c>
      <c r="N8">
        <v>36520</v>
      </c>
      <c>
        <v>36520</v>
      </c>
      <c>
        <v>36520</v>
      </c>
    </row>
    <row ht="14.95">
      <c t="s">
        <v>438</v>
      </c>
      <c>
        <v>3652</v>
      </c>
      <c>
        <v>41060</v>
      </c>
      <c r="H9" s="49" t="s">
        <v>317</v>
      </c>
      <c>
        <f t="shared" si="0"/>
        <v>77204</v>
      </c>
      <c>
        <f t="shared" si="1"/>
        <v>73766</v>
      </c>
      <c>
        <f t="shared" si="2"/>
        <v>70694</v>
      </c>
      <c r="N9">
        <v>36520</v>
      </c>
      <c>
        <v>36520</v>
      </c>
      <c>
        <v>36520</v>
      </c>
    </row>
    <row ht="14.95">
      <c t="s">
        <v>556</v>
      </c>
      <c>
        <v>3652</v>
      </c>
      <c>
        <v>42879</v>
      </c>
      <c r="H10" s="49" t="s">
        <v>460</v>
      </c>
      <c>
        <f t="shared" si="0"/>
        <v>77057</v>
      </c>
      <c>
        <f t="shared" si="1"/>
        <v>73599</v>
      </c>
      <c>
        <f t="shared" si="2"/>
        <v>70329</v>
      </c>
      <c r="N10">
        <v>36520</v>
      </c>
      <c>
        <v>36520</v>
      </c>
      <c>
        <v>36520</v>
      </c>
    </row>
    <row ht="14.95">
      <c t="s">
        <v>81</v>
      </c>
      <c>
        <v>3652</v>
      </c>
      <c>
        <v>45005</v>
      </c>
      <c r="H11" s="49" t="s">
        <v>24</v>
      </c>
      <c>
        <f t="shared" si="0"/>
        <v>77814</v>
      </c>
      <c>
        <f t="shared" si="1"/>
        <v>73973</v>
      </c>
      <c>
        <f t="shared" si="2"/>
        <v>70788</v>
      </c>
      <c r="N11">
        <v>36520</v>
      </c>
      <c>
        <v>36520</v>
      </c>
      <c>
        <v>36520</v>
      </c>
    </row>
    <row ht="14.95">
      <c t="s">
        <v>194</v>
      </c>
      <c>
        <v>36520</v>
      </c>
      <c>
        <v>46024</v>
      </c>
      <c r="H12" s="49" t="s">
        <v>177</v>
      </c>
      <c>
        <f t="shared" si="0"/>
        <v>76735</v>
      </c>
      <c>
        <f t="shared" si="1"/>
        <v>75953</v>
      </c>
      <c>
        <f t="shared" si="2"/>
        <v>70678</v>
      </c>
      <c r="N12">
        <v>36520</v>
      </c>
      <c>
        <v>36520</v>
      </c>
      <c>
        <v>36520</v>
      </c>
    </row>
    <row ht="14.95">
      <c t="s">
        <v>301</v>
      </c>
      <c>
        <v>36520</v>
      </c>
      <c>
        <v>51063</v>
      </c>
      <c r="H13" s="49" t="s">
        <v>318</v>
      </c>
      <c>
        <f t="shared" si="0"/>
        <v>77084</v>
      </c>
      <c>
        <f t="shared" si="1"/>
        <v>73268</v>
      </c>
      <c>
        <f t="shared" si="2"/>
        <v>70351</v>
      </c>
      <c r="N13">
        <v>36520</v>
      </c>
      <c>
        <v>36520</v>
      </c>
      <c>
        <v>36520</v>
      </c>
    </row>
    <row ht="14.95">
      <c t="s">
        <v>402</v>
      </c>
      <c>
        <v>36520</v>
      </c>
      <c>
        <v>53450</v>
      </c>
      <c r="H14" s="49" t="s">
        <v>461</v>
      </c>
      <c>
        <f t="shared" si="0"/>
        <v>77141</v>
      </c>
      <c>
        <f t="shared" si="1"/>
        <v>73795</v>
      </c>
      <c>
        <f t="shared" si="2"/>
        <v>71657</v>
      </c>
      <c r="N14">
        <v>36520</v>
      </c>
      <c>
        <v>36520</v>
      </c>
      <c>
        <v>36520</v>
      </c>
    </row>
    <row ht="14.95">
      <c t="s">
        <v>41</v>
      </c>
      <c>
        <v>36520</v>
      </c>
      <c>
        <v>57767</v>
      </c>
      <c r="H15" s="49" t="s">
        <v>63</v>
      </c>
      <c>
        <f t="shared" si="0"/>
        <v>76837</v>
      </c>
      <c>
        <f t="shared" si="1"/>
        <v>73392</v>
      </c>
      <c>
        <f t="shared" si="2"/>
        <v>69976</v>
      </c>
      <c r="N15">
        <v>36520</v>
      </c>
      <c>
        <v>36520</v>
      </c>
      <c>
        <v>36520</v>
      </c>
    </row>
    <row ht="14.95">
      <c t="s">
        <v>538</v>
      </c>
      <c>
        <v>36520</v>
      </c>
      <c>
        <v>65513</v>
      </c>
      <c r="H16" s="49" t="s">
        <v>210</v>
      </c>
      <c>
        <f t="shared" si="0"/>
        <v>77115</v>
      </c>
      <c>
        <f t="shared" si="1"/>
        <v>73710</v>
      </c>
      <c>
        <f t="shared" si="2"/>
        <v>70806</v>
      </c>
      <c r="N16">
        <v>36520</v>
      </c>
      <c>
        <v>36520</v>
      </c>
      <c>
        <v>36520</v>
      </c>
    </row>
    <row ht="14.95">
      <c t="s">
        <v>68</v>
      </c>
      <c>
        <v>36520</v>
      </c>
      <c>
        <v>67823</v>
      </c>
      <c r="H17" s="49" t="s">
        <v>64</v>
      </c>
      <c>
        <f t="shared" si="0"/>
        <v>77494</v>
      </c>
      <c>
        <f t="shared" si="1"/>
        <v>74109</v>
      </c>
      <c>
        <f t="shared" si="2"/>
        <v>70528</v>
      </c>
      <c r="N17">
        <v>36520</v>
      </c>
      <c>
        <v>36520</v>
      </c>
      <c>
        <v>36520</v>
      </c>
    </row>
    <row ht="14.95">
      <c t="s">
        <v>182</v>
      </c>
      <c>
        <v>36520</v>
      </c>
      <c>
        <v>70283</v>
      </c>
      <c r="H18" s="49" t="s">
        <v>245</v>
      </c>
      <c>
        <f t="shared" si="0"/>
        <v>77558</v>
      </c>
      <c>
        <f t="shared" si="1"/>
        <v>74084</v>
      </c>
      <c>
        <f t="shared" si="2"/>
        <v>70907</v>
      </c>
      <c r="N18">
        <v>36520</v>
      </c>
      <c>
        <v>36520</v>
      </c>
      <c>
        <v>36520</v>
      </c>
    </row>
    <row ht="14.95">
      <c t="s">
        <v>288</v>
      </c>
      <c>
        <v>36520</v>
      </c>
      <c>
        <v>73762</v>
      </c>
      <c r="H19" s="49" t="s">
        <v>384</v>
      </c>
      <c>
        <f t="shared" si="0"/>
        <v>77954</v>
      </c>
      <c>
        <f t="shared" si="1"/>
        <v>73624</v>
      </c>
      <c>
        <f t="shared" si="2"/>
        <v>70594</v>
      </c>
      <c r="N19">
        <v>36520</v>
      </c>
      <c>
        <v>36520</v>
      </c>
      <c>
        <v>36520</v>
      </c>
    </row>
    <row ht="14.95">
      <c t="s">
        <v>395</v>
      </c>
      <c>
        <v>36520</v>
      </c>
      <c>
        <v>77167</v>
      </c>
      <c r="H20" s="49" t="s">
        <v>537</v>
      </c>
      <c>
        <f t="shared" si="0"/>
        <v>77221</v>
      </c>
      <c>
        <f t="shared" si="1"/>
        <v>73934</v>
      </c>
      <c>
        <f t="shared" si="2"/>
        <v>70868</v>
      </c>
      <c r="N20">
        <v>36520</v>
      </c>
      <c>
        <v>36520</v>
      </c>
      <c>
        <v>36520</v>
      </c>
    </row>
    <row ht="14.95">
      <c t="s">
        <v>403</v>
      </c>
      <c>
        <v>414</v>
      </c>
      <c>
        <v>4405</v>
      </c>
      <c r="H21" s="49" t="s">
        <v>99</v>
      </c>
      <c>
        <f t="shared" si="0"/>
        <v>77880</v>
      </c>
      <c>
        <f t="shared" si="1"/>
        <v>73472</v>
      </c>
      <c>
        <f t="shared" si="2"/>
        <v>70404</v>
      </c>
      <c r="N21">
        <v>36520</v>
      </c>
      <c>
        <v>36520</v>
      </c>
      <c>
        <v>36520</v>
      </c>
    </row>
    <row ht="14.95">
      <c t="s">
        <v>517</v>
      </c>
      <c>
        <v>414</v>
      </c>
      <c>
        <v>11977</v>
      </c>
      <c r="H22" s="49" t="s">
        <v>492</v>
      </c>
      <c>
        <f t="shared" si="0"/>
        <v>76870</v>
      </c>
      <c>
        <f t="shared" si="1"/>
        <v>73456</v>
      </c>
      <c>
        <f t="shared" si="2"/>
        <v>70508</v>
      </c>
      <c r="N22">
        <v>36520</v>
      </c>
      <c>
        <v>36520</v>
      </c>
      <c>
        <v>36520</v>
      </c>
    </row>
    <row ht="14.95">
      <c t="s">
        <v>42</v>
      </c>
      <c>
        <v>414</v>
      </c>
      <c>
        <v>16050</v>
      </c>
      <c r="H23" s="49" t="s">
        <v>353</v>
      </c>
      <c>
        <f t="shared" si="0"/>
        <v>77002</v>
      </c>
      <c>
        <f t="shared" si="1"/>
        <v>73694</v>
      </c>
      <c>
        <f t="shared" si="2"/>
        <v>70729</v>
      </c>
      <c r="N23">
        <v>36520</v>
      </c>
      <c>
        <v>36520</v>
      </c>
      <c>
        <v>36520</v>
      </c>
    </row>
    <row ht="14.95">
      <c t="s">
        <v>157</v>
      </c>
      <c>
        <v>3652</v>
      </c>
      <c>
        <v>22775</v>
      </c>
    </row>
    <row ht="14.95">
      <c t="s">
        <v>262</v>
      </c>
      <c>
        <v>3652</v>
      </c>
      <c>
        <v>25568</v>
      </c>
    </row>
    <row ht="14.95">
      <c t="s">
        <v>369</v>
      </c>
      <c>
        <v>3652</v>
      </c>
      <c>
        <v>28479</v>
      </c>
    </row>
    <row ht="14.95">
      <c t="s">
        <v>475</v>
      </c>
      <c>
        <v>3652</v>
      </c>
      <c>
        <v>41582</v>
      </c>
    </row>
    <row ht="14.95">
      <c t="s">
        <v>7</v>
      </c>
      <c>
        <v>3652</v>
      </c>
      <c>
        <v>42638</v>
      </c>
    </row>
    <row ht="14.95">
      <c t="s">
        <v>120</v>
      </c>
      <c>
        <v>3652</v>
      </c>
      <c>
        <v>44989</v>
      </c>
    </row>
    <row ht="14.95">
      <c t="s">
        <v>227</v>
      </c>
      <c>
        <v>36520</v>
      </c>
      <c>
        <v>46010</v>
      </c>
    </row>
    <row ht="14.95">
      <c t="s">
        <v>330</v>
      </c>
      <c>
        <v>36520</v>
      </c>
      <c>
        <v>49516</v>
      </c>
    </row>
    <row ht="14.95">
      <c t="s">
        <v>439</v>
      </c>
      <c>
        <v>36520</v>
      </c>
      <c>
        <v>53328</v>
      </c>
    </row>
    <row ht="14.95">
      <c t="s">
        <v>82</v>
      </c>
      <c>
        <v>36520</v>
      </c>
      <c>
        <v>62073</v>
      </c>
    </row>
    <row ht="14.95">
      <c t="s">
        <v>573</v>
      </c>
      <c>
        <v>36520</v>
      </c>
      <c>
        <v>65424</v>
      </c>
    </row>
    <row ht="14.95">
      <c t="s">
        <v>102</v>
      </c>
      <c>
        <v>36520</v>
      </c>
      <c>
        <v>68043</v>
      </c>
    </row>
    <row ht="14.95">
      <c t="s">
        <v>213</v>
      </c>
      <c>
        <v>36520</v>
      </c>
      <c>
        <v>70762</v>
      </c>
    </row>
    <row ht="14.95">
      <c t="s">
        <v>321</v>
      </c>
      <c>
        <v>36520</v>
      </c>
      <c>
        <v>73799</v>
      </c>
    </row>
    <row ht="14.95">
      <c t="s">
        <v>424</v>
      </c>
      <c>
        <v>36520</v>
      </c>
      <c>
        <v>77259</v>
      </c>
    </row>
    <row ht="14.95">
      <c t="s">
        <v>476</v>
      </c>
      <c>
        <v>414</v>
      </c>
      <c>
        <v>4397</v>
      </c>
    </row>
    <row ht="14.95">
      <c t="s">
        <v>8</v>
      </c>
      <c>
        <v>414</v>
      </c>
      <c>
        <v>11547</v>
      </c>
    </row>
    <row ht="14.95">
      <c t="s">
        <v>121</v>
      </c>
      <c>
        <v>414</v>
      </c>
      <c>
        <v>16100</v>
      </c>
    </row>
    <row ht="14.95">
      <c t="s">
        <v>331</v>
      </c>
      <c>
        <v>414</v>
      </c>
      <c>
        <v>18642</v>
      </c>
    </row>
    <row ht="14.95">
      <c t="s">
        <v>228</v>
      </c>
      <c>
        <v>3652</v>
      </c>
      <c>
        <v>22936</v>
      </c>
    </row>
    <row ht="14.95">
      <c t="s">
        <v>332</v>
      </c>
      <c>
        <v>3652</v>
      </c>
      <c>
        <v>24745</v>
      </c>
    </row>
    <row ht="14.95">
      <c t="s">
        <v>440</v>
      </c>
      <c>
        <v>3652</v>
      </c>
      <c>
        <v>28430</v>
      </c>
    </row>
    <row ht="14.95">
      <c t="s">
        <v>557</v>
      </c>
      <c>
        <v>3652</v>
      </c>
      <c>
        <v>40980</v>
      </c>
    </row>
    <row ht="14.95">
      <c t="s">
        <v>83</v>
      </c>
      <c>
        <v>3652</v>
      </c>
      <c>
        <v>42645</v>
      </c>
    </row>
    <row ht="14.95">
      <c t="s">
        <v>195</v>
      </c>
      <c>
        <v>3652</v>
      </c>
      <c>
        <v>44793</v>
      </c>
    </row>
    <row ht="14.95">
      <c t="s">
        <v>302</v>
      </c>
      <c>
        <v>36520</v>
      </c>
      <c>
        <v>46675</v>
      </c>
    </row>
    <row ht="14.95">
      <c t="s">
        <v>404</v>
      </c>
      <c>
        <v>36520</v>
      </c>
      <c>
        <v>49671</v>
      </c>
    </row>
    <row ht="14.95">
      <c t="s">
        <v>518</v>
      </c>
      <c>
        <v>36520</v>
      </c>
      <c>
        <v>53137</v>
      </c>
    </row>
    <row ht="14.95">
      <c t="s">
        <v>158</v>
      </c>
      <c>
        <v>36520</v>
      </c>
      <c>
        <v>57702</v>
      </c>
    </row>
    <row ht="14.95">
      <c t="s">
        <v>65</v>
      </c>
      <c>
        <v>36520</v>
      </c>
      <c>
        <v>65010</v>
      </c>
    </row>
    <row ht="14.95">
      <c t="s">
        <v>180</v>
      </c>
      <c>
        <v>36520</v>
      </c>
      <c>
        <v>67567</v>
      </c>
    </row>
    <row ht="14.95">
      <c t="s">
        <v>286</v>
      </c>
      <c>
        <v>36520</v>
      </c>
      <c>
        <v>70204</v>
      </c>
    </row>
    <row ht="14.95">
      <c t="s">
        <v>392</v>
      </c>
      <c>
        <v>36520</v>
      </c>
      <c>
        <v>73488</v>
      </c>
    </row>
    <row ht="14.95">
      <c t="s">
        <v>505</v>
      </c>
      <c>
        <v>36520</v>
      </c>
      <c>
        <v>76894</v>
      </c>
    </row>
    <row ht="14.95">
      <c t="s">
        <v>84</v>
      </c>
      <c>
        <v>414</v>
      </c>
      <c>
        <v>13345</v>
      </c>
    </row>
    <row ht="14.95">
      <c t="s">
        <v>196</v>
      </c>
      <c>
        <v>414</v>
      </c>
      <c>
        <v>16257</v>
      </c>
    </row>
    <row ht="14.95">
      <c t="s">
        <v>405</v>
      </c>
      <c>
        <v>414</v>
      </c>
      <c>
        <v>18972</v>
      </c>
    </row>
    <row ht="14.95">
      <c t="s">
        <v>303</v>
      </c>
      <c>
        <v>3652</v>
      </c>
      <c>
        <v>22745</v>
      </c>
    </row>
    <row ht="14.95">
      <c t="s">
        <v>406</v>
      </c>
      <c>
        <v>3652</v>
      </c>
      <c>
        <v>25069</v>
      </c>
    </row>
    <row ht="14.95">
      <c t="s">
        <v>477</v>
      </c>
      <c>
        <v>3652</v>
      </c>
      <c>
        <v>28981</v>
      </c>
    </row>
    <row ht="14.95">
      <c t="s">
        <v>9</v>
      </c>
      <c>
        <v>3652</v>
      </c>
      <c>
        <v>41653</v>
      </c>
    </row>
    <row ht="14.95">
      <c t="s">
        <v>122</v>
      </c>
      <c>
        <v>3652</v>
      </c>
      <c>
        <v>43364</v>
      </c>
    </row>
    <row ht="14.95">
      <c t="s">
        <v>229</v>
      </c>
      <c>
        <v>3652</v>
      </c>
      <c>
        <v>44929</v>
      </c>
    </row>
    <row ht="14.95">
      <c t="s">
        <v>333</v>
      </c>
      <c>
        <v>36520</v>
      </c>
      <c>
        <v>45867</v>
      </c>
    </row>
    <row ht="14.95">
      <c t="s">
        <v>441</v>
      </c>
      <c>
        <v>36520</v>
      </c>
      <c>
        <v>47883</v>
      </c>
    </row>
    <row ht="14.95">
      <c t="s">
        <v>558</v>
      </c>
      <c>
        <v>36520</v>
      </c>
      <c>
        <v>52585</v>
      </c>
    </row>
    <row ht="14.95">
      <c t="s">
        <v>197</v>
      </c>
      <c>
        <v>36520</v>
      </c>
      <c>
        <v>59448</v>
      </c>
    </row>
    <row ht="14.95">
      <c t="s">
        <v>100</v>
      </c>
      <c>
        <v>36520</v>
      </c>
      <c>
        <v>65275</v>
      </c>
    </row>
    <row ht="14.95">
      <c t="s">
        <v>211</v>
      </c>
      <c>
        <v>36520</v>
      </c>
      <c>
        <v>67960</v>
      </c>
    </row>
    <row ht="14.95">
      <c t="s">
        <v>319</v>
      </c>
      <c>
        <v>36520</v>
      </c>
      <c>
        <v>70256</v>
      </c>
    </row>
    <row ht="14.95">
      <c t="s">
        <v>422</v>
      </c>
      <c>
        <v>36520</v>
      </c>
      <c>
        <v>73575</v>
      </c>
    </row>
    <row ht="14.95">
      <c t="s">
        <v>542</v>
      </c>
      <c>
        <v>36520</v>
      </c>
      <c>
        <v>77902</v>
      </c>
    </row>
    <row ht="14.95">
      <c t="s">
        <v>10</v>
      </c>
      <c>
        <v>414</v>
      </c>
      <c>
        <v>4477</v>
      </c>
    </row>
    <row ht="14.95">
      <c t="s">
        <v>123</v>
      </c>
      <c>
        <v>414</v>
      </c>
      <c>
        <v>14237</v>
      </c>
    </row>
    <row ht="14.95">
      <c t="s">
        <v>230</v>
      </c>
      <c>
        <v>414</v>
      </c>
      <c>
        <v>16029</v>
      </c>
    </row>
    <row ht="14.95">
      <c t="s">
        <v>442</v>
      </c>
      <c>
        <v>414</v>
      </c>
      <c>
        <v>19095</v>
      </c>
    </row>
    <row ht="14.95">
      <c t="s">
        <v>334</v>
      </c>
      <c>
        <v>3652</v>
      </c>
      <c>
        <v>22237</v>
      </c>
    </row>
    <row ht="14.95">
      <c t="s">
        <v>443</v>
      </c>
      <c>
        <v>3652</v>
      </c>
      <c>
        <v>24955</v>
      </c>
    </row>
    <row ht="14.95">
      <c t="s">
        <v>559</v>
      </c>
      <c>
        <v>3652</v>
      </c>
      <c>
        <v>28412</v>
      </c>
    </row>
    <row ht="14.95">
      <c t="s">
        <v>85</v>
      </c>
      <c>
        <v>3652</v>
      </c>
      <c>
        <v>40888</v>
      </c>
    </row>
    <row ht="14.95">
      <c t="s">
        <v>198</v>
      </c>
      <c>
        <v>3652</v>
      </c>
      <c>
        <v>43250</v>
      </c>
    </row>
    <row ht="14.95">
      <c t="s">
        <v>304</v>
      </c>
      <c>
        <v>3652</v>
      </c>
      <c>
        <v>44366</v>
      </c>
    </row>
    <row ht="14.95">
      <c t="s">
        <v>407</v>
      </c>
      <c>
        <v>36520</v>
      </c>
      <c>
        <v>45971</v>
      </c>
    </row>
    <row ht="14.95">
      <c t="s">
        <v>519</v>
      </c>
      <c>
        <v>36520</v>
      </c>
      <c>
        <v>49047</v>
      </c>
    </row>
    <row ht="14.95">
      <c t="s">
        <v>43</v>
      </c>
      <c>
        <v>36520</v>
      </c>
      <c>
        <v>55110</v>
      </c>
    </row>
    <row ht="14.95">
      <c t="s">
        <v>263</v>
      </c>
      <c>
        <v>36520</v>
      </c>
      <c>
        <v>62212</v>
      </c>
    </row>
    <row ht="14.95">
      <c t="s">
        <v>178</v>
      </c>
      <c>
        <v>36520</v>
      </c>
      <c>
        <v>65401</v>
      </c>
    </row>
    <row ht="14.95">
      <c t="s">
        <v>284</v>
      </c>
      <c>
        <v>36520</v>
      </c>
      <c>
        <v>68000</v>
      </c>
    </row>
    <row ht="14.95">
      <c t="s">
        <v>390</v>
      </c>
      <c>
        <v>36520</v>
      </c>
      <c>
        <v>70694</v>
      </c>
    </row>
    <row ht="14.95">
      <c t="s">
        <v>501</v>
      </c>
      <c>
        <v>36520</v>
      </c>
      <c>
        <v>73766</v>
      </c>
    </row>
    <row ht="14.95">
      <c t="s">
        <v>33</v>
      </c>
      <c>
        <v>36520</v>
      </c>
      <c>
        <v>77204</v>
      </c>
    </row>
    <row ht="14.95">
      <c t="s">
        <v>86</v>
      </c>
      <c>
        <v>414</v>
      </c>
      <c>
        <v>4009</v>
      </c>
    </row>
    <row ht="14.95">
      <c t="s">
        <v>199</v>
      </c>
      <c>
        <v>414</v>
      </c>
      <c>
        <v>11075</v>
      </c>
    </row>
    <row ht="14.95">
      <c t="s">
        <v>305</v>
      </c>
      <c>
        <v>414</v>
      </c>
      <c>
        <v>15895</v>
      </c>
    </row>
    <row ht="14.95">
      <c t="s">
        <v>520</v>
      </c>
      <c>
        <v>414</v>
      </c>
      <c>
        <v>18521</v>
      </c>
    </row>
    <row ht="14.95">
      <c t="s">
        <v>408</v>
      </c>
      <c>
        <v>3652</v>
      </c>
      <c>
        <v>22664</v>
      </c>
    </row>
    <row ht="14.95">
      <c t="s">
        <v>521</v>
      </c>
      <c>
        <v>3652</v>
      </c>
      <c>
        <v>24811</v>
      </c>
    </row>
    <row ht="14.95">
      <c t="s">
        <v>44</v>
      </c>
      <c>
        <v>3652</v>
      </c>
      <c>
        <v>28204</v>
      </c>
    </row>
    <row ht="14.95">
      <c t="s">
        <v>159</v>
      </c>
      <c>
        <v>3652</v>
      </c>
      <c>
        <v>40823</v>
      </c>
    </row>
    <row ht="14.95">
      <c t="s">
        <v>264</v>
      </c>
      <c>
        <v>3652</v>
      </c>
      <c>
        <v>42730</v>
      </c>
    </row>
    <row ht="14.95">
      <c t="s">
        <v>370</v>
      </c>
      <c>
        <v>3652</v>
      </c>
      <c>
        <v>44034</v>
      </c>
    </row>
    <row ht="14.95">
      <c t="s">
        <v>478</v>
      </c>
      <c>
        <v>36520</v>
      </c>
      <c>
        <v>45845</v>
      </c>
    </row>
    <row ht="14.95">
      <c t="s">
        <v>11</v>
      </c>
      <c>
        <v>36520</v>
      </c>
      <c>
        <v>49166</v>
      </c>
    </row>
    <row ht="14.95">
      <c t="s">
        <v>124</v>
      </c>
      <c>
        <v>36520</v>
      </c>
      <c>
        <v>53325</v>
      </c>
    </row>
    <row ht="14.95">
      <c t="s">
        <v>335</v>
      </c>
      <c>
        <v>36520</v>
      </c>
      <c>
        <v>59672</v>
      </c>
    </row>
    <row ht="14.95">
      <c t="s">
        <v>246</v>
      </c>
      <c>
        <v>36520</v>
      </c>
      <c>
        <v>65236</v>
      </c>
    </row>
    <row ht="14.95">
      <c t="s">
        <v>356</v>
      </c>
      <c>
        <v>36520</v>
      </c>
      <c>
        <v>67694</v>
      </c>
    </row>
    <row ht="14.95">
      <c t="s">
        <v>467</v>
      </c>
      <c>
        <v>36520</v>
      </c>
      <c>
        <v>70329</v>
      </c>
    </row>
    <row ht="14.95">
      <c t="s">
        <v>579</v>
      </c>
      <c>
        <v>36520</v>
      </c>
      <c>
        <v>73599</v>
      </c>
    </row>
    <row ht="14.95">
      <c t="s">
        <v>109</v>
      </c>
      <c>
        <v>36520</v>
      </c>
      <c>
        <v>77057</v>
      </c>
    </row>
    <row ht="14.95">
      <c t="s">
        <v>125</v>
      </c>
      <c>
        <v>414</v>
      </c>
      <c>
        <v>13374</v>
      </c>
    </row>
    <row ht="14.95">
      <c t="s">
        <v>231</v>
      </c>
      <c>
        <v>414</v>
      </c>
      <c>
        <v>11540</v>
      </c>
    </row>
    <row ht="14.95">
      <c t="s">
        <v>336</v>
      </c>
      <c>
        <v>414</v>
      </c>
      <c>
        <v>16143</v>
      </c>
    </row>
    <row ht="14.95">
      <c t="s">
        <v>560</v>
      </c>
      <c>
        <v>414</v>
      </c>
      <c>
        <v>18627</v>
      </c>
    </row>
    <row ht="14.95">
      <c t="s">
        <v>444</v>
      </c>
      <c>
        <v>3652</v>
      </c>
      <c>
        <v>22958</v>
      </c>
    </row>
    <row ht="14.95">
      <c t="s">
        <v>561</v>
      </c>
      <c>
        <v>3652</v>
      </c>
      <c>
        <v>25074</v>
      </c>
    </row>
    <row ht="14.95">
      <c t="s">
        <v>87</v>
      </c>
      <c>
        <v>3652</v>
      </c>
      <c>
        <v>28487</v>
      </c>
    </row>
    <row ht="14.95">
      <c t="s">
        <v>200</v>
      </c>
      <c>
        <v>3652</v>
      </c>
      <c>
        <v>41211</v>
      </c>
    </row>
    <row ht="14.95">
      <c t="s">
        <v>306</v>
      </c>
      <c>
        <v>3652</v>
      </c>
      <c>
        <v>42843</v>
      </c>
    </row>
    <row ht="14.95">
      <c t="s">
        <v>409</v>
      </c>
      <c>
        <v>3652</v>
      </c>
      <c>
        <v>44980</v>
      </c>
    </row>
    <row ht="14.95">
      <c t="s">
        <v>522</v>
      </c>
      <c>
        <v>36520</v>
      </c>
      <c>
        <v>46614</v>
      </c>
    </row>
    <row ht="14.95">
      <c t="s">
        <v>45</v>
      </c>
      <c>
        <v>36520</v>
      </c>
      <c>
        <v>48654</v>
      </c>
    </row>
    <row ht="14.95">
      <c t="s">
        <v>160</v>
      </c>
      <c>
        <v>36520</v>
      </c>
      <c>
        <v>53438</v>
      </c>
    </row>
    <row ht="14.95">
      <c t="s">
        <v>371</v>
      </c>
      <c>
        <v>36520</v>
      </c>
      <c>
        <v>59655</v>
      </c>
    </row>
    <row ht="14.95">
      <c t="s">
        <v>282</v>
      </c>
      <c>
        <v>36520</v>
      </c>
      <c>
        <v>65369</v>
      </c>
    </row>
    <row ht="14.95">
      <c t="s">
        <v>388</v>
      </c>
      <c>
        <v>36520</v>
      </c>
      <c>
        <v>67721</v>
      </c>
    </row>
    <row ht="14.95">
      <c t="s">
        <v>499</v>
      </c>
      <c>
        <v>36520</v>
      </c>
      <c>
        <v>70788</v>
      </c>
    </row>
    <row ht="14.95">
      <c t="s">
        <v>31</v>
      </c>
      <c>
        <v>36520</v>
      </c>
      <c>
        <v>73973</v>
      </c>
    </row>
    <row ht="14.95">
      <c t="s">
        <v>145</v>
      </c>
      <c>
        <v>36520</v>
      </c>
      <c>
        <v>77814</v>
      </c>
    </row>
    <row ht="14.95">
      <c t="s">
        <v>201</v>
      </c>
      <c>
        <v>414</v>
      </c>
      <c>
        <v>4380</v>
      </c>
    </row>
    <row ht="14.95">
      <c t="s">
        <v>307</v>
      </c>
      <c>
        <v>414</v>
      </c>
      <c>
        <v>12646</v>
      </c>
    </row>
    <row ht="14.95">
      <c t="s">
        <v>410</v>
      </c>
      <c>
        <v>414</v>
      </c>
      <c>
        <v>15955</v>
      </c>
    </row>
    <row ht="14.95">
      <c t="s">
        <v>46</v>
      </c>
      <c>
        <v>414</v>
      </c>
      <c>
        <v>18600</v>
      </c>
    </row>
    <row ht="14.95">
      <c t="s">
        <v>523</v>
      </c>
      <c>
        <v>3652</v>
      </c>
      <c>
        <v>21740</v>
      </c>
    </row>
    <row ht="14.95">
      <c t="s">
        <v>47</v>
      </c>
      <c>
        <v>3652</v>
      </c>
      <c>
        <v>24882</v>
      </c>
    </row>
    <row ht="14.95">
      <c t="s">
        <v>161</v>
      </c>
      <c>
        <v>3652</v>
      </c>
      <c>
        <v>28283</v>
      </c>
    </row>
    <row ht="14.95">
      <c t="s">
        <v>265</v>
      </c>
      <c>
        <v>3652</v>
      </c>
      <c>
        <v>41230</v>
      </c>
    </row>
    <row ht="14.95">
      <c t="s">
        <v>372</v>
      </c>
      <c>
        <v>3652</v>
      </c>
      <c>
        <v>43461</v>
      </c>
    </row>
    <row ht="14.95">
      <c t="s">
        <v>479</v>
      </c>
      <c>
        <v>3652</v>
      </c>
      <c>
        <v>44664</v>
      </c>
    </row>
    <row ht="14.95">
      <c t="s">
        <v>12</v>
      </c>
      <c>
        <v>36520</v>
      </c>
      <c>
        <v>46190</v>
      </c>
    </row>
    <row ht="14.95">
      <c t="s">
        <v>126</v>
      </c>
      <c>
        <v>36520</v>
      </c>
      <c>
        <v>47708</v>
      </c>
    </row>
    <row ht="14.95">
      <c t="s">
        <v>232</v>
      </c>
      <c>
        <v>36520</v>
      </c>
      <c>
        <v>54852</v>
      </c>
    </row>
    <row ht="14.95">
      <c t="s">
        <v>445</v>
      </c>
      <c>
        <v>36520</v>
      </c>
      <c>
        <v>60405</v>
      </c>
    </row>
    <row ht="14.95">
      <c t="s">
        <v>354</v>
      </c>
      <c>
        <v>36520</v>
      </c>
      <c>
        <v>65594</v>
      </c>
    </row>
    <row ht="14.95">
      <c t="s">
        <v>465</v>
      </c>
      <c>
        <v>36520</v>
      </c>
      <c>
        <v>68231</v>
      </c>
    </row>
    <row ht="14.95">
      <c t="s">
        <v>578</v>
      </c>
      <c>
        <v>36520</v>
      </c>
      <c>
        <v>70678</v>
      </c>
    </row>
    <row ht="14.95">
      <c t="s">
        <v>110</v>
      </c>
      <c>
        <v>36520</v>
      </c>
      <c>
        <v>75953</v>
      </c>
    </row>
    <row ht="14.95">
      <c t="s">
        <v>218</v>
      </c>
      <c>
        <v>36520</v>
      </c>
      <c>
        <v>76735</v>
      </c>
    </row>
    <row ht="14.95">
      <c t="s">
        <v>233</v>
      </c>
      <c>
        <v>414</v>
      </c>
      <c>
        <v>13498</v>
      </c>
    </row>
    <row ht="14.95">
      <c t="s">
        <v>337</v>
      </c>
      <c>
        <v>414</v>
      </c>
      <c>
        <v>12774</v>
      </c>
    </row>
    <row ht="14.95">
      <c t="s">
        <v>446</v>
      </c>
      <c>
        <v>414</v>
      </c>
      <c>
        <v>16177</v>
      </c>
    </row>
    <row ht="14.95">
      <c t="s">
        <v>88</v>
      </c>
      <c>
        <v>414</v>
      </c>
      <c>
        <v>19857</v>
      </c>
    </row>
    <row ht="14.95">
      <c t="s">
        <v>562</v>
      </c>
      <c>
        <v>3652</v>
      </c>
      <c>
        <v>21569</v>
      </c>
    </row>
    <row ht="14.95">
      <c t="s">
        <v>89</v>
      </c>
      <c>
        <v>3652</v>
      </c>
      <c>
        <v>24824</v>
      </c>
    </row>
    <row ht="14.95">
      <c t="s">
        <v>202</v>
      </c>
      <c>
        <v>3652</v>
      </c>
      <c>
        <v>28308</v>
      </c>
    </row>
    <row ht="14.95">
      <c t="s">
        <v>308</v>
      </c>
      <c>
        <v>3652</v>
      </c>
      <c>
        <v>40756</v>
      </c>
    </row>
    <row ht="14.95">
      <c t="s">
        <v>411</v>
      </c>
      <c>
        <v>3652</v>
      </c>
      <c>
        <v>43319</v>
      </c>
    </row>
    <row ht="14.95">
      <c t="s">
        <v>524</v>
      </c>
      <c>
        <v>3652</v>
      </c>
      <c>
        <v>44971</v>
      </c>
    </row>
    <row ht="14.95">
      <c t="s">
        <v>48</v>
      </c>
      <c>
        <v>36520</v>
      </c>
      <c>
        <v>45567</v>
      </c>
    </row>
    <row ht="14.95">
      <c t="s">
        <v>162</v>
      </c>
      <c>
        <v>36520</v>
      </c>
      <c>
        <v>48204</v>
      </c>
    </row>
    <row ht="14.95">
      <c t="s">
        <v>266</v>
      </c>
      <c>
        <v>36520</v>
      </c>
      <c>
        <v>52187</v>
      </c>
    </row>
    <row ht="14.95">
      <c t="s">
        <v>480</v>
      </c>
      <c>
        <v>36520</v>
      </c>
      <c>
        <v>56960</v>
      </c>
    </row>
    <row ht="14.95">
      <c t="s">
        <v>385</v>
      </c>
      <c>
        <v>36520</v>
      </c>
      <c>
        <v>64970</v>
      </c>
    </row>
    <row ht="14.95">
      <c t="s">
        <v>496</v>
      </c>
      <c>
        <v>36520</v>
      </c>
      <c>
        <v>67666</v>
      </c>
    </row>
    <row ht="14.95">
      <c t="s">
        <v>28</v>
      </c>
      <c>
        <v>36520</v>
      </c>
      <c>
        <v>70351</v>
      </c>
    </row>
    <row ht="14.95">
      <c t="s">
        <v>142</v>
      </c>
      <c>
        <v>36520</v>
      </c>
      <c>
        <v>73268</v>
      </c>
    </row>
    <row ht="14.95">
      <c t="s">
        <v>250</v>
      </c>
      <c>
        <v>36520</v>
      </c>
      <c>
        <v>77084</v>
      </c>
    </row>
    <row ht="14.95">
      <c t="s">
        <v>309</v>
      </c>
      <c>
        <v>414</v>
      </c>
      <c>
        <v>3563</v>
      </c>
    </row>
    <row ht="14.95">
      <c t="s">
        <v>412</v>
      </c>
      <c>
        <v>414</v>
      </c>
      <c>
        <v>17512</v>
      </c>
    </row>
    <row ht="14.95">
      <c t="s">
        <v>525</v>
      </c>
      <c>
        <v>414</v>
      </c>
      <c>
        <v>16061</v>
      </c>
    </row>
    <row ht="14.95">
      <c t="s">
        <v>163</v>
      </c>
      <c>
        <v>414</v>
      </c>
      <c>
        <v>18571</v>
      </c>
    </row>
    <row ht="14.95">
      <c t="s">
        <v>49</v>
      </c>
      <c>
        <v>3652</v>
      </c>
      <c>
        <v>22028</v>
      </c>
    </row>
    <row ht="14.95">
      <c t="s">
        <v>164</v>
      </c>
      <c>
        <v>3652</v>
      </c>
      <c>
        <v>25675</v>
      </c>
    </row>
    <row ht="14.95">
      <c t="s">
        <v>267</v>
      </c>
      <c>
        <v>3652</v>
      </c>
      <c>
        <v>28301</v>
      </c>
    </row>
    <row ht="14.95">
      <c t="s">
        <v>373</v>
      </c>
      <c>
        <v>3652</v>
      </c>
      <c>
        <v>40927</v>
      </c>
    </row>
    <row ht="14.95">
      <c t="s">
        <v>481</v>
      </c>
      <c>
        <v>3652</v>
      </c>
      <c>
        <v>42426</v>
      </c>
    </row>
    <row ht="14.95">
      <c t="s">
        <v>13</v>
      </c>
      <c>
        <v>3652</v>
      </c>
      <c>
        <v>44301</v>
      </c>
    </row>
    <row ht="14.95">
      <c t="s">
        <v>127</v>
      </c>
      <c>
        <v>36520</v>
      </c>
      <c>
        <v>46005</v>
      </c>
    </row>
    <row ht="14.95">
      <c t="s">
        <v>234</v>
      </c>
      <c>
        <v>36520</v>
      </c>
      <c>
        <v>49273</v>
      </c>
    </row>
    <row ht="14.95">
      <c t="s">
        <v>338</v>
      </c>
      <c>
        <v>36520</v>
      </c>
      <c>
        <v>54887</v>
      </c>
    </row>
    <row ht="14.95">
      <c t="s">
        <v>563</v>
      </c>
      <c>
        <v>36520</v>
      </c>
      <c>
        <v>59529</v>
      </c>
    </row>
    <row ht="14.95">
      <c t="s">
        <v>463</v>
      </c>
      <c>
        <v>36520</v>
      </c>
      <c>
        <v>65227</v>
      </c>
    </row>
    <row ht="14.95">
      <c t="s">
        <v>576</v>
      </c>
      <c>
        <v>36520</v>
      </c>
      <c>
        <v>67689</v>
      </c>
    </row>
    <row ht="14.95">
      <c t="s">
        <v>105</v>
      </c>
      <c>
        <v>36520</v>
      </c>
      <c>
        <v>71657</v>
      </c>
    </row>
    <row ht="14.95">
      <c t="s">
        <v>216</v>
      </c>
      <c>
        <v>36520</v>
      </c>
      <c>
        <v>73795</v>
      </c>
    </row>
    <row ht="14.95">
      <c t="s">
        <v>324</v>
      </c>
      <c>
        <v>36520</v>
      </c>
      <c>
        <v>77141</v>
      </c>
    </row>
    <row ht="14.95">
      <c t="s">
        <v>128</v>
      </c>
      <c>
        <v>3652</v>
      </c>
      <c>
        <v>22981</v>
      </c>
    </row>
    <row ht="14.95">
      <c t="s">
        <v>235</v>
      </c>
      <c>
        <v>3652</v>
      </c>
      <c>
        <v>24828</v>
      </c>
    </row>
    <row ht="14.95">
      <c t="s">
        <v>339</v>
      </c>
      <c>
        <v>3652</v>
      </c>
      <c>
        <v>28171</v>
      </c>
    </row>
    <row ht="14.95">
      <c t="s">
        <v>447</v>
      </c>
      <c>
        <v>3652</v>
      </c>
      <c>
        <v>40750</v>
      </c>
    </row>
    <row ht="14.95">
      <c t="s">
        <v>564</v>
      </c>
      <c>
        <v>3652</v>
      </c>
      <c>
        <v>42337</v>
      </c>
    </row>
    <row ht="14.95">
      <c t="s">
        <v>90</v>
      </c>
      <c>
        <v>3652</v>
      </c>
      <c>
        <v>44744</v>
      </c>
    </row>
    <row ht="14.95">
      <c t="s">
        <v>165</v>
      </c>
      <c>
        <v>36520</v>
      </c>
      <c>
        <v>45676</v>
      </c>
    </row>
    <row ht="14.95">
      <c t="s">
        <v>268</v>
      </c>
      <c>
        <v>36520</v>
      </c>
      <c>
        <v>48705</v>
      </c>
    </row>
    <row ht="14.95">
      <c t="s">
        <v>374</v>
      </c>
      <c>
        <v>36520</v>
      </c>
      <c>
        <v>54790</v>
      </c>
    </row>
    <row ht="14.95">
      <c t="s">
        <v>50</v>
      </c>
      <c>
        <v>36520</v>
      </c>
      <c>
        <v>57225</v>
      </c>
    </row>
    <row ht="14.95">
      <c t="s">
        <v>493</v>
      </c>
      <c>
        <v>36520</v>
      </c>
      <c>
        <v>64988</v>
      </c>
    </row>
    <row ht="14.95">
      <c t="s">
        <v>26</v>
      </c>
      <c>
        <v>36520</v>
      </c>
      <c>
        <v>67555</v>
      </c>
    </row>
    <row ht="14.95">
      <c t="s">
        <v>140</v>
      </c>
      <c>
        <v>36520</v>
      </c>
      <c>
        <v>69976</v>
      </c>
    </row>
    <row ht="14.95">
      <c t="s">
        <v>248</v>
      </c>
      <c>
        <v>36520</v>
      </c>
      <c>
        <v>73392</v>
      </c>
    </row>
    <row ht="14.95">
      <c t="s">
        <v>358</v>
      </c>
      <c>
        <v>36520</v>
      </c>
      <c>
        <v>76837</v>
      </c>
    </row>
    <row ht="14.95">
      <c t="s">
        <v>413</v>
      </c>
      <c>
        <v>414</v>
      </c>
      <c>
        <v>5453</v>
      </c>
    </row>
    <row ht="14.95">
      <c t="s">
        <v>526</v>
      </c>
      <c>
        <v>414</v>
      </c>
      <c>
        <v>11663</v>
      </c>
    </row>
    <row ht="14.95">
      <c t="s">
        <v>51</v>
      </c>
      <c>
        <v>414</v>
      </c>
      <c>
        <v>16008</v>
      </c>
    </row>
    <row ht="14.95">
      <c t="s">
        <v>269</v>
      </c>
      <c>
        <v>414</v>
      </c>
      <c>
        <v>18710</v>
      </c>
    </row>
    <row ht="14.95">
      <c t="s">
        <v>166</v>
      </c>
      <c>
        <v>3652</v>
      </c>
      <c>
        <v>21905</v>
      </c>
    </row>
    <row ht="14.95">
      <c t="s">
        <v>270</v>
      </c>
      <c>
        <v>3652</v>
      </c>
      <c>
        <v>25122</v>
      </c>
    </row>
    <row ht="14.95">
      <c t="s">
        <v>375</v>
      </c>
      <c>
        <v>3652</v>
      </c>
      <c>
        <v>28576</v>
      </c>
    </row>
    <row ht="14.95">
      <c t="s">
        <v>482</v>
      </c>
      <c>
        <v>3652</v>
      </c>
      <c>
        <v>41241</v>
      </c>
    </row>
    <row ht="14.95">
      <c t="s">
        <v>14</v>
      </c>
      <c>
        <v>3652</v>
      </c>
      <c>
        <v>42814</v>
      </c>
    </row>
    <row ht="14.95">
      <c t="s">
        <v>129</v>
      </c>
      <c>
        <v>3652</v>
      </c>
      <c>
        <v>45055</v>
      </c>
    </row>
    <row ht="14.95">
      <c t="s">
        <v>236</v>
      </c>
      <c>
        <v>36520</v>
      </c>
      <c>
        <v>46111</v>
      </c>
    </row>
    <row ht="14.95">
      <c t="s">
        <v>340</v>
      </c>
      <c>
        <v>36520</v>
      </c>
      <c>
        <v>49492</v>
      </c>
    </row>
    <row ht="14.95">
      <c t="s">
        <v>448</v>
      </c>
      <c>
        <v>36520</v>
      </c>
      <c>
        <v>53545</v>
      </c>
    </row>
    <row ht="14.95">
      <c t="s">
        <v>91</v>
      </c>
      <c>
        <v>36520</v>
      </c>
      <c>
        <v>60026</v>
      </c>
    </row>
    <row ht="14.95">
      <c t="s">
        <v>574</v>
      </c>
      <c>
        <v>36520</v>
      </c>
      <c>
        <v>65988</v>
      </c>
    </row>
    <row ht="14.95">
      <c t="s">
        <v>103</v>
      </c>
      <c>
        <v>36520</v>
      </c>
      <c>
        <v>68098</v>
      </c>
    </row>
    <row ht="14.95">
      <c t="s">
        <v>214</v>
      </c>
      <c>
        <v>36520</v>
      </c>
      <c>
        <v>70806</v>
      </c>
    </row>
    <row ht="14.95">
      <c t="s">
        <v>322</v>
      </c>
      <c>
        <v>36520</v>
      </c>
      <c>
        <v>73710</v>
      </c>
    </row>
    <row ht="14.95">
      <c t="s">
        <v>425</v>
      </c>
      <c>
        <v>36520</v>
      </c>
      <c>
        <v>77115</v>
      </c>
    </row>
    <row ht="14.95">
      <c t="s">
        <v>483</v>
      </c>
      <c>
        <v>414</v>
      </c>
      <c>
        <v>6332</v>
      </c>
    </row>
    <row ht="14.95">
      <c t="s">
        <v>15</v>
      </c>
      <c>
        <v>414</v>
      </c>
      <c>
        <v>12660</v>
      </c>
    </row>
    <row ht="14.95">
      <c t="s">
        <v>130</v>
      </c>
      <c>
        <v>414</v>
      </c>
      <c>
        <v>16686</v>
      </c>
    </row>
    <row ht="14.95">
      <c t="s">
        <v>341</v>
      </c>
      <c>
        <v>414</v>
      </c>
      <c>
        <v>19144</v>
      </c>
    </row>
    <row ht="14.95">
      <c t="s">
        <v>342</v>
      </c>
      <c>
        <v>3652</v>
      </c>
      <c>
        <v>25127</v>
      </c>
    </row>
    <row ht="14.95">
      <c t="s">
        <v>449</v>
      </c>
      <c>
        <v>3652</v>
      </c>
      <c>
        <v>28268</v>
      </c>
    </row>
    <row ht="14.95">
      <c t="s">
        <v>565</v>
      </c>
      <c>
        <v>3652</v>
      </c>
      <c>
        <v>40839</v>
      </c>
    </row>
    <row ht="14.95">
      <c t="s">
        <v>92</v>
      </c>
      <c>
        <v>3652</v>
      </c>
      <c>
        <v>42571</v>
      </c>
    </row>
    <row ht="14.95">
      <c t="s">
        <v>203</v>
      </c>
      <c>
        <v>3652</v>
      </c>
      <c>
        <v>44259</v>
      </c>
    </row>
    <row ht="14.95">
      <c t="s">
        <v>310</v>
      </c>
      <c>
        <v>36520</v>
      </c>
      <c>
        <v>45831</v>
      </c>
    </row>
    <row ht="14.95">
      <c t="s">
        <v>414</v>
      </c>
      <c>
        <v>36520</v>
      </c>
      <c>
        <v>49312</v>
      </c>
    </row>
    <row ht="14.95">
      <c t="s">
        <v>527</v>
      </c>
      <c>
        <v>36520</v>
      </c>
      <c>
        <v>52902</v>
      </c>
    </row>
    <row ht="14.95">
      <c t="s">
        <v>167</v>
      </c>
      <c>
        <v>36520</v>
      </c>
      <c>
        <v>59153</v>
      </c>
    </row>
    <row ht="14.95">
      <c t="s">
        <v>66</v>
      </c>
      <c>
        <v>36520</v>
      </c>
      <c>
        <v>65124</v>
      </c>
    </row>
    <row ht="14.95">
      <c t="s">
        <v>181</v>
      </c>
      <c>
        <v>36520</v>
      </c>
      <c>
        <v>67612</v>
      </c>
    </row>
    <row ht="14.95">
      <c t="s">
        <v>287</v>
      </c>
      <c>
        <v>36520</v>
      </c>
      <c>
        <v>70729</v>
      </c>
    </row>
    <row ht="14.95">
      <c t="s">
        <v>393</v>
      </c>
      <c>
        <v>36520</v>
      </c>
      <c>
        <v>73694</v>
      </c>
    </row>
    <row ht="14.95">
      <c t="s">
        <v>506</v>
      </c>
      <c>
        <v>36520</v>
      </c>
      <c>
        <v>77002</v>
      </c>
    </row>
    <row ht="14.95">
      <c t="s">
        <v>528</v>
      </c>
      <c>
        <v>414</v>
      </c>
      <c>
        <v>4497</v>
      </c>
    </row>
    <row ht="14.95">
      <c t="s">
        <v>52</v>
      </c>
      <c>
        <v>414</v>
      </c>
      <c>
        <v>11689</v>
      </c>
    </row>
    <row ht="14.95">
      <c t="s">
        <v>168</v>
      </c>
      <c>
        <v>414</v>
      </c>
      <c>
        <v>17163</v>
      </c>
    </row>
    <row ht="14.95">
      <c t="s">
        <v>376</v>
      </c>
      <c>
        <v>414</v>
      </c>
      <c>
        <v>18420</v>
      </c>
    </row>
    <row ht="14.95">
      <c t="s">
        <v>271</v>
      </c>
      <c>
        <v>3652</v>
      </c>
      <c>
        <v>22642</v>
      </c>
    </row>
    <row ht="14.95">
      <c t="s">
        <v>377</v>
      </c>
      <c>
        <v>3652</v>
      </c>
      <c>
        <v>25451</v>
      </c>
    </row>
    <row ht="14.95">
      <c t="s">
        <v>484</v>
      </c>
      <c>
        <v>3652</v>
      </c>
      <c>
        <v>28863</v>
      </c>
    </row>
    <row ht="14.95">
      <c t="s">
        <v>16</v>
      </c>
      <c>
        <v>3652</v>
      </c>
      <c>
        <v>41376</v>
      </c>
    </row>
    <row ht="14.95">
      <c t="s">
        <v>131</v>
      </c>
      <c>
        <v>3652</v>
      </c>
      <c>
        <v>43407</v>
      </c>
    </row>
    <row ht="14.95">
      <c t="s">
        <v>237</v>
      </c>
      <c>
        <v>3652</v>
      </c>
      <c>
        <v>44454</v>
      </c>
    </row>
    <row ht="14.95">
      <c t="s">
        <v>343</v>
      </c>
      <c>
        <v>36520</v>
      </c>
      <c>
        <v>45705</v>
      </c>
    </row>
    <row ht="14.95">
      <c t="s">
        <v>450</v>
      </c>
      <c>
        <v>36520</v>
      </c>
      <c>
        <v>48266</v>
      </c>
    </row>
    <row ht="14.95">
      <c t="s">
        <v>566</v>
      </c>
      <c>
        <v>36520</v>
      </c>
      <c>
        <v>52746</v>
      </c>
    </row>
    <row ht="14.95">
      <c t="s">
        <v>204</v>
      </c>
      <c>
        <v>36520</v>
      </c>
      <c>
        <v>58305</v>
      </c>
    </row>
    <row ht="14.95">
      <c t="s">
        <v>101</v>
      </c>
      <c>
        <v>36520</v>
      </c>
      <c>
        <v>65172</v>
      </c>
    </row>
    <row ht="14.95">
      <c t="s">
        <v>212</v>
      </c>
      <c>
        <v>36520</v>
      </c>
      <c>
        <v>67758</v>
      </c>
    </row>
    <row ht="14.95">
      <c t="s">
        <v>320</v>
      </c>
      <c>
        <v>36520</v>
      </c>
      <c>
        <v>70168</v>
      </c>
    </row>
    <row ht="14.95">
      <c t="s">
        <v>423</v>
      </c>
      <c>
        <v>36520</v>
      </c>
      <c>
        <v>73194</v>
      </c>
    </row>
    <row ht="14.95">
      <c t="s">
        <v>543</v>
      </c>
      <c>
        <v>36520</v>
      </c>
      <c>
        <v>76772</v>
      </c>
    </row>
    <row ht="14.95">
      <c t="s">
        <v>17</v>
      </c>
      <c>
        <v>414</v>
      </c>
      <c>
        <v>4372</v>
      </c>
    </row>
    <row ht="14.95">
      <c t="s">
        <v>132</v>
      </c>
      <c>
        <v>414</v>
      </c>
      <c>
        <v>13195</v>
      </c>
    </row>
    <row ht="14.95">
      <c t="s">
        <v>238</v>
      </c>
      <c>
        <v>414</v>
      </c>
      <c>
        <v>17484</v>
      </c>
    </row>
    <row ht="14.95">
      <c t="s">
        <v>451</v>
      </c>
      <c>
        <v>414</v>
      </c>
      <c>
        <v>18966</v>
      </c>
    </row>
    <row ht="14.95">
      <c t="s">
        <v>344</v>
      </c>
      <c>
        <v>3652</v>
      </c>
      <c>
        <v>21677</v>
      </c>
    </row>
    <row ht="14.95">
      <c t="s">
        <v>452</v>
      </c>
      <c>
        <v>3652</v>
      </c>
      <c>
        <v>25061</v>
      </c>
    </row>
    <row ht="14.95">
      <c t="s">
        <v>567</v>
      </c>
      <c>
        <v>3652</v>
      </c>
      <c>
        <v>28992</v>
      </c>
    </row>
    <row ht="14.95">
      <c t="s">
        <v>93</v>
      </c>
      <c>
        <v>3652</v>
      </c>
      <c>
        <v>40953</v>
      </c>
    </row>
    <row ht="14.95">
      <c t="s">
        <v>205</v>
      </c>
      <c>
        <v>3652</v>
      </c>
      <c>
        <v>42862</v>
      </c>
    </row>
    <row ht="14.95">
      <c t="s">
        <v>311</v>
      </c>
      <c>
        <v>3652</v>
      </c>
      <c>
        <v>45173</v>
      </c>
    </row>
    <row ht="14.95">
      <c t="s">
        <v>415</v>
      </c>
      <c>
        <v>36520</v>
      </c>
      <c>
        <v>46074</v>
      </c>
    </row>
    <row ht="14.95">
      <c t="s">
        <v>529</v>
      </c>
      <c>
        <v>36520</v>
      </c>
      <c>
        <v>49123</v>
      </c>
    </row>
    <row ht="14.95">
      <c t="s">
        <v>53</v>
      </c>
      <c>
        <v>36520</v>
      </c>
      <c>
        <v>53453</v>
      </c>
    </row>
    <row ht="14.95">
      <c t="s">
        <v>272</v>
      </c>
      <c>
        <v>36520</v>
      </c>
      <c>
        <v>59968</v>
      </c>
    </row>
    <row ht="14.95">
      <c t="s">
        <v>179</v>
      </c>
      <c>
        <v>36520</v>
      </c>
      <c>
        <v>65605</v>
      </c>
    </row>
    <row ht="14.95">
      <c t="s">
        <v>285</v>
      </c>
      <c>
        <v>36520</v>
      </c>
      <c>
        <v>67797</v>
      </c>
    </row>
    <row ht="14.95">
      <c t="s">
        <v>391</v>
      </c>
      <c>
        <v>36520</v>
      </c>
      <c>
        <v>70332</v>
      </c>
    </row>
    <row ht="14.95">
      <c t="s">
        <v>502</v>
      </c>
      <c>
        <v>36520</v>
      </c>
      <c>
        <v>74034</v>
      </c>
    </row>
    <row ht="14.95">
      <c t="s">
        <v>34</v>
      </c>
      <c>
        <v>36520</v>
      </c>
      <c>
        <v>77408</v>
      </c>
    </row>
    <row ht="14.95">
      <c t="s">
        <v>133</v>
      </c>
      <c>
        <v>414</v>
      </c>
      <c>
        <v>3023</v>
      </c>
    </row>
    <row ht="14.95">
      <c t="s">
        <v>239</v>
      </c>
      <c>
        <v>414</v>
      </c>
      <c>
        <v>12383</v>
      </c>
    </row>
    <row ht="14.95">
      <c t="s">
        <v>345</v>
      </c>
      <c>
        <v>414</v>
      </c>
      <c>
        <v>16387</v>
      </c>
    </row>
    <row ht="14.95">
      <c t="s">
        <v>568</v>
      </c>
      <c>
        <v>414</v>
      </c>
      <c>
        <v>19346</v>
      </c>
    </row>
    <row ht="14.95">
      <c t="s">
        <v>453</v>
      </c>
      <c>
        <v>3652</v>
      </c>
      <c>
        <v>22784</v>
      </c>
    </row>
    <row ht="14.95">
      <c t="s">
        <v>569</v>
      </c>
      <c>
        <v>3652</v>
      </c>
      <c>
        <v>25055</v>
      </c>
    </row>
    <row ht="14.95">
      <c t="s">
        <v>94</v>
      </c>
      <c>
        <v>3652</v>
      </c>
      <c>
        <v>29092</v>
      </c>
    </row>
    <row ht="14.95">
      <c t="s">
        <v>206</v>
      </c>
      <c>
        <v>3652</v>
      </c>
      <c>
        <v>40806</v>
      </c>
    </row>
    <row ht="14.95">
      <c t="s">
        <v>312</v>
      </c>
      <c>
        <v>3652</v>
      </c>
      <c>
        <v>43526</v>
      </c>
    </row>
    <row ht="14.95">
      <c t="s">
        <v>416</v>
      </c>
      <c>
        <v>3652</v>
      </c>
      <c>
        <v>45085</v>
      </c>
    </row>
    <row ht="14.95">
      <c t="s">
        <v>530</v>
      </c>
      <c>
        <v>36520</v>
      </c>
      <c>
        <v>46979</v>
      </c>
    </row>
    <row ht="14.95">
      <c t="s">
        <v>54</v>
      </c>
      <c>
        <v>36520</v>
      </c>
      <c>
        <v>51451</v>
      </c>
    </row>
    <row ht="14.95">
      <c t="s">
        <v>169</v>
      </c>
      <c>
        <v>36520</v>
      </c>
      <c>
        <v>53683</v>
      </c>
    </row>
    <row ht="14.95">
      <c t="s">
        <v>378</v>
      </c>
      <c>
        <v>36520</v>
      </c>
      <c>
        <v>59505</v>
      </c>
    </row>
    <row ht="14.95">
      <c t="s">
        <v>283</v>
      </c>
      <c>
        <v>36520</v>
      </c>
      <c>
        <v>65690</v>
      </c>
    </row>
    <row ht="14.95">
      <c t="s">
        <v>389</v>
      </c>
      <c>
        <v>36520</v>
      </c>
      <c>
        <v>67856</v>
      </c>
    </row>
    <row ht="14.95">
      <c t="s">
        <v>500</v>
      </c>
      <c>
        <v>36520</v>
      </c>
      <c>
        <v>70652</v>
      </c>
    </row>
    <row ht="14.95">
      <c t="s">
        <v>32</v>
      </c>
      <c>
        <v>36520</v>
      </c>
      <c>
        <v>74028</v>
      </c>
    </row>
    <row ht="14.95">
      <c t="s">
        <v>146</v>
      </c>
      <c>
        <v>36520</v>
      </c>
      <c>
        <v>77308</v>
      </c>
    </row>
    <row ht="14.95">
      <c t="s">
        <v>313</v>
      </c>
      <c>
        <v>414</v>
      </c>
      <c>
        <v>11245</v>
      </c>
    </row>
    <row ht="14.95">
      <c t="s">
        <v>417</v>
      </c>
      <c>
        <v>414</v>
      </c>
      <c>
        <v>15886</v>
      </c>
    </row>
    <row ht="14.95">
      <c t="s">
        <v>55</v>
      </c>
      <c>
        <v>414</v>
      </c>
      <c>
        <v>18412</v>
      </c>
    </row>
    <row ht="14.95">
      <c t="s">
        <v>531</v>
      </c>
      <c>
        <v>3652</v>
      </c>
      <c>
        <v>21843</v>
      </c>
    </row>
    <row ht="14.95">
      <c t="s">
        <v>56</v>
      </c>
      <c>
        <v>3652</v>
      </c>
      <c>
        <v>25610</v>
      </c>
    </row>
    <row ht="14.95">
      <c t="s">
        <v>170</v>
      </c>
      <c>
        <v>3652</v>
      </c>
      <c>
        <v>28644</v>
      </c>
    </row>
    <row ht="14.95">
      <c t="s">
        <v>273</v>
      </c>
      <c>
        <v>3652</v>
      </c>
      <c>
        <v>40708</v>
      </c>
    </row>
    <row ht="14.95">
      <c t="s">
        <v>379</v>
      </c>
      <c>
        <v>3652</v>
      </c>
      <c>
        <v>42391</v>
      </c>
    </row>
    <row ht="14.95">
      <c t="s">
        <v>485</v>
      </c>
      <c>
        <v>3652</v>
      </c>
      <c>
        <v>45023</v>
      </c>
    </row>
    <row ht="14.95">
      <c t="s">
        <v>18</v>
      </c>
      <c>
        <v>36520</v>
      </c>
      <c>
        <v>46813</v>
      </c>
    </row>
    <row ht="14.95">
      <c t="s">
        <v>134</v>
      </c>
      <c>
        <v>36520</v>
      </c>
      <c>
        <v>50717</v>
      </c>
    </row>
    <row ht="14.95">
      <c t="s">
        <v>240</v>
      </c>
      <c>
        <v>36520</v>
      </c>
      <c>
        <v>52668</v>
      </c>
    </row>
    <row ht="14.95">
      <c t="s">
        <v>454</v>
      </c>
      <c>
        <v>36520</v>
      </c>
      <c>
        <v>59187</v>
      </c>
    </row>
    <row ht="14.95">
      <c t="s">
        <v>355</v>
      </c>
      <c>
        <v>36520</v>
      </c>
      <c>
        <v>66246</v>
      </c>
    </row>
    <row ht="14.95">
      <c t="s">
        <v>466</v>
      </c>
      <c>
        <v>36520</v>
      </c>
      <c>
        <v>67630</v>
      </c>
    </row>
    <row ht="14.95">
      <c t="s">
        <v>539</v>
      </c>
      <c>
        <v>36520</v>
      </c>
      <c>
        <v>70508</v>
      </c>
    </row>
    <row ht="14.95">
      <c t="s">
        <v>70</v>
      </c>
      <c>
        <v>36520</v>
      </c>
      <c>
        <v>73456</v>
      </c>
    </row>
    <row ht="14.95">
      <c t="s">
        <v>185</v>
      </c>
      <c>
        <v>36520</v>
      </c>
      <c>
        <v>76870</v>
      </c>
    </row>
    <row ht="14.95">
      <c t="s">
        <v>241</v>
      </c>
      <c>
        <v>414</v>
      </c>
      <c>
        <v>4638</v>
      </c>
    </row>
    <row ht="14.95">
      <c t="s">
        <v>346</v>
      </c>
      <c>
        <v>414</v>
      </c>
      <c>
        <v>11732</v>
      </c>
    </row>
    <row ht="14.95">
      <c t="s">
        <v>455</v>
      </c>
      <c>
        <v>414</v>
      </c>
      <c>
        <v>16340</v>
      </c>
    </row>
    <row ht="14.95">
      <c t="s">
        <v>95</v>
      </c>
      <c>
        <v>414</v>
      </c>
      <c>
        <v>18777</v>
      </c>
    </row>
    <row ht="14.95">
      <c t="s">
        <v>570</v>
      </c>
      <c>
        <v>3652</v>
      </c>
      <c>
        <v>22917</v>
      </c>
    </row>
    <row ht="14.95">
      <c t="s">
        <v>96</v>
      </c>
      <c>
        <v>3652</v>
      </c>
      <c>
        <v>25990</v>
      </c>
    </row>
    <row ht="14.95">
      <c t="s">
        <v>207</v>
      </c>
      <c>
        <v>3652</v>
      </c>
      <c>
        <v>28503</v>
      </c>
    </row>
    <row ht="14.95">
      <c t="s">
        <v>314</v>
      </c>
      <c>
        <v>3652</v>
      </c>
      <c>
        <v>41090</v>
      </c>
    </row>
    <row ht="14.95">
      <c t="s">
        <v>418</v>
      </c>
      <c>
        <v>3652</v>
      </c>
      <c>
        <v>42891</v>
      </c>
    </row>
    <row ht="14.95">
      <c t="s">
        <v>532</v>
      </c>
      <c>
        <v>3652</v>
      </c>
      <c>
        <v>44150</v>
      </c>
    </row>
    <row ht="14.95">
      <c t="s">
        <v>57</v>
      </c>
      <c>
        <v>36520</v>
      </c>
      <c>
        <v>47129</v>
      </c>
    </row>
    <row ht="14.95">
      <c t="s">
        <v>171</v>
      </c>
      <c>
        <v>36520</v>
      </c>
      <c>
        <v>50956</v>
      </c>
    </row>
    <row ht="14.95">
      <c t="s">
        <v>274</v>
      </c>
      <c>
        <v>36520</v>
      </c>
      <c>
        <v>53086</v>
      </c>
    </row>
    <row ht="14.95">
      <c t="s">
        <v>486</v>
      </c>
      <c>
        <v>36520</v>
      </c>
      <c>
        <v>64067</v>
      </c>
    </row>
    <row ht="14.95">
      <c t="s">
        <v>386</v>
      </c>
      <c>
        <v>36520</v>
      </c>
      <c>
        <v>65327</v>
      </c>
    </row>
    <row ht="14.95">
      <c t="s">
        <v>497</v>
      </c>
      <c>
        <v>36520</v>
      </c>
      <c>
        <v>68112</v>
      </c>
    </row>
    <row ht="14.95">
      <c t="s">
        <v>29</v>
      </c>
      <c>
        <v>36520</v>
      </c>
      <c>
        <v>70528</v>
      </c>
    </row>
    <row ht="14.95">
      <c t="s">
        <v>143</v>
      </c>
      <c>
        <v>36520</v>
      </c>
      <c>
        <v>74109</v>
      </c>
    </row>
    <row ht="14.95">
      <c t="s">
        <v>251</v>
      </c>
      <c>
        <v>36520</v>
      </c>
      <c>
        <v>77494</v>
      </c>
    </row>
    <row ht="14.95">
      <c t="s">
        <v>315</v>
      </c>
      <c>
        <v>414</v>
      </c>
      <c>
        <v>4472</v>
      </c>
    </row>
    <row ht="14.95">
      <c t="s">
        <v>419</v>
      </c>
      <c>
        <v>414</v>
      </c>
      <c>
        <v>11742</v>
      </c>
    </row>
    <row ht="14.95">
      <c t="s">
        <v>533</v>
      </c>
      <c>
        <v>414</v>
      </c>
      <c>
        <v>16235</v>
      </c>
    </row>
    <row ht="14.95">
      <c t="s">
        <v>172</v>
      </c>
      <c>
        <v>414</v>
      </c>
      <c>
        <v>18987</v>
      </c>
    </row>
    <row ht="14.95">
      <c t="s">
        <v>58</v>
      </c>
      <c>
        <v>3652</v>
      </c>
      <c>
        <v>21960</v>
      </c>
    </row>
    <row ht="14.95">
      <c t="s">
        <v>173</v>
      </c>
      <c>
        <v>3652</v>
      </c>
      <c>
        <v>25006</v>
      </c>
    </row>
    <row ht="14.95">
      <c t="s">
        <v>275</v>
      </c>
      <c>
        <v>3652</v>
      </c>
      <c>
        <v>28613</v>
      </c>
    </row>
    <row ht="14.95">
      <c t="s">
        <v>380</v>
      </c>
      <c>
        <v>3652</v>
      </c>
      <c>
        <v>41197</v>
      </c>
    </row>
    <row ht="14.95">
      <c t="s">
        <v>487</v>
      </c>
      <c>
        <v>3652</v>
      </c>
      <c>
        <v>43019</v>
      </c>
    </row>
    <row ht="14.95">
      <c t="s">
        <v>19</v>
      </c>
      <c>
        <v>3652</v>
      </c>
      <c>
        <v>45113</v>
      </c>
    </row>
    <row ht="14.95">
      <c t="s">
        <v>135</v>
      </c>
      <c>
        <v>36520</v>
      </c>
      <c>
        <v>46213</v>
      </c>
    </row>
    <row ht="14.95">
      <c t="s">
        <v>242</v>
      </c>
      <c>
        <v>36520</v>
      </c>
      <c>
        <v>50262</v>
      </c>
    </row>
    <row ht="14.95">
      <c t="s">
        <v>347</v>
      </c>
      <c>
        <v>36520</v>
      </c>
      <c>
        <v>53036</v>
      </c>
    </row>
    <row ht="14.95">
      <c t="s">
        <v>571</v>
      </c>
      <c>
        <v>36520</v>
      </c>
      <c>
        <v>59345</v>
      </c>
    </row>
    <row ht="14.95">
      <c t="s">
        <v>464</v>
      </c>
      <c>
        <v>36520</v>
      </c>
      <c>
        <v>65518</v>
      </c>
    </row>
    <row ht="14.95">
      <c t="s">
        <v>577</v>
      </c>
      <c>
        <v>36520</v>
      </c>
      <c>
        <v>68152</v>
      </c>
    </row>
    <row ht="14.95">
      <c t="s">
        <v>106</v>
      </c>
      <c>
        <v>36520</v>
      </c>
      <c>
        <v>70907</v>
      </c>
    </row>
    <row ht="14.95">
      <c t="s">
        <v>217</v>
      </c>
      <c>
        <v>36520</v>
      </c>
      <c>
        <v>74084</v>
      </c>
    </row>
    <row ht="14.95">
      <c t="s">
        <v>325</v>
      </c>
      <c>
        <v>36520</v>
      </c>
      <c>
        <v>77558</v>
      </c>
    </row>
    <row ht="14.95">
      <c t="s">
        <v>348</v>
      </c>
      <c>
        <v>414</v>
      </c>
      <c>
        <v>4440</v>
      </c>
    </row>
    <row ht="14.95">
      <c t="s">
        <v>456</v>
      </c>
      <c>
        <v>414</v>
      </c>
      <c>
        <v>12663</v>
      </c>
    </row>
    <row ht="14.95">
      <c t="s">
        <v>572</v>
      </c>
      <c>
        <v>414</v>
      </c>
      <c>
        <v>16221</v>
      </c>
    </row>
    <row ht="14.95">
      <c t="s">
        <v>208</v>
      </c>
      <c>
        <v>414</v>
      </c>
      <c>
        <v>18621</v>
      </c>
    </row>
    <row ht="14.95">
      <c t="s">
        <v>97</v>
      </c>
      <c>
        <v>3652</v>
      </c>
      <c>
        <v>21397</v>
      </c>
    </row>
    <row ht="14.95">
      <c t="s">
        <v>209</v>
      </c>
      <c>
        <v>3652</v>
      </c>
      <c>
        <v>24778</v>
      </c>
    </row>
    <row ht="14.95">
      <c t="s">
        <v>316</v>
      </c>
      <c>
        <v>3652</v>
      </c>
      <c>
        <v>28063</v>
      </c>
    </row>
    <row ht="14.95">
      <c t="s">
        <v>420</v>
      </c>
      <c>
        <v>3652</v>
      </c>
      <c>
        <v>40630</v>
      </c>
    </row>
    <row ht="14.95">
      <c t="s">
        <v>534</v>
      </c>
      <c>
        <v>3652</v>
      </c>
      <c>
        <v>43232</v>
      </c>
    </row>
    <row ht="14.95">
      <c t="s">
        <v>59</v>
      </c>
      <c>
        <v>3652</v>
      </c>
      <c>
        <v>43903</v>
      </c>
    </row>
    <row ht="14.95">
      <c t="s">
        <v>174</v>
      </c>
      <c>
        <v>36520</v>
      </c>
      <c>
        <v>45774</v>
      </c>
    </row>
    <row ht="14.95">
      <c t="s">
        <v>276</v>
      </c>
      <c>
        <v>36520</v>
      </c>
      <c>
        <v>48447</v>
      </c>
    </row>
    <row ht="14.95">
      <c t="s">
        <v>381</v>
      </c>
      <c>
        <v>36520</v>
      </c>
      <c>
        <v>52342</v>
      </c>
    </row>
    <row ht="14.95">
      <c t="s">
        <v>20</v>
      </c>
      <c>
        <v>36520</v>
      </c>
      <c>
        <v>59693</v>
      </c>
    </row>
    <row ht="14.95">
      <c t="s">
        <v>494</v>
      </c>
      <c>
        <v>36520</v>
      </c>
      <c>
        <v>65046</v>
      </c>
    </row>
    <row ht="14.95">
      <c t="s">
        <v>27</v>
      </c>
      <c>
        <v>36520</v>
      </c>
      <c>
        <v>67884</v>
      </c>
    </row>
    <row ht="14.95">
      <c t="s">
        <v>141</v>
      </c>
      <c>
        <v>36520</v>
      </c>
      <c>
        <v>70594</v>
      </c>
    </row>
    <row ht="14.95">
      <c t="s">
        <v>249</v>
      </c>
      <c>
        <v>36520</v>
      </c>
      <c>
        <v>73624</v>
      </c>
    </row>
    <row ht="14.95">
      <c t="s">
        <v>359</v>
      </c>
      <c>
        <v>36520</v>
      </c>
      <c>
        <v>77954</v>
      </c>
    </row>
    <row ht="14.95">
      <c t="s">
        <v>421</v>
      </c>
      <c>
        <v>414</v>
      </c>
      <c>
        <v>3578</v>
      </c>
    </row>
    <row ht="14.95">
      <c t="s">
        <v>535</v>
      </c>
      <c>
        <v>414</v>
      </c>
      <c>
        <v>12532</v>
      </c>
    </row>
    <row ht="14.95">
      <c t="s">
        <v>60</v>
      </c>
      <c>
        <v>414</v>
      </c>
      <c>
        <v>15979</v>
      </c>
    </row>
    <row ht="14.95">
      <c t="s">
        <v>277</v>
      </c>
      <c>
        <v>414</v>
      </c>
      <c>
        <v>18540</v>
      </c>
    </row>
    <row ht="14.95">
      <c t="s">
        <v>175</v>
      </c>
      <c>
        <v>3652</v>
      </c>
      <c>
        <v>21287</v>
      </c>
    </row>
    <row ht="14.95">
      <c t="s">
        <v>278</v>
      </c>
      <c>
        <v>3652</v>
      </c>
      <c>
        <v>24511</v>
      </c>
    </row>
    <row ht="14.95">
      <c t="s">
        <v>382</v>
      </c>
      <c>
        <v>3652</v>
      </c>
      <c>
        <v>28312</v>
      </c>
    </row>
    <row ht="14.95">
      <c t="s">
        <v>488</v>
      </c>
      <c>
        <v>3652</v>
      </c>
      <c>
        <v>40671</v>
      </c>
    </row>
    <row ht="14.95">
      <c t="s">
        <v>21</v>
      </c>
      <c>
        <v>3652</v>
      </c>
      <c>
        <v>42299</v>
      </c>
    </row>
    <row ht="14.95">
      <c t="s">
        <v>136</v>
      </c>
      <c>
        <v>3652</v>
      </c>
      <c>
        <v>43943</v>
      </c>
    </row>
    <row ht="14.95">
      <c t="s">
        <v>243</v>
      </c>
      <c>
        <v>36520</v>
      </c>
      <c>
        <v>45750</v>
      </c>
    </row>
    <row ht="14.95">
      <c t="s">
        <v>349</v>
      </c>
      <c>
        <v>36520</v>
      </c>
      <c>
        <v>47780</v>
      </c>
    </row>
    <row ht="14.95">
      <c t="s">
        <v>457</v>
      </c>
      <c>
        <v>36520</v>
      </c>
      <c>
        <v>52531</v>
      </c>
    </row>
    <row ht="14.95">
      <c t="s">
        <v>98</v>
      </c>
      <c>
        <v>36520</v>
      </c>
      <c>
        <v>59893</v>
      </c>
    </row>
    <row ht="14.95">
      <c t="s">
        <v>575</v>
      </c>
      <c>
        <v>36520</v>
      </c>
      <c>
        <v>65494</v>
      </c>
    </row>
    <row ht="14.95">
      <c t="s">
        <v>104</v>
      </c>
      <c>
        <v>36520</v>
      </c>
      <c>
        <v>68066</v>
      </c>
    </row>
    <row ht="14.95">
      <c t="s">
        <v>215</v>
      </c>
      <c>
        <v>36520</v>
      </c>
      <c>
        <v>70868</v>
      </c>
    </row>
    <row ht="14.95">
      <c t="s">
        <v>323</v>
      </c>
      <c>
        <v>36520</v>
      </c>
      <c>
        <v>73934</v>
      </c>
    </row>
    <row ht="14.95">
      <c t="s">
        <v>426</v>
      </c>
      <c>
        <v>36520</v>
      </c>
      <c>
        <v>77221</v>
      </c>
    </row>
    <row ht="14.95">
      <c t="s">
        <v>489</v>
      </c>
      <c>
        <v>414</v>
      </c>
      <c>
        <v>4941</v>
      </c>
    </row>
    <row ht="14.95">
      <c t="s">
        <v>22</v>
      </c>
      <c>
        <v>414</v>
      </c>
      <c>
        <v>11225</v>
      </c>
    </row>
    <row ht="14.95">
      <c t="s">
        <v>137</v>
      </c>
      <c>
        <v>414</v>
      </c>
      <c>
        <v>17451</v>
      </c>
    </row>
    <row ht="14.95">
      <c t="s">
        <v>350</v>
      </c>
      <c>
        <v>414</v>
      </c>
      <c>
        <v>23313</v>
      </c>
    </row>
    <row ht="14.95">
      <c t="s">
        <v>244</v>
      </c>
      <c>
        <v>3652</v>
      </c>
      <c>
        <v>23112</v>
      </c>
    </row>
    <row ht="14.95">
      <c t="s">
        <v>351</v>
      </c>
      <c>
        <v>3652</v>
      </c>
      <c>
        <v>25823</v>
      </c>
    </row>
    <row ht="14.95">
      <c t="s">
        <v>458</v>
      </c>
      <c>
        <v>3652</v>
      </c>
      <c>
        <v>28320</v>
      </c>
    </row>
    <row ht="14.95">
      <c t="s">
        <v>536</v>
      </c>
      <c>
        <v>3652</v>
      </c>
      <c>
        <v>40934</v>
      </c>
    </row>
    <row ht="14.95">
      <c t="s">
        <v>61</v>
      </c>
      <c>
        <v>3652</v>
      </c>
      <c>
        <v>42832</v>
      </c>
    </row>
    <row ht="14.95">
      <c t="s">
        <v>176</v>
      </c>
      <c>
        <v>3652</v>
      </c>
      <c>
        <v>44869</v>
      </c>
    </row>
    <row ht="14.95">
      <c t="s">
        <v>279</v>
      </c>
      <c>
        <v>36520</v>
      </c>
      <c>
        <v>46169</v>
      </c>
    </row>
    <row ht="14.95">
      <c t="s">
        <v>383</v>
      </c>
      <c>
        <v>36520</v>
      </c>
      <c>
        <v>49326</v>
      </c>
    </row>
    <row ht="14.95">
      <c t="s">
        <v>490</v>
      </c>
      <c>
        <v>36520</v>
      </c>
      <c>
        <v>53468</v>
      </c>
    </row>
    <row ht="14.95">
      <c t="s">
        <v>138</v>
      </c>
      <c>
        <v>36520</v>
      </c>
      <c>
        <v>60126</v>
      </c>
    </row>
    <row ht="14.95">
      <c t="s">
        <v>25</v>
      </c>
      <c>
        <v>36520</v>
      </c>
      <c>
        <v>66155</v>
      </c>
    </row>
    <row ht="14.95">
      <c t="s">
        <v>139</v>
      </c>
      <c>
        <v>36520</v>
      </c>
      <c>
        <v>67494</v>
      </c>
    </row>
    <row ht="14.95">
      <c t="s">
        <v>247</v>
      </c>
      <c>
        <v>36520</v>
      </c>
      <c>
        <v>70404</v>
      </c>
    </row>
    <row ht="14.95">
      <c t="s">
        <v>357</v>
      </c>
      <c>
        <v>36520</v>
      </c>
      <c>
        <v>73472</v>
      </c>
    </row>
    <row ht="14.95">
      <c t="s">
        <v>469</v>
      </c>
      <c>
        <v>36520</v>
      </c>
      <c>
        <v>77880</v>
      </c>
    </row>
    <row r="416"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  <row ht="14.95">
      <c s="63"/>
      <c s="26"/>
      <c s="26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43"/>
  <sheetViews>
    <sheetView topLeftCell="A20" workbookViewId="0">
      <selection activeCell="C44" sqref="C44"/>
    </sheetView>
  </sheetViews>
  <sheetFormatPr defaultColWidth="9.140625" defaultRowHeight="13.6"/>
  <cols>
    <col min="1" max="1" width="13.7109375" style="24" customWidth="1"/>
    <col min="2" max="2" width="40.85546875" style="24" customWidth="1"/>
    <col min="3" max="3" width="28.140625" style="24" customWidth="1"/>
    <col min="4" max="4" width="19.7109375" style="24" customWidth="1"/>
    <col min="5" max="5" width="19.28515625" style="24" customWidth="1"/>
    <col min="6" max="6" width="11.140625" style="24" customWidth="1"/>
    <col min="7" max="7" width="9.140625" style="24"/>
    <col min="8" max="8" width="17.28515625" style="24" customWidth="1"/>
    <col min="9" max="9" width="19.7109375" style="24" customWidth="1"/>
    <col min="10" max="12" width="12.28515625" style="24" customWidth="1"/>
    <col min="13" max="13" width="16" style="24" bestFit="1" customWidth="1"/>
    <col min="14" max="14" width="14.28515625" style="24" bestFit="1" customWidth="1"/>
    <col min="15" max="15" width="18.28515625" style="24" bestFit="1" customWidth="1"/>
    <col min="16" max="25" width="9.140625" style="24"/>
    <col min="26" max="26" width="9.140625" style="24" hidden="1" customWidth="1"/>
    <col min="27" max="16384" width="9.140625" style="24"/>
  </cols>
  <sheetData>
    <row>
      <c s="50"/>
      <c r="H1" s="53">
        <v>129806172700000000</v>
      </c>
      <c r="Z1" s="46" t="b">
        <f>0=1</f>
        <v>0</v>
      </c>
    </row>
    <row>
      <c r="Z2" s="46" t="b">
        <f>1=1</f>
        <v>1</v>
      </c>
    </row>
    <row>
      <c r="Z3" s="46"/>
    </row>
    <row>
      <c r="I4" s="24" t="s">
        <v>186</v>
      </c>
      <c s="45" t="s">
        <v>396</v>
      </c>
      <c s="10"/>
      <c s="10"/>
      <c s="10"/>
      <c s="10"/>
      <c s="10"/>
    </row>
    <row>
      <c r="J5" s="30" t="s">
        <v>147</v>
      </c>
      <c s="16" t="s">
        <v>290</v>
      </c>
      <c s="16" t="s">
        <v>360</v>
      </c>
      <c s="30" t="s">
        <v>544</v>
      </c>
      <c s="51" t="s">
        <v>428</v>
      </c>
      <c s="16" t="s">
        <v>0</v>
      </c>
    </row>
    <row>
      <c r="B6" s="25" t="s">
        <v>429</v>
      </c>
      <c s="19" t="s">
        <v>470</v>
      </c>
      <c s="60" t="s">
        <v>36</v>
      </c>
      <c s="6" t="s">
        <v>291</v>
      </c>
    </row>
    <row>
      <c r="C7" s="14"/>
      <c s="22" t="s">
        <v>37</v>
      </c>
      <c s="6" t="s">
        <v>326</v>
      </c>
    </row>
    <row>
      <c r="C8" s="22" t="s">
        <v>1</v>
      </c>
      <c s="14"/>
    </row>
    <row>
      <c r="C9" s="14"/>
      <c s="19" t="s">
        <v>148</v>
      </c>
      <c s="66"/>
    </row>
    <row>
      <c r="C10" s="19" t="s">
        <v>253</v>
      </c>
      <c s="55" t="s">
        <v>361</v>
      </c>
      <c s="6" t="s">
        <v>72</v>
      </c>
    </row>
    <row>
      <c r="B11" s="25" t="s">
        <v>292</v>
      </c>
      <c s="61" t="s">
        <v>254</v>
      </c>
      <c s="54">
        <v>60398</v>
      </c>
      <c s="6" t="s">
        <v>149</v>
      </c>
    </row>
    <row>
      <c r="B12" s="25"/>
      <c s="62"/>
      <c s="38"/>
      <c s="56" t="s">
        <v>397</v>
      </c>
    </row>
    <row>
      <c r="B13" s="25" t="s">
        <v>255</v>
      </c>
      <c s="48" t="s">
        <v>111</v>
      </c>
      <c s="65">
        <v>1212</v>
      </c>
      <c s="24" t="b">
        <v>0</v>
      </c>
      <c s="6" t="s">
        <v>362</v>
      </c>
    </row>
    <row ht="12.75" hidden="1">
      <c r="B14" s="25"/>
      <c s="48"/>
      <c s="42"/>
      <c s="24" t="b">
        <v>0</v>
      </c>
    </row>
    <row>
      <c r="B15" s="25" t="s">
        <v>471</v>
      </c>
      <c s="24" t="s">
        <v>508</v>
      </c>
      <c s="33">
        <v>1212</v>
      </c>
      <c s="24" t="b">
        <v>0</v>
      </c>
      <c s="6" t="s">
        <v>112</v>
      </c>
    </row>
    <row ht="12.75" hidden="1">
      <c r="B16" s="25"/>
      <c r="D16" s="20"/>
      <c s="24" t="b">
        <v>0</v>
      </c>
      <c s="6"/>
    </row>
    <row>
      <c r="B17" s="25"/>
      <c s="24" t="s">
        <v>150</v>
      </c>
      <c s="59">
        <v>3434</v>
      </c>
      <c s="24" t="b">
        <v>0</v>
      </c>
      <c s="6" t="s">
        <v>363</v>
      </c>
    </row>
    <row>
      <c r="B18" s="25"/>
      <c r="D18" s="20"/>
      <c s="24" t="b">
        <v>0</v>
      </c>
      <c s="6"/>
    </row>
    <row>
      <c r="B19" s="25"/>
      <c s="24" t="s">
        <v>2</v>
      </c>
      <c s="32">
        <v>3434</v>
      </c>
      <c s="24" t="b">
        <v>0</v>
      </c>
      <c s="6" t="s">
        <v>430</v>
      </c>
    </row>
    <row>
      <c r="B20" s="25"/>
      <c r="D20" s="20"/>
      <c s="24" t="b">
        <v>0</v>
      </c>
      <c s="6"/>
    </row>
    <row>
      <c r="B21" s="25"/>
      <c s="24" t="s">
        <v>431</v>
      </c>
      <c s="47">
        <v>5656</v>
      </c>
      <c s="24" t="b">
        <v>0</v>
      </c>
      <c s="6" t="s">
        <v>545</v>
      </c>
    </row>
    <row>
      <c r="B22" s="25"/>
      <c r="E22" s="6"/>
      <c r="I22" s="39"/>
    </row>
    <row>
      <c r="B23" s="27" t="s">
        <v>3</v>
      </c>
      <c s="27"/>
    </row>
    <row>
      <c r="B24" s="4" t="s">
        <v>293</v>
      </c>
      <c s="4" t="s">
        <v>151</v>
      </c>
      <c s="4" t="s">
        <v>38</v>
      </c>
      <c s="4" t="s">
        <v>432</v>
      </c>
      <c s="4"/>
      <c s="4"/>
      <c s="4" t="s">
        <v>546</v>
      </c>
    </row>
    <row>
      <c r="C25" s="36" t="s">
        <v>295</v>
      </c>
      <c s="23" t="s">
        <v>256</v>
      </c>
      <c s="28">
        <v>1234.5599999999999</v>
      </c>
      <c s="6"/>
    </row>
    <row>
      <c r="C26" s="36" t="s">
        <v>295</v>
      </c>
      <c s="28" t="s">
        <v>256</v>
      </c>
      <c s="28">
        <v>1234.5599999999999</v>
      </c>
      <c s="6"/>
    </row>
    <row>
      <c r="C27" s="36" t="s">
        <v>295</v>
      </c>
      <c s="23" t="s">
        <v>256</v>
      </c>
      <c s="28">
        <v>1234.5599999999999</v>
      </c>
    </row>
    <row>
      <c r="C28" s="57" t="s">
        <v>222</v>
      </c>
      <c s="23" t="s">
        <v>548</v>
      </c>
      <c s="44">
        <v>1234.5599999999999</v>
      </c>
    </row>
    <row>
      <c r="C29" s="57" t="s">
        <v>222</v>
      </c>
      <c s="23" t="s">
        <v>73</v>
      </c>
      <c s="44">
        <v>1234.5599999999999</v>
      </c>
    </row>
    <row>
      <c r="C30" s="57" t="s">
        <v>222</v>
      </c>
      <c s="23" t="s">
        <v>433</v>
      </c>
      <c s="44">
        <v>1234.5599999999999</v>
      </c>
    </row>
    <row>
      <c r="C31" s="57" t="s">
        <v>222</v>
      </c>
      <c s="23" t="s">
        <v>78</v>
      </c>
      <c s="44">
        <v>1234.5599999999999</v>
      </c>
    </row>
    <row>
      <c r="C32" s="57" t="s">
        <v>222</v>
      </c>
      <c s="23" t="s">
        <v>193</v>
      </c>
      <c s="44">
        <v>1234.5599999999999</v>
      </c>
    </row>
    <row>
      <c r="C33" s="57" t="s">
        <v>222</v>
      </c>
      <c s="23" t="s">
        <v>299</v>
      </c>
      <c s="44">
        <v>1234.5599999999999</v>
      </c>
    </row>
    <row>
      <c r="C34" s="57" t="s">
        <v>222</v>
      </c>
      <c s="23" t="s">
        <v>400</v>
      </c>
      <c s="44">
        <v>1234.5599999999999</v>
      </c>
    </row>
    <row>
      <c r="C35" s="57" t="s">
        <v>222</v>
      </c>
      <c s="23" t="s">
        <v>514</v>
      </c>
      <c s="44">
        <v>1234.5599999999999</v>
      </c>
    </row>
    <row>
      <c r="C36" s="57" t="s">
        <v>222</v>
      </c>
      <c s="23" t="s">
        <v>67</v>
      </c>
      <c s="44">
        <v>1234.5599999999999</v>
      </c>
    </row>
    <row>
      <c r="C37" s="57" t="s">
        <v>222</v>
      </c>
      <c s="23" t="s">
        <v>154</v>
      </c>
      <c s="44">
        <v>1234.5599999999999</v>
      </c>
    </row>
    <row>
      <c r="C38" s="57" t="s">
        <v>222</v>
      </c>
      <c s="23" t="s">
        <v>281</v>
      </c>
      <c s="44">
        <v>1234.5599999999999</v>
      </c>
    </row>
    <row>
      <c r="C39" s="57" t="s">
        <v>222</v>
      </c>
      <c s="23" t="s">
        <v>495</v>
      </c>
      <c s="44">
        <v>1234.5599999999999</v>
      </c>
    </row>
    <row>
      <c r="C40" s="57" t="s">
        <v>222</v>
      </c>
      <c s="23" t="s">
        <v>387</v>
      </c>
      <c s="44">
        <v>1234.5599999999999</v>
      </c>
    </row>
    <row>
      <c r="C41" s="57" t="s">
        <v>222</v>
      </c>
      <c s="23" t="s">
        <v>498</v>
      </c>
      <c s="44">
        <v>1234.5599999999999</v>
      </c>
    </row>
    <row>
      <c r="C42" s="57" t="s">
        <v>222</v>
      </c>
      <c s="23" t="s">
        <v>30</v>
      </c>
      <c s="44">
        <v>1234.5599999999999</v>
      </c>
    </row>
    <row>
      <c r="C43" s="57" t="s">
        <v>222</v>
      </c>
      <c s="41" t="s">
        <v>553</v>
      </c>
      <c s="4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
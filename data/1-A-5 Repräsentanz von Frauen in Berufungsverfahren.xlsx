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600" yWindow="3015" windowWidth="28275" windowHeight="13785"/>
  </bookViews>
  <sheets>
    <sheet name="Tab" sheetId="1" r:id="rId1"/>
    <sheet name="XLCubedFormats" sheetId="2" state="hidden" r:id="rId2"/>
  </sheets>
  <definedNames>
    <definedName name="_xlnm.Print_Area" localSheetId="0">Tab!$A$1:$M$70</definedName>
    <definedName name="XL3DisableCameraObjects" hidden="1">XLCubedFormats!A1</definedName>
    <definedName name="XL3ObjLocation0c4ad672_3350_43e4_ac61_a0b47e8473b3">Tab!$A$26</definedName>
    <definedName name="XL3ObjLocation3d0ca232_0a0e_449c_b0e7_aa1a388fd1f0">Tab!$A$45</definedName>
    <definedName name="XL3ObjLocationb0a0bce6_83e4_40a3_bc1d_9310431ea818">Tab!$A$12</definedName>
    <definedName name="XL3ObjLocationf6255498_4e38_44fe_8d27_e9ae625b0946">Tab!$A$61</definedName>
  </definedNames>
  <calcPr calcId="40001"/>
</workbook>
</file>

<file path=xl/sharedStrings.xml><?xml version="1.0" encoding="utf-8"?>
<sst xmlns="http://schemas.openxmlformats.org/spreadsheetml/2006/main" uniqueCount="97">
  <si>
    <t>Slicer Button Background</t>
  </si>
  <si>
    <t>Grid Title</t>
  </si>
  <si>
    <t>Oth Written Member</t>
  </si>
  <si>
    <t>Fill in Grid Name, Dimension or Both</t>
  </si>
  <si>
    <t>Universität</t>
  </si>
  <si>
    <t>All Marital Status</t>
  </si>
  <si>
    <t>Male</t>
  </si>
  <si>
    <t>Member1 Name</t>
  </si>
  <si>
    <t>Frauen in %</t>
  </si>
  <si>
    <t>KZIDF - F WB 1 A 5 2016</t>
  </si>
  <si>
    <t>&lt;-- default Column Member Format</t>
  </si>
  <si>
    <t>Universität Wien</t>
  </si>
  <si>
    <t>Berufungsvorschlag</t>
  </si>
  <si>
    <t>Alternate Rows</t>
  </si>
  <si>
    <t>&lt;--  writeable cell format</t>
  </si>
  <si>
    <t>2010/11</t>
  </si>
  <si>
    <t xml:space="preserve">      Universität Wien</t>
  </si>
  <si>
    <t>2011</t>
  </si>
  <si>
    <t>2022</t>
  </si>
  <si>
    <t>Slicer Title</t>
  </si>
  <si>
    <t>Calendar Period</t>
  </si>
  <si>
    <t>&lt;-- default cell format</t>
  </si>
  <si>
    <t>Written Member</t>
  </si>
  <si>
    <t>Dimension/Column</t>
  </si>
  <si>
    <t>Gutachter/innen</t>
  </si>
  <si>
    <t xml:space="preserve"> Frauen</t>
  </si>
  <si>
    <t xml:space="preserve"> Chancenindikator</t>
  </si>
  <si>
    <t>[WB Prozessschritt].[Prozessschritt]</t>
  </si>
  <si>
    <t>2022/23</t>
  </si>
  <si>
    <t>Slice Name (Optional)</t>
  </si>
  <si>
    <t>DQ-Status</t>
  </si>
  <si>
    <t>Repräsentanz von Frauen in Berufungsverfahren</t>
  </si>
  <si>
    <t>Hearing</t>
  </si>
  <si>
    <t>Berufungschance für Frauen</t>
  </si>
  <si>
    <t>Measures</t>
  </si>
  <si>
    <t>2011/12</t>
  </si>
  <si>
    <t xml:space="preserve"> Anzahl</t>
  </si>
  <si>
    <t>Customer</t>
  </si>
  <si>
    <t>-All Customer</t>
  </si>
  <si>
    <t>Default Alternate Row Member Format --&gt;</t>
  </si>
  <si>
    <t>[ALLG Semester].[Studienjahr #Kurzbezeichnung#]</t>
  </si>
  <si>
    <t>Männer in %</t>
  </si>
  <si>
    <t>Studienjahr (Kurzbezeichnung)</t>
  </si>
  <si>
    <t xml:space="preserve"> Gesamt</t>
  </si>
  <si>
    <t>Selektionschance für Frauen - Berufungsvorschlag</t>
  </si>
  <si>
    <t>2023</t>
  </si>
  <si>
    <t>2023/24</t>
  </si>
  <si>
    <t>Slicer Item</t>
  </si>
  <si>
    <t>&lt;-- default Slicer Member Format</t>
  </si>
  <si>
    <t>Default Row Member Format --&gt;</t>
  </si>
  <si>
    <t>Grid/Table Name</t>
  </si>
  <si>
    <t>[Measures]</t>
  </si>
  <si>
    <t>&lt;-- writeable Slicer Member Format</t>
  </si>
  <si>
    <t>Jahr</t>
  </si>
  <si>
    <t>Bewerber/innen</t>
  </si>
  <si>
    <t xml:space="preserve"> Männer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</si>
  <si>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</si>
  <si>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</si>
  <si>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</si>
  <si>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</si>
  <si>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</si>
  <si>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>Prozessschritt</t>
  </si>
  <si>
    <t>Verfahren gemäß § 98 UG, die zum Dienstantritt einer Professorin / eines Professors geführt haben</t>
  </si>
  <si>
    <t>Durchschnittlicher Frauenanteil in %</t>
  </si>
  <si>
    <t xml:space="preserve">      UA</t>
  </si>
  <si>
    <t>2024/25</t>
  </si>
  <si>
    <t>Display Formats For:</t>
  </si>
  <si>
    <t>Enabled?</t>
  </si>
  <si>
    <t>Quelle: Datenmeldungen der Universitäten auf Basis WBV</t>
  </si>
  <si>
    <t>Berufung</t>
  </si>
  <si>
    <t>2017</t>
  </si>
  <si>
    <t>Datenprüfung: bmfwf, Abt. I/6</t>
  </si>
  <si>
    <t>Datenprüfung und -aufbereitung: bmfwf, Abt. I/10</t>
  </si>
  <si>
    <t>2024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</si>
  <si>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</si>
  <si>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</si>
  <si>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</si>
  <si>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</si>
  <si>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</si>
  <si>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</si>
  <si>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>Selektionschance für Frauen - Hearing</t>
  </si>
  <si>
    <t>Marital Status</t>
  </si>
  <si>
    <t>Default Writeable Member Format --&gt;</t>
  </si>
  <si>
    <t>[ALLG Zeit].[Jahr]</t>
  </si>
  <si>
    <t>Universität (Codex)</t>
  </si>
  <si>
    <t>Berufungskommission</t>
  </si>
  <si>
    <t>Writeable Member</t>
  </si>
  <si>
    <t>Wissensbilanz</t>
  </si>
  <si>
    <t>Kennzahl 1.A.5 - Gesamtübersicht</t>
  </si>
  <si>
    <t>LIEFIDF - F WB 1 A 5 2016</t>
  </si>
  <si>
    <t>Slicer Button Selected</t>
  </si>
  <si>
    <t>&lt;--  summary written cell</t>
  </si>
  <si>
    <t>Formatierungsrichtlinien</t>
  </si>
  <si>
    <t>2010</t>
  </si>
  <si>
    <t>Interpretation</t>
  </si>
  <si>
    <t>Nähere Informationen zu den Kennzahlen bzw. deren Definition finden sich in der aktuellen Ausgabe des Arbeitsbehelfs zur Wissensbilanz-Verordnung.</t>
  </si>
  <si>
    <t>(Members of DQ-Status) - (Unknown)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</si>
</sst>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0"/>
      <color rgb="FF595959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98474074526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83">
    <xf numFmtId="0" fontId="0" fillId="0" borderId="0" xfId="0"/>
    <xf numFmtId="0" fontId="3" fillId="0" borderId="1" xfId="0" applyFont="1" applyFill="1" applyBorder="1" applyAlignment="1" applyProtection="1">
      <alignment horizontal="right"/>
    </xf>
    <xf numFmtId="0" fontId="3" fillId="0" borderId="1" xfId="0" quotePrefix="1" applyFont="1" applyFill="1" applyBorder="1" applyAlignment="1" applyProtection="1">
      <alignment horizontal="right"/>
    </xf>
    <xf numFmtId="0" fontId="3" fillId="0" borderId="1" xfId="0" quotePrefix="1" applyFont="1" applyFill="1" applyBorder="1" applyAlignment="1" applyProtection="1">
      <alignment horizontal="center"/>
    </xf>
    <xf numFmtId="0" fontId="4" fillId="2" borderId="2" xfId="0" quotePrefix="1" applyFont="1" applyFill="1" applyBorder="1" applyAlignment="1" applyProtection="1"/>
    <xf numFmtId="0" fontId="5" fillId="0" borderId="0" xfId="0" applyFont="1" applyFill="1" applyBorder="1"/>
    <xf numFmtId="3" fontId="3" fillId="0" borderId="1" xfId="0" applyNumberFormat="1" applyFont="1" applyFill="1" applyBorder="1" applyAlignment="1" applyProtection="1">
      <alignment horizontal="right"/>
    </xf>
    <xf numFmtId="0" fontId="0" fillId="0" borderId="0" xfId="0" applyFill="1" applyBorder="1" applyAlignment="1"/>
    <xf numFmtId="3" fontId="6" fillId="0" borderId="0" xfId="0" applyNumberFormat="1" applyFont="1" applyFill="1" applyBorder="1"/>
    <xf numFmtId="0" fontId="7" fillId="0" borderId="0" xfId="0" applyFont="1" applyFill="1" applyBorder="1" applyAlignment="1">
      <alignment horizontal="left" vertical="center"/>
    </xf>
    <xf numFmtId="0" fontId="8" fillId="0" borderId="0" xfId="0" applyFont="1"/>
    <xf numFmtId="0" fontId="7" fillId="0" borderId="0" xfId="0" applyFont="1" applyFill="1" applyBorder="1" applyAlignment="1">
      <alignment vertical="center"/>
    </xf>
    <xf numFmtId="0" fontId="9" fillId="0" borderId="0" xfId="0" applyFont="1"/>
    <xf numFmtId="0" fontId="10" fillId="3" borderId="0" xfId="2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3" xfId="0" applyFont="1" applyBorder="1" applyAlignment="1" applyProtection="1">
      <alignment horizontal="right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3" fillId="0" borderId="1" xfId="0" quotePrefix="1" applyFont="1" applyBorder="1" applyAlignment="1" applyProtection="1"/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right"/>
    </xf>
    <xf numFmtId="3" fontId="3" fillId="0" borderId="1" xfId="0" quotePrefix="1" applyNumberFormat="1" applyFont="1" applyFill="1" applyBorder="1" applyAlignment="1" applyProtection="1">
      <alignment horizontal="right" vertical="center"/>
    </xf>
    <xf numFmtId="2" fontId="3" fillId="0" borderId="1" xfId="0" quotePrefix="1" applyNumberFormat="1" applyFont="1" applyFill="1" applyBorder="1" applyAlignment="1" applyProtection="1">
      <alignment horizontal="center"/>
    </xf>
    <xf numFmtId="0" fontId="13" fillId="0" borderId="0" xfId="0" applyNumberFormat="1" applyFont="1" applyAlignment="1"/>
    <xf numFmtId="0" fontId="3" fillId="0" borderId="1" xfId="0" applyFont="1" applyFill="1" applyBorder="1" applyAlignment="1" applyProtection="1">
      <alignment horizontal="center"/>
    </xf>
    <xf numFmtId="0" fontId="14" fillId="0" borderId="0" xfId="0" applyFont="1" applyFill="1" applyBorder="1" applyAlignment="1"/>
    <xf numFmtId="2" fontId="3" fillId="0" borderId="1" xfId="0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15" fillId="4" borderId="0" xfId="0" applyFont="1" applyFill="1" applyAlignment="1"/>
    <xf numFmtId="10" fontId="3" fillId="0" borderId="1" xfId="0" applyNumberFormat="1" applyFont="1" applyFill="1" applyBorder="1" applyAlignment="1" applyProtection="1">
      <alignment horizontal="right"/>
    </xf>
    <xf numFmtId="0" fontId="16" fillId="0" borderId="0" xfId="2" applyFont="1"/>
    <xf numFmtId="0" fontId="17" fillId="0" borderId="0" xfId="0" applyFont="1"/>
    <xf numFmtId="10" fontId="3" fillId="0" borderId="1" xfId="0" applyNumberFormat="1" applyFont="1" applyFill="1" applyBorder="1" applyAlignment="1" applyProtection="1">
      <alignment horizontal="right" wrapText="1"/>
    </xf>
    <xf numFmtId="0" fontId="0" fillId="0" borderId="0" xfId="0" applyFill="1" applyBorder="1" applyAlignment="1">
      <alignment vertical="center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8" fillId="0" borderId="0" xfId="0" applyFont="1"/>
    <xf numFmtId="0" fontId="13" fillId="0" borderId="0" xfId="0" applyFont="1"/>
    <xf numFmtId="0" fontId="16" fillId="4" borderId="0" xfId="2" applyFont="1" applyFill="1"/>
    <xf numFmtId="0" fontId="3" fillId="0" borderId="3" xfId="0" applyFont="1" applyBorder="1" applyAlignment="1" applyProtection="1">
      <alignment vertical="center" wrapText="1"/>
    </xf>
    <xf numFmtId="165" fontId="3" fillId="5" borderId="5" xfId="0" applyNumberFormat="1" applyFont="1" applyFill="1" applyBorder="1" applyAlignment="1" applyProtection="1">
      <alignment horizontal="right"/>
    </xf>
    <xf numFmtId="164" fontId="13" fillId="0" borderId="0" xfId="0" applyNumberFormat="1" applyFont="1"/>
    <xf numFmtId="3" fontId="13" fillId="6" borderId="0" xfId="0" applyNumberFormat="1" applyFont="1" applyFill="1" applyAlignment="1"/>
    <xf numFmtId="0" fontId="0" fillId="0" borderId="0" xfId="0" applyFont="1"/>
    <xf numFmtId="0" fontId="10" fillId="3" borderId="6" xfId="2" applyFont="1" applyFill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0" fontId="13" fillId="0" borderId="0" xfId="0" quotePrefix="1" applyFont="1" applyFill="1"/>
    <xf numFmtId="0" fontId="0" fillId="0" borderId="0" xfId="0" applyFont="1" applyFill="1" applyBorder="1" applyAlignment="1"/>
    <xf numFmtId="3" fontId="8" fillId="0" borderId="0" xfId="0" applyNumberFormat="1" applyFont="1" applyFill="1" applyAlignment="1"/>
    <xf numFmtId="165" fontId="3" fillId="5" borderId="4" xfId="0" applyNumberFormat="1" applyFont="1" applyFill="1" applyBorder="1" applyAlignment="1" applyProtection="1">
      <alignment horizontal="right"/>
    </xf>
    <xf numFmtId="0" fontId="3" fillId="0" borderId="1" xfId="0" applyFont="1" applyBorder="1" applyAlignment="1" applyProtection="1">
      <alignment horizontal="right"/>
    </xf>
    <xf numFmtId="0" fontId="3" fillId="0" borderId="7" xfId="0" applyFont="1" applyBorder="1" applyAlignment="1" applyProtection="1">
      <alignment horizontal="right"/>
    </xf>
    <xf numFmtId="3" fontId="13" fillId="7" borderId="0" xfId="0" applyNumberFormat="1" applyFont="1" applyFill="1" applyAlignment="1"/>
    <xf numFmtId="0" fontId="13" fillId="6" borderId="0" xfId="0" applyNumberFormat="1" applyFont="1" applyFill="1" applyAlignment="1"/>
    <xf numFmtId="0" fontId="19" fillId="0" borderId="0" xfId="0" applyFont="1"/>
    <xf numFmtId="0" fontId="18" fillId="0" borderId="8" xfId="0" quotePrefix="1" applyFont="1" applyFill="1" applyBorder="1" applyAlignment="1"/>
    <xf numFmtId="0" fontId="13" fillId="0" borderId="0" xfId="0" applyNumberFormat="1" applyFont="1" applyFill="1" applyBorder="1" applyAlignment="1"/>
    <xf numFmtId="0" fontId="13" fillId="6" borderId="0" xfId="0" applyFont="1" applyFill="1"/>
    <xf numFmtId="0" fontId="3" fillId="0" borderId="5" xfId="0" applyFont="1" applyBorder="1" applyAlignment="1" applyProtection="1">
      <alignment vertical="center"/>
    </xf>
    <xf numFmtId="165" fontId="3" fillId="5" borderId="1" xfId="0" applyNumberFormat="1" applyFont="1" applyFill="1" applyBorder="1" applyAlignment="1" applyProtection="1">
      <alignment horizontal="right"/>
    </xf>
    <xf numFmtId="0" fontId="13" fillId="0" borderId="0" xfId="0" quotePrefix="1" applyFont="1"/>
    <xf numFmtId="0" fontId="20" fillId="0" borderId="0" xfId="0" applyFont="1"/>
    <xf numFmtId="0" fontId="3" fillId="0" borderId="7" xfId="0" applyFont="1" applyBorder="1" applyAlignment="1" applyProtection="1">
      <alignment horizontal="center"/>
    </xf>
    <xf numFmtId="0" fontId="3" fillId="0" borderId="1" xfId="0" applyFont="1" applyFill="1" applyBorder="1" applyAlignment="1" applyProtection="1">
      <alignment vertical="center" wrapText="1"/>
    </xf>
    <xf numFmtId="0" fontId="13" fillId="0" borderId="0" xfId="0" applyNumberFormat="1" applyFont="1"/>
    <xf numFmtId="2" fontId="3" fillId="0" borderId="5" xfId="0" applyNumberFormat="1" applyFont="1" applyBorder="1" applyAlignment="1" applyProtection="1">
      <alignment horizontal="right"/>
    </xf>
    <xf numFmtId="10" fontId="3" fillId="0" borderId="5" xfId="0" applyNumberFormat="1" applyFont="1" applyBorder="1" applyAlignment="1" applyProtection="1">
      <alignment horizontal="right"/>
    </xf>
    <xf numFmtId="10" fontId="3" fillId="0" borderId="3" xfId="0" applyNumberFormat="1" applyFont="1" applyBorder="1" applyAlignment="1" applyProtection="1">
      <alignment horizontal="right" wrapText="1"/>
    </xf>
    <xf numFmtId="2" fontId="13" fillId="0" borderId="0" xfId="0" applyNumberFormat="1" applyFont="1"/>
    <xf numFmtId="0" fontId="14" fillId="0" borderId="0" xfId="0" applyFont="1"/>
    <xf numFmtId="3" fontId="13" fillId="8" borderId="0" xfId="0" applyNumberFormat="1" applyFont="1" applyFill="1" applyAlignment="1"/>
    <xf numFmtId="0" fontId="9" fillId="0" borderId="0" xfId="0" applyFont="1" applyAlignment="1">
      <alignment horizontal="center"/>
    </xf>
    <xf numFmtId="0" fontId="18" fillId="0" borderId="8" xfId="0" quotePrefix="1" applyFont="1" applyFill="1" applyBorder="1" applyAlignment="1">
      <alignment horizontal="right"/>
    </xf>
    <xf numFmtId="165" fontId="3" fillId="5" borderId="3" xfId="0" applyNumberFormat="1" applyFont="1" applyFill="1" applyBorder="1" applyAlignment="1" applyProtection="1">
      <alignment horizontal="right"/>
    </xf>
    <xf numFmtId="0" fontId="18" fillId="0" borderId="8" xfId="0" applyFont="1" applyFill="1" applyBorder="1" applyAlignment="1">
      <alignment vertical="center"/>
    </xf>
    <xf numFmtId="3" fontId="13" fillId="0" borderId="0" xfId="0" applyNumberFormat="1" applyFont="1" applyAlignment="1"/>
    <xf numFmtId="0" fontId="13" fillId="0" borderId="0" xfId="0" applyFont="1" applyFill="1" applyBorder="1" applyAlignment="1">
      <alignment vertical="center"/>
    </xf>
    <xf numFmtId="3" fontId="18" fillId="0" borderId="8" xfId="0" applyNumberFormat="1" applyFont="1" applyFill="1" applyBorder="1" applyAlignment="1"/>
    <xf numFmtId="2" fontId="3" fillId="0" borderId="3" xfId="0" applyNumberFormat="1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16" fillId="6" borderId="0" xfId="2" applyFont="1" applyFill="1"/>
    <xf numFmtId="0" fontId="1" fillId="0" borderId="0" xfId="1"/>
  </cellXfs>
  <cellStyles count="3">
    <cellStyle name="Hyperlink" xfId="1" builtinId="8"/>
    <cellStyle name="Normal" xfId="0" builtinId="0"/>
    <cellStyle name="Normal_Sheet1" xfId="2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11</xdr:row>
      <xdr:rowOff>0</xdr:rowOff>
    </xdr:from>
    <xdr:to>
      <xdr:col>3</xdr:col>
      <xdr:colOff>1145635</xdr:colOff>
      <xdr:row>12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194560"/>
          <a:ext cx="343690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642"/>
  <sheetViews>
    <sheetView tabSelected="1" workbookViewId="0"/>
  </sheetViews>
  <sheetFormatPr defaultColWidth="11.42578125" defaultRowHeight="14.95" outlineLevelRow="1"/>
  <cols>
    <col min="1" max="1" width="52.85546875" style="44" bestFit="1" customWidth="1"/>
    <col min="2" max="13" width="15.7109375" customWidth="1"/>
    <col min="14" max="16" width="12.7109375" customWidth="1"/>
    <col min="17" max="17" width="24.7109375" customWidth="1"/>
    <col min="18" max="19" width="14.7109375" customWidth="1"/>
    <col min="20" max="24" width="12.7109375" customWidth="1"/>
    <col min="25" max="25" width="24.7109375" customWidth="1"/>
    <col min="26" max="27" width="14.7109375" customWidth="1"/>
    <col min="28" max="28" width="7.140625" bestFit="1" customWidth="1"/>
    <col min="29" max="29" width="17.140625" bestFit="1" customWidth="1"/>
    <col min="30" max="30" width="7.2851562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7" t="s">
        <v>87</v>
      </c>
      <c s="17"/>
      <c s="17"/>
      <c s="17"/>
      <c s="17"/>
      <c s="7"/>
      <c s="7"/>
      <c s="7"/>
    </row>
    <row>
      <c s="14" t="s">
        <v>88</v>
      </c>
      <c s="14"/>
      <c s="14"/>
      <c s="14"/>
      <c s="14"/>
      <c s="7"/>
      <c s="7"/>
      <c s="7"/>
    </row>
    <row ht="23.25" customHeight="1" s="70" customFormat="1">
      <c s="18" t="s">
        <v>31</v>
      </c>
      <c s="18"/>
      <c s="18"/>
      <c s="18"/>
      <c s="18"/>
      <c s="26"/>
      <c s="26"/>
      <c s="26"/>
    </row>
    <row>
      <c s="11" t="s">
        <v>68</v>
      </c>
      <c s="11"/>
      <c s="11"/>
      <c s="11"/>
      <c s="11"/>
      <c s="11"/>
      <c s="7"/>
      <c s="7"/>
    </row>
    <row>
      <c s="11" t="s">
        <v>71</v>
      </c>
      <c s="11"/>
      <c s="11"/>
      <c s="11"/>
      <c s="11"/>
      <c s="9"/>
      <c s="7"/>
      <c s="7"/>
    </row>
    <row>
      <c s="11" t="s">
        <v>72</v>
      </c>
      <c s="11"/>
      <c s="11"/>
      <c s="11"/>
      <c s="11"/>
      <c s="34"/>
      <c s="7"/>
      <c s="7"/>
      <c r="K6" s="82"/>
    </row>
    <row>
      <c s="9" t="s">
        <v>60</v>
      </c>
      <c s="9"/>
      <c s="9"/>
      <c s="9"/>
      <c s="9"/>
      <c s="9"/>
      <c s="7"/>
      <c s="7"/>
    </row>
    <row>
      <c s="9" t="s">
        <v>95</v>
      </c>
      <c s="9"/>
      <c s="9"/>
      <c s="9"/>
      <c s="9"/>
      <c s="9"/>
      <c s="7"/>
      <c s="7"/>
    </row>
    <row>
      <c s="9"/>
      <c s="9"/>
      <c s="9"/>
      <c s="9"/>
      <c s="9"/>
      <c s="34"/>
      <c s="7"/>
      <c s="7"/>
    </row>
    <row>
      <c s="9"/>
      <c s="9"/>
      <c s="9"/>
      <c s="9"/>
      <c s="9"/>
      <c s="34"/>
      <c s="7"/>
      <c s="7"/>
    </row>
    <row ht="15" customHeight="1">
      <c s="48"/>
      <c s="7"/>
      <c s="7"/>
      <c s="7"/>
      <c s="7"/>
      <c s="7"/>
      <c s="7"/>
      <c s="7"/>
    </row>
    <row>
      <c s="4" t="s">
        <v>4</v>
      </c>
      <c s="19" t="s">
        <v>11</v>
      </c>
    </row>
    <row ht="15" hidden="1" outlineLevel="1">
      <c s="4" t="s">
        <v>30</v>
      </c>
      <c s="19" t="s">
        <v>96</v>
      </c>
    </row>
    <row collapsed="1">
      <c/>
    </row>
    <row>
      <c/>
    </row>
    <row ht="15" hidden="1" outlineLevel="1">
      <c/>
      <c s="4" t="s">
        <v>53</v>
      </c>
      <c s="4" t="s">
        <v>42</v>
      </c>
      <c s="4" t="s">
        <v>34</v>
      </c>
    </row>
    <row collapsed="1">
      <c/>
      <c s="3" t="s">
        <v>73</v>
      </c>
      <c s="2"/>
      <c s="3" t="s">
        <v>45</v>
      </c>
      <c s="2"/>
      <c s="3" t="s">
        <v>18</v>
      </c>
      <c s="2"/>
    </row>
    <row ht="15" hidden="1" customHeight="1" outlineLevel="1">
      <c/>
      <c s="2" t="s">
        <v>65</v>
      </c>
      <c s="2"/>
      <c s="2" t="s">
        <v>46</v>
      </c>
      <c s="2"/>
      <c s="2" t="s">
        <v>28</v>
      </c>
      <c s="2"/>
    </row>
    <row ht="15" customHeight="1" collapsed="1">
      <c s="4" t="s">
        <v>61</v>
      </c>
      <c s="1" t="s">
        <v>36</v>
      </c>
      <c s="1" t="s">
        <v>94</v>
      </c>
      <c s="1" t="s">
        <v>36</v>
      </c>
      <c s="1" t="s">
        <v>94</v>
      </c>
      <c s="1" t="s">
        <v>36</v>
      </c>
      <c s="1" t="s">
        <v>94</v>
      </c>
    </row>
    <row ht="25.4">
      <c s="64" t="s">
        <v>62</v>
      </c>
      <c s="28">
        <v>15</v>
      </c>
      <c s="22" t="s">
        <v>94</v>
      </c>
      <c s="28">
        <v>14</v>
      </c>
      <c s="22" t="s">
        <v>94</v>
      </c>
      <c s="28">
        <v>11</v>
      </c>
      <c s="22" t="s">
        <v>94</v>
      </c>
    </row>
    <row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 s="4" t="s">
        <v>4</v>
      </c>
      <c s="19" t="s">
        <v>11</v>
      </c>
    </row>
    <row ht="15" hidden="1" outlineLevel="1">
      <c s="4" t="s">
        <v>30</v>
      </c>
      <c s="19" t="s">
        <v>96</v>
      </c>
    </row>
    <row ht="15" hidden="1" outlineLevel="1">
      <c/>
    </row>
    <row ht="15" hidden="1" outlineLevel="1">
      <c/>
    </row>
    <row ht="15" hidden="1" outlineLevel="1">
      <c/>
      <c s="4" t="s">
        <v>53</v>
      </c>
      <c s="4" t="s">
        <v>42</v>
      </c>
      <c s="4" t="s">
        <v>34</v>
      </c>
    </row>
    <row ht="15" customHeight="1" collapsed="1">
      <c/>
      <c s="3" t="s">
        <v>73</v>
      </c>
      <c s="3"/>
      <c s="3"/>
      <c s="3"/>
      <c s="3" t="s">
        <v>45</v>
      </c>
      <c s="3"/>
      <c s="3"/>
      <c s="3"/>
      <c s="3" t="s">
        <v>18</v>
      </c>
      <c s="3"/>
      <c s="3"/>
      <c s="3"/>
    </row>
    <row ht="15" hidden="1" customHeight="1" outlineLevel="1">
      <c/>
      <c s="2" t="s">
        <v>65</v>
      </c>
      <c s="2"/>
      <c s="2"/>
      <c s="2"/>
      <c s="2" t="s">
        <v>46</v>
      </c>
      <c s="2"/>
      <c s="2"/>
      <c s="2"/>
      <c s="2" t="s">
        <v>28</v>
      </c>
      <c s="2"/>
      <c s="2"/>
      <c s="2"/>
    </row>
    <row ht="30" customHeight="1" collapsed="1">
      <c s="4" t="s">
        <v>61</v>
      </c>
      <c s="33" t="s">
        <v>63</v>
      </c>
      <c s="1" t="s">
        <v>25</v>
      </c>
      <c s="1" t="s">
        <v>55</v>
      </c>
      <c s="1" t="s">
        <v>43</v>
      </c>
      <c s="33" t="s">
        <v>63</v>
      </c>
      <c s="1" t="s">
        <v>25</v>
      </c>
      <c s="1" t="s">
        <v>55</v>
      </c>
      <c s="1" t="s">
        <v>43</v>
      </c>
      <c s="33" t="s">
        <v>63</v>
      </c>
      <c s="1" t="s">
        <v>25</v>
      </c>
      <c s="1" t="s">
        <v>55</v>
      </c>
      <c s="1" t="s">
        <v>43</v>
      </c>
    </row>
    <row>
      <c s="15" t="s">
        <v>85</v>
      </c>
      <c s="30">
        <v>0.57040000000000002</v>
      </c>
      <c s="6">
        <v>77</v>
      </c>
      <c s="6">
        <v>58</v>
      </c>
      <c s="6">
        <v>135</v>
      </c>
      <c s="30">
        <v>0.5373</v>
      </c>
      <c s="6">
        <v>66</v>
      </c>
      <c s="6">
        <v>56</v>
      </c>
      <c s="6">
        <v>122</v>
      </c>
      <c s="30">
        <v>0.53909999999999991</v>
      </c>
      <c s="6">
        <v>53</v>
      </c>
      <c s="6">
        <v>45</v>
      </c>
      <c s="6">
        <v>98</v>
      </c>
    </row>
    <row>
      <c s="15" t="s">
        <v>24</v>
      </c>
      <c s="30">
        <v>0.50219999999999998</v>
      </c>
      <c s="6">
        <v>24</v>
      </c>
      <c s="6">
        <v>25</v>
      </c>
      <c s="6">
        <v>49</v>
      </c>
      <c s="30">
        <v>0.50600000000000001</v>
      </c>
      <c s="6">
        <v>25</v>
      </c>
      <c s="6">
        <v>25</v>
      </c>
      <c s="6">
        <v>50</v>
      </c>
      <c s="30">
        <v>0.49700000000000005</v>
      </c>
      <c s="6">
        <v>23</v>
      </c>
      <c s="6">
        <v>25</v>
      </c>
      <c s="6">
        <v>48</v>
      </c>
    </row>
    <row>
      <c s="15" t="s">
        <v>54</v>
      </c>
      <c s="30">
        <v>0.32939999999999997</v>
      </c>
      <c s="6">
        <v>132</v>
      </c>
      <c s="6">
        <v>285</v>
      </c>
      <c s="6">
        <v>417</v>
      </c>
      <c s="30">
        <v>0.29420000000000002</v>
      </c>
      <c s="6">
        <v>133</v>
      </c>
      <c s="6">
        <v>298</v>
      </c>
      <c s="6">
        <v>431</v>
      </c>
      <c s="30">
        <v>0.31259999999999999</v>
      </c>
      <c s="6">
        <v>94</v>
      </c>
      <c s="6">
        <v>207</v>
      </c>
      <c s="6">
        <v>301</v>
      </c>
    </row>
    <row>
      <c s="15" t="s">
        <v>32</v>
      </c>
      <c s="30">
        <v>0.40159999999999996</v>
      </c>
      <c s="6">
        <v>31</v>
      </c>
      <c s="6">
        <v>43</v>
      </c>
      <c s="6">
        <v>74</v>
      </c>
      <c s="30">
        <v>0.43840000000000001</v>
      </c>
      <c s="6">
        <v>33</v>
      </c>
      <c s="6">
        <v>43</v>
      </c>
      <c s="6">
        <v>76</v>
      </c>
      <c s="30">
        <v>0.46299999999999997</v>
      </c>
      <c s="6">
        <v>29</v>
      </c>
      <c s="6">
        <v>34</v>
      </c>
      <c s="6">
        <v>63</v>
      </c>
    </row>
    <row>
      <c s="15" t="s">
        <v>12</v>
      </c>
      <c s="30">
        <v>0.41110000000000002</v>
      </c>
      <c s="6">
        <v>20</v>
      </c>
      <c s="6">
        <v>27</v>
      </c>
      <c s="6">
        <v>47</v>
      </c>
      <c s="30">
        <v>0.35119999999999996</v>
      </c>
      <c s="6">
        <v>15</v>
      </c>
      <c s="6">
        <v>32</v>
      </c>
      <c s="6">
        <v>47</v>
      </c>
      <c s="30">
        <v>0.3236</v>
      </c>
      <c s="6">
        <v>13</v>
      </c>
      <c s="6">
        <v>27</v>
      </c>
      <c s="6">
        <v>40</v>
      </c>
    </row>
    <row>
      <c s="15" t="s">
        <v>69</v>
      </c>
      <c s="30">
        <v>0.40000000000000002</v>
      </c>
      <c s="6">
        <v>6</v>
      </c>
      <c s="6">
        <v>9</v>
      </c>
      <c s="6">
        <v>15</v>
      </c>
      <c s="30">
        <v>0.42859999999999998</v>
      </c>
      <c s="6">
        <v>6</v>
      </c>
      <c s="6">
        <v>8</v>
      </c>
      <c s="6">
        <v>14</v>
      </c>
      <c s="30">
        <v>0.36359999999999998</v>
      </c>
      <c s="6">
        <v>4</v>
      </c>
      <c s="6">
        <v>7</v>
      </c>
      <c s="6">
        <v>11</v>
      </c>
    </row>
    <row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 s="4" t="s">
        <v>4</v>
      </c>
      <c s="19" t="s">
        <v>11</v>
      </c>
    </row>
    <row ht="15" hidden="1" outlineLevel="1">
      <c s="4" t="s">
        <v>30</v>
      </c>
      <c s="19" t="s">
        <v>96</v>
      </c>
    </row>
    <row ht="15" hidden="1" outlineLevel="1">
      <c/>
    </row>
    <row ht="15" hidden="1" outlineLevel="1">
      <c/>
    </row>
    <row ht="15" hidden="1" outlineLevel="1">
      <c/>
      <c s="4" t="s">
        <v>34</v>
      </c>
      <c s="4" t="s">
        <v>42</v>
      </c>
      <c s="4" t="s">
        <v>53</v>
      </c>
    </row>
    <row collapsed="1">
      <c/>
      <c s="23" t="s">
        <v>26</v>
      </c>
      <c s="23"/>
      <c s="23"/>
    </row>
    <row ht="15" hidden="1" outlineLevel="1">
      <c/>
      <c s="1" t="s">
        <v>65</v>
      </c>
      <c s="1" t="s">
        <v>46</v>
      </c>
      <c s="1" t="s">
        <v>28</v>
      </c>
    </row>
    <row collapsed="1">
      <c s="4" t="s">
        <v>61</v>
      </c>
      <c s="25" t="s">
        <v>73</v>
      </c>
      <c s="25" t="s">
        <v>45</v>
      </c>
      <c s="25" t="s">
        <v>18</v>
      </c>
    </row>
    <row>
      <c s="15" t="s">
        <v>80</v>
      </c>
      <c s="27">
        <v>1.22</v>
      </c>
      <c s="27">
        <v>1.49</v>
      </c>
      <c s="27">
        <v>1.48</v>
      </c>
    </row>
    <row>
      <c s="15" t="s">
        <v>44</v>
      </c>
      <c s="27">
        <v>1.25</v>
      </c>
      <c s="27">
        <v>1.1899999999999999</v>
      </c>
      <c s="27">
        <v>1.04</v>
      </c>
    </row>
    <row>
      <c s="15" t="s">
        <v>33</v>
      </c>
      <c s="27">
        <v>1.21</v>
      </c>
      <c s="27">
        <v>1.46</v>
      </c>
      <c s="27">
        <v>1.1599999999999999</v>
      </c>
    </row>
    <row ht="15" hidden="1" outlineLevel="1"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/>
    </row>
    <row ht="15" hidden="1" outlineLevel="1">
      <c s="4" t="s">
        <v>30</v>
      </c>
      <c s="19" t="s">
        <v>96</v>
      </c>
    </row>
    <row ht="15" hidden="1" outlineLevel="1">
      <c/>
    </row>
    <row ht="15" hidden="1" outlineLevel="1">
      <c/>
    </row>
    <row ht="15" hidden="1" outlineLevel="1">
      <c/>
      <c r="D64" s="4" t="s">
        <v>53</v>
      </c>
      <c s="4" t="s">
        <v>42</v>
      </c>
      <c s="4" t="s">
        <v>34</v>
      </c>
    </row>
    <row ht="15" hidden="1" customHeight="1" outlineLevel="1">
      <c/>
      <c r="D65" s="3" t="s">
        <v>73</v>
      </c>
      <c s="3"/>
      <c s="3"/>
      <c s="3" t="s">
        <v>45</v>
      </c>
      <c s="3"/>
      <c s="3"/>
      <c s="3" t="s">
        <v>18</v>
      </c>
      <c s="3"/>
      <c s="3"/>
    </row>
    <row ht="15" hidden="1" customHeight="1" outlineLevel="1">
      <c/>
      <c r="D66" s="2" t="s">
        <v>65</v>
      </c>
      <c s="2"/>
      <c s="2"/>
      <c s="2" t="s">
        <v>46</v>
      </c>
      <c s="2"/>
      <c s="2"/>
      <c s="2" t="s">
        <v>28</v>
      </c>
      <c s="2"/>
      <c s="2"/>
    </row>
    <row ht="15" hidden="1" customHeight="1" outlineLevel="1">
      <c s="4" t="s">
        <v>4</v>
      </c>
      <c s="4" t="s">
        <v>84</v>
      </c>
      <c s="4" t="s">
        <v>79</v>
      </c>
      <c s="1" t="s">
        <v>36</v>
      </c>
      <c s="1" t="s">
        <v>9</v>
      </c>
      <c s="1" t="s">
        <v>89</v>
      </c>
      <c s="1" t="s">
        <v>36</v>
      </c>
      <c s="1" t="s">
        <v>9</v>
      </c>
      <c s="1" t="s">
        <v>89</v>
      </c>
      <c s="1" t="s">
        <v>36</v>
      </c>
      <c s="1" t="s">
        <v>9</v>
      </c>
      <c s="1" t="s">
        <v>89</v>
      </c>
    </row>
    <row ht="15" hidden="1" customHeight="1" outlineLevel="1">
      <c s="15" t="s">
        <v>16</v>
      </c>
      <c s="15" t="s">
        <v>64</v>
      </c>
      <c s="15" t="s">
        <v>16</v>
      </c>
      <c s="6">
        <v>90</v>
      </c>
      <c s="6">
        <v>16551</v>
      </c>
      <c s="6">
        <v>78253</v>
      </c>
      <c s="6">
        <v>84</v>
      </c>
      <c s="6">
        <v>16551</v>
      </c>
      <c s="6">
        <v>75114</v>
      </c>
      <c s="6">
        <v>66</v>
      </c>
      <c s="6">
        <v>16551</v>
      </c>
      <c s="6">
        <v>70281</v>
      </c>
    </row>
    <row ht="15" hidden="1" customHeight="1" outlineLevel="1">
      <c/>
    </row>
    <row collapsed="1"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46"/>
      <c s="8"/>
      <c s="8"/>
      <c s="8"/>
      <c s="8"/>
      <c s="8"/>
      <c s="8"/>
      <c s="8"/>
      <c s="8"/>
      <c s="8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2">
    <mergeCell ref="A7:F7"/>
    <mergeCell ref="A8:F8"/>
    <mergeCell ref="A10:C10"/>
    <mergeCell ref="B17:C17"/>
    <mergeCell ref="D17:E17"/>
    <mergeCell ref="F17:G17"/>
    <mergeCell ref="B18:C18"/>
    <mergeCell ref="D18:E18"/>
    <mergeCell ref="F18:G18"/>
    <mergeCell ref="B31:E31"/>
    <mergeCell ref="F31:I31"/>
    <mergeCell ref="J31:M31"/>
    <mergeCell ref="B32:E32"/>
    <mergeCell ref="F32:I32"/>
    <mergeCell ref="J32:M32"/>
    <mergeCell ref="B50:D50"/>
    <mergeCell ref="D65:F65"/>
    <mergeCell ref="G65:I65"/>
    <mergeCell ref="J65:L65"/>
    <mergeCell ref="D66:F66"/>
    <mergeCell ref="G66:I66"/>
    <mergeCell ref="J66:L66"/>
  </mergeCells>
  <pageMargins left="0.70866141732283472" right="0.70866141732283472" top="0.78740157480314965" bottom="0.78740157480314965" header="0.31496062992125984" footer="0.31496062992125984"/>
  <pageSetup paperSize="9" scale="54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50"/>
  <sheetViews>
    <sheetView topLeftCell="A35" workbookViewId="0">
      <selection activeCell="C50" sqref="C50"/>
    </sheetView>
  </sheetViews>
  <sheetFormatPr defaultColWidth="9.140625" defaultRowHeight="13.6"/>
  <cols>
    <col min="1" max="1" width="13.7109375" style="38" customWidth="1"/>
    <col min="2" max="2" width="40.85546875" style="38" customWidth="1"/>
    <col min="3" max="3" width="28.140625" style="38" customWidth="1"/>
    <col min="4" max="4" width="16.28515625" style="38" customWidth="1"/>
    <col min="5" max="5" width="19.28515625" style="38" customWidth="1"/>
    <col min="6" max="6" width="11.140625" style="38" customWidth="1"/>
    <col min="7" max="7" width="9.140625" style="38"/>
    <col min="8" max="8" width="17.28515625" style="38" customWidth="1"/>
    <col min="9" max="9" width="19.7109375" style="38" customWidth="1"/>
    <col min="10" max="12" width="12.28515625" style="38" customWidth="1"/>
    <col min="13" max="13" width="16" style="38" bestFit="1" customWidth="1"/>
    <col min="14" max="14" width="14.28515625" style="38" bestFit="1" customWidth="1"/>
    <col min="15" max="15" width="18.28515625" style="38" bestFit="1" customWidth="1"/>
    <col min="16" max="25" width="9.140625" style="38"/>
    <col min="26" max="26" width="9.140625" style="38" hidden="1" customWidth="1"/>
    <col min="27" max="16384" width="9.140625" style="38"/>
  </cols>
  <sheetData>
    <row>
      <c s="65"/>
      <c r="H1" s="42">
        <v>129806172700000000</v>
      </c>
      <c r="Z1" s="69" t="b">
        <f>0=1</f>
        <v>0</v>
      </c>
    </row>
    <row>
      <c r="Z2" s="69" t="b">
        <f>1=1</f>
        <v>1</v>
      </c>
    </row>
    <row>
      <c r="Z3" s="69"/>
    </row>
    <row>
      <c r="I4" s="38" t="s">
        <v>29</v>
      </c>
      <c s="45" t="s">
        <v>66</v>
      </c>
      <c s="13"/>
      <c s="13"/>
      <c s="13"/>
      <c s="13"/>
      <c s="13"/>
    </row>
    <row>
      <c r="J5" s="39" t="s">
        <v>19</v>
      </c>
      <c s="31" t="s">
        <v>47</v>
      </c>
      <c s="31" t="s">
        <v>56</v>
      </c>
      <c s="39" t="s">
        <v>90</v>
      </c>
      <c s="81" t="s">
        <v>74</v>
      </c>
      <c s="31" t="s">
        <v>0</v>
      </c>
    </row>
    <row>
      <c r="B6" s="35" t="s">
        <v>75</v>
      </c>
      <c s="29" t="s">
        <v>81</v>
      </c>
      <c s="56" t="s">
        <v>5</v>
      </c>
      <c s="12" t="s">
        <v>48</v>
      </c>
    </row>
    <row>
      <c r="C7" s="32"/>
      <c s="37" t="s">
        <v>6</v>
      </c>
      <c s="12" t="s">
        <v>52</v>
      </c>
    </row>
    <row>
      <c r="C8" s="37" t="s">
        <v>1</v>
      </c>
      <c s="32"/>
    </row>
    <row>
      <c r="C9" s="32"/>
      <c s="29" t="s">
        <v>20</v>
      </c>
      <c s="62"/>
    </row>
    <row>
      <c r="C10" s="29" t="s">
        <v>37</v>
      </c>
      <c s="73" t="s">
        <v>57</v>
      </c>
      <c s="12" t="s">
        <v>10</v>
      </c>
    </row>
    <row>
      <c r="B11" s="35" t="s">
        <v>49</v>
      </c>
      <c s="75" t="s">
        <v>38</v>
      </c>
      <c s="78">
        <v>60398</v>
      </c>
      <c s="12" t="s">
        <v>21</v>
      </c>
    </row>
    <row>
      <c r="B12" s="35"/>
      <c s="77"/>
      <c s="57"/>
      <c s="72" t="s">
        <v>67</v>
      </c>
    </row>
    <row>
      <c r="B13" s="35" t="s">
        <v>39</v>
      </c>
      <c s="58" t="s">
        <v>13</v>
      </c>
      <c s="43">
        <v>1212</v>
      </c>
      <c s="38" t="b">
        <v>0</v>
      </c>
      <c s="12" t="s">
        <v>58</v>
      </c>
    </row>
    <row ht="12.75" hidden="1">
      <c r="B14" s="35"/>
      <c s="58"/>
      <c s="54"/>
      <c s="38" t="b">
        <v>0</v>
      </c>
    </row>
    <row>
      <c r="B15" s="35" t="s">
        <v>82</v>
      </c>
      <c s="38" t="s">
        <v>86</v>
      </c>
      <c s="76">
        <v>1212</v>
      </c>
      <c s="38" t="b">
        <v>0</v>
      </c>
      <c s="12" t="s">
        <v>14</v>
      </c>
    </row>
    <row ht="12.75" hidden="1">
      <c r="B16" s="35"/>
      <c r="D16" s="24"/>
      <c s="38" t="b">
        <v>0</v>
      </c>
      <c s="12"/>
    </row>
    <row>
      <c r="B17" s="35"/>
      <c s="38" t="s">
        <v>22</v>
      </c>
      <c s="53">
        <v>3434</v>
      </c>
      <c s="38" t="b">
        <v>0</v>
      </c>
      <c s="12" t="s">
        <v>59</v>
      </c>
    </row>
    <row>
      <c r="B18" s="35"/>
      <c r="D18" s="24"/>
      <c s="38" t="b">
        <v>0</v>
      </c>
      <c s="12"/>
    </row>
    <row>
      <c r="B19" s="35"/>
      <c s="38" t="s">
        <v>2</v>
      </c>
      <c s="71">
        <v>3434</v>
      </c>
      <c s="38" t="b">
        <v>0</v>
      </c>
      <c s="12" t="s">
        <v>76</v>
      </c>
    </row>
    <row>
      <c r="B20" s="35"/>
      <c r="D20" s="24"/>
      <c s="38" t="b">
        <v>0</v>
      </c>
      <c s="12"/>
    </row>
    <row>
      <c r="B21" s="35"/>
      <c s="38" t="s">
        <v>77</v>
      </c>
      <c s="49">
        <v>5656</v>
      </c>
      <c s="38" t="b">
        <v>0</v>
      </c>
      <c s="12" t="s">
        <v>91</v>
      </c>
    </row>
    <row>
      <c r="B22" s="35"/>
      <c r="E22" s="12"/>
      <c r="I22" s="55"/>
    </row>
    <row>
      <c r="B23" s="36" t="s">
        <v>3</v>
      </c>
      <c s="36"/>
    </row>
    <row>
      <c r="B24" s="10" t="s">
        <v>50</v>
      </c>
      <c s="10" t="s">
        <v>23</v>
      </c>
      <c s="10" t="s">
        <v>7</v>
      </c>
      <c s="10" t="s">
        <v>78</v>
      </c>
      <c s="10"/>
      <c s="10"/>
      <c s="10" t="s">
        <v>92</v>
      </c>
    </row>
    <row>
      <c r="C25" s="47" t="s">
        <v>40</v>
      </c>
      <c s="16" t="s">
        <v>35</v>
      </c>
      <c s="16">
        <v>1234.5599999999999</v>
      </c>
      <c s="12"/>
    </row>
    <row>
      <c r="C26" s="47" t="s">
        <v>40</v>
      </c>
      <c s="16" t="s">
        <v>35</v>
      </c>
      <c s="16">
        <v>1234.5599999999999</v>
      </c>
      <c s="12"/>
    </row>
    <row>
      <c r="C27" s="47" t="s">
        <v>40</v>
      </c>
      <c s="20" t="s">
        <v>35</v>
      </c>
      <c s="16">
        <v>1234.5599999999999</v>
      </c>
    </row>
    <row>
      <c r="C28" s="61" t="s">
        <v>40</v>
      </c>
      <c s="20" t="s">
        <v>15</v>
      </c>
      <c s="16">
        <v>1234.5599999999999</v>
      </c>
    </row>
    <row>
      <c r="C29" s="61" t="s">
        <v>51</v>
      </c>
      <c s="74" t="s">
        <v>8</v>
      </c>
      <c s="41">
        <v>1234.5599999999999</v>
      </c>
    </row>
    <row>
      <c r="C30" s="61" t="s">
        <v>51</v>
      </c>
      <c s="50" t="s">
        <v>41</v>
      </c>
      <c s="60">
        <v>1234.5599999999999</v>
      </c>
    </row>
    <row>
      <c r="C31" s="61" t="s">
        <v>83</v>
      </c>
      <c s="63" t="s">
        <v>17</v>
      </c>
      <c s="52">
        <v>1234.5599999999999</v>
      </c>
    </row>
    <row>
      <c r="C32" s="61" t="s">
        <v>83</v>
      </c>
      <c s="80" t="s">
        <v>93</v>
      </c>
      <c s="21">
        <v>1234.5599999999999</v>
      </c>
    </row>
    <row>
      <c r="C33" s="61" t="s">
        <v>83</v>
      </c>
      <c s="20">
        <v>2012</v>
      </c>
      <c s="16">
        <v>1234.5599999999999</v>
      </c>
    </row>
    <row>
      <c r="C34" s="61" t="s">
        <v>51</v>
      </c>
      <c s="21" t="s">
        <v>94</v>
      </c>
      <c s="51">
        <v>1234.5599999999999</v>
      </c>
    </row>
    <row>
      <c r="C35" s="61" t="s">
        <v>83</v>
      </c>
      <c s="20">
        <v>2013</v>
      </c>
      <c s="16">
        <v>1234.5599999999999</v>
      </c>
    </row>
    <row>
      <c r="C36" s="61" t="s">
        <v>83</v>
      </c>
      <c s="20">
        <v>2014</v>
      </c>
      <c s="16">
        <v>1234.5599999999999</v>
      </c>
    </row>
    <row>
      <c r="C37" s="61" t="s">
        <v>83</v>
      </c>
      <c s="20">
        <v>2015</v>
      </c>
      <c s="16">
        <v>1234.5599999999999</v>
      </c>
    </row>
    <row>
      <c r="C38" s="61" t="s">
        <v>83</v>
      </c>
      <c s="20">
        <v>2016</v>
      </c>
      <c s="16">
        <v>1234.5599999999999</v>
      </c>
    </row>
    <row>
      <c r="C39" s="61" t="s">
        <v>83</v>
      </c>
      <c s="20" t="s">
        <v>70</v>
      </c>
      <c s="21">
        <v>1234.5599999999999</v>
      </c>
    </row>
    <row>
      <c r="C40" s="61" t="s">
        <v>83</v>
      </c>
      <c s="20">
        <v>2019</v>
      </c>
      <c s="21">
        <v>1234.5599999999999</v>
      </c>
    </row>
    <row>
      <c r="C41" s="61" t="s">
        <v>83</v>
      </c>
      <c s="20">
        <v>2018</v>
      </c>
      <c s="21">
        <v>1234.5599999999999</v>
      </c>
    </row>
    <row>
      <c r="C42" s="61" t="s">
        <v>83</v>
      </c>
      <c s="20">
        <v>2020</v>
      </c>
      <c s="16">
        <v>1234.5599999999999</v>
      </c>
    </row>
    <row>
      <c r="C43" s="61" t="s">
        <v>83</v>
      </c>
      <c s="20">
        <v>2021</v>
      </c>
      <c s="16">
        <v>1234.5599999999999</v>
      </c>
    </row>
    <row>
      <c r="C44" s="61" t="s">
        <v>83</v>
      </c>
      <c s="20">
        <v>2022</v>
      </c>
      <c s="16">
        <v>1234.5599999999999</v>
      </c>
    </row>
    <row>
      <c r="C45" s="61" t="s">
        <v>83</v>
      </c>
      <c s="20">
        <v>2023</v>
      </c>
      <c s="16">
        <v>1234.5599999999999</v>
      </c>
    </row>
    <row>
      <c r="C46" s="61" t="s">
        <v>83</v>
      </c>
      <c s="20">
        <v>2024</v>
      </c>
      <c s="16">
        <v>1234.5599999999999</v>
      </c>
    </row>
    <row ht="25.4">
      <c r="C47" s="61" t="s">
        <v>51</v>
      </c>
      <c s="68" t="s">
        <v>63</v>
      </c>
      <c s="67">
        <v>1234.5599999999999</v>
      </c>
    </row>
    <row>
      <c r="C48" s="61" t="s">
        <v>51</v>
      </c>
      <c s="79" t="s">
        <v>26</v>
      </c>
      <c s="66">
        <v>1234.5599999999999</v>
      </c>
    </row>
    <row ht="73.65">
      <c r="C49" s="61" t="s">
        <v>27</v>
      </c>
      <c s="40" t="s">
        <v>62</v>
      </c>
      <c s="59">
        <v>1234.5599999999999</v>
      </c>
    </row>
    <row>
      <c r="C50" s="61"/>
      <c s="20"/>
      <c s="21"/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
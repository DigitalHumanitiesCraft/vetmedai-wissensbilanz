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28680" yWindow="-120" windowWidth="29040" windowHeight="15720"/>
  </bookViews>
  <sheets>
    <sheet name="Tab" sheetId="1" r:id="rId1"/>
    <sheet name="Tabelle2" sheetId="2" state="hidden" r:id="rId2"/>
    <sheet name="XLCubedFormats" sheetId="3" state="hidden" r:id="rId3"/>
  </sheets>
  <definedNames>
    <definedName name="_xlnm.Print_Area" localSheetId="0">Tab!$A$1:$I$44</definedName>
    <definedName name="XL3DisableCameraObjects" hidden="1">XLCubedFormats!A1</definedName>
    <definedName name="XL3ObjLocation5ea0873c_86b6_4a5c_9f46_4298944dafb4">Tab!$A$9</definedName>
  </definedNames>
  <calcPr calcId="40001"/>
</workbook>
</file>

<file path=xl/sharedStrings.xml><?xml version="1.0" encoding="utf-8"?>
<sst xmlns="http://schemas.openxmlformats.org/spreadsheetml/2006/main" uniqueCount="592">
  <si>
    <t>Slicer Button Background</t>
  </si>
  <si>
    <t>Grid Title</t>
  </si>
  <si>
    <t>Oth Written Member</t>
  </si>
  <si>
    <t>Fill in Grid Name, Dimension or Both</t>
  </si>
  <si>
    <t>Semester und Datenstichtag</t>
  </si>
  <si>
    <t xml:space="preserve">      UR</t>
  </si>
  <si>
    <t>Wintersemester 2016 (Stichtag: 28.02.2017)</t>
  </si>
  <si>
    <t xml:space="preserve">      UV</t>
  </si>
  <si>
    <t/>
  </si>
  <si>
    <t>UC</t>
  </si>
  <si>
    <t>UG</t>
  </si>
  <si>
    <t>WS2022</t>
  </si>
  <si>
    <t>UA Wintersemester 2007 (Stichtag: 28.02.2008)</t>
  </si>
  <si>
    <t>UA Wintersemester 2009 (Stichtag: 28.02.2010)</t>
  </si>
  <si>
    <t>UA Wintersemester 2021 (Stichtag: 28.02.2022)</t>
  </si>
  <si>
    <t>UC Wintersemester 2018 (Stichtag: 28.02.2019)</t>
  </si>
  <si>
    <t>UC Wintersemester 2024 (Stichtag: 28.02.2025)</t>
  </si>
  <si>
    <t>UD Wintersemester 2008 (Stichtag: 28.02.2009)</t>
  </si>
  <si>
    <t>UD Wintersemester 2022 (Stichtag: 28.02.2023)</t>
  </si>
  <si>
    <t>UE Wintersemester 2006 (Stichtag: 28.02.2007)</t>
  </si>
  <si>
    <t>UE Wintersemester 2020 (Stichtag: 28.02.2021)</t>
  </si>
  <si>
    <t>UF Wintersemester 2010 (Stichtag: 28.02.2011)</t>
  </si>
  <si>
    <t>UG Wintersemester 2023 (Stichtag: 28.02.2024)</t>
  </si>
  <si>
    <t>UH Wintersemester 2007 (Stichtag: 28.02.2008)</t>
  </si>
  <si>
    <t>UH Wintersemester 2009 (Stichtag: 28.02.2010)</t>
  </si>
  <si>
    <t>UH Wintersemester 2021 (Stichtag: 28.02.2022)</t>
  </si>
  <si>
    <t>UI Wintersemester 2011 (Stichtag: 28.02.2012)</t>
  </si>
  <si>
    <t>UJ Wintersemester 2024 (Stichtag: 28.02.2025)</t>
  </si>
  <si>
    <t>UK Wintersemester 2022 (Stichtag: 28.02.2023)</t>
  </si>
  <si>
    <t>UL Wintersemester 2006 (Stichtag: 28.02.2007)</t>
  </si>
  <si>
    <t>UL Wintersemester 2012 (Stichtag: 28.02.2013)</t>
  </si>
  <si>
    <t>UM Wintersemester 2010 (Stichtag: 28.02.2011)</t>
  </si>
  <si>
    <t>UN Wintersemester 2023 (Stichtag: 28.02.2024)</t>
  </si>
  <si>
    <t>UO Wintersemester 2007 (Stichtag: 28.02.2008)</t>
  </si>
  <si>
    <t>UO Wintersemester 2013 (Stichtag: 28.02.2014)</t>
  </si>
  <si>
    <t>UQ Wintersemester 2024 (Stichtag: 28.02.2025)</t>
  </si>
  <si>
    <t>UR Wintersemester 2008 (Stichtag: 28.02.2009)</t>
  </si>
  <si>
    <t>UR Wintersemester 2014 (Stichtag: 28.02.2015)</t>
  </si>
  <si>
    <t>US Wintersemester 2012 (Stichtag: 28.02.2013)</t>
  </si>
  <si>
    <t>UT Wintersemester 2010 (Stichtag: 28.02.2011)</t>
  </si>
  <si>
    <t>UU Wintersemester 2015 (Stichtag: 28.02.2016)</t>
  </si>
  <si>
    <t>UV Wintersemester 2013 (Stichtag: 28.02.2014)</t>
  </si>
  <si>
    <t>UW Wintersemester 2011 (Stichtag: 28.02.2012)</t>
  </si>
  <si>
    <t>Universität</t>
  </si>
  <si>
    <t>All Marital Status</t>
  </si>
  <si>
    <t>Male</t>
  </si>
  <si>
    <t>Member1 Name</t>
  </si>
  <si>
    <t xml:space="preserve">      Techn.Universität Wien</t>
  </si>
  <si>
    <t xml:space="preserve">      Medizinische Universität Graz</t>
  </si>
  <si>
    <t>Staatengruppe (Ö, EU, andere)</t>
  </si>
  <si>
    <t>Wintersemester 2018 (Stichtag: 04.01.2019)</t>
  </si>
  <si>
    <t>UO</t>
  </si>
  <si>
    <t>UK</t>
  </si>
  <si>
    <t>US</t>
  </si>
  <si>
    <t xml:space="preserve">      UZ</t>
  </si>
  <si>
    <t>Wintersemester 2024 (Stichtag: 03.01.2025)</t>
  </si>
  <si>
    <t>UA Wintersemester 2015 (Stichtag: 28.02.2016)</t>
  </si>
  <si>
    <t>UB Wintersemester 2013 (Stichtag: 28.02.2014)</t>
  </si>
  <si>
    <t>UD Wintersemester 2016 (Stichtag: 28.02.2017)</t>
  </si>
  <si>
    <t>UE Wintersemester 2014 (Stichtag: 28.02.2015)</t>
  </si>
  <si>
    <t>UG Wintersemester 2017 (Stichtag: 28.02.2018)</t>
  </si>
  <si>
    <t>UG Wintersemester 2019 (Stichtag: 28.02.2020)</t>
  </si>
  <si>
    <t>UH Wintersemester 2015 (Stichtag: 28.02.2016)</t>
  </si>
  <si>
    <t>UJ Wintersemester 2018 (Stichtag: 28.02.2019)</t>
  </si>
  <si>
    <t>UK Wintersemester 2016 (Stichtag: 28.02.2017)</t>
  </si>
  <si>
    <t>UL Wintersemester 2020 (Stichtag: 28.02.2021)</t>
  </si>
  <si>
    <t>UN Wintersemester 2017 (Stichtag: 28.02.2018)</t>
  </si>
  <si>
    <t>UN Wintersemester 2019 (Stichtag: 28.02.2020)</t>
  </si>
  <si>
    <t>UO Wintersemester 2009 (Stichtag: 28.02.2010)</t>
  </si>
  <si>
    <t>UO Wintersemester 2021 (Stichtag: 28.02.2022)</t>
  </si>
  <si>
    <t>UQ Wintersemester 2018 (Stichtag: 28.02.2019)</t>
  </si>
  <si>
    <t>UR Wintersemester 2016 (Stichtag: 28.02.2017)</t>
  </si>
  <si>
    <t>UR Wintersemester 2022 (Stichtag: 28.02.2023)</t>
  </si>
  <si>
    <t>US Wintersemester 2006 (Stichtag: 28.02.2007)</t>
  </si>
  <si>
    <t>US Wintersemester 2020 (Stichtag: 28.02.2021)</t>
  </si>
  <si>
    <t>UU Wintersemester 2017 (Stichtag: 28.02.2018)</t>
  </si>
  <si>
    <t>UU Wintersemester 2023 (Stichtag: 28.02.2024)</t>
  </si>
  <si>
    <t>UV Wintersemester 2007 (Stichtag: 28.02.2008)</t>
  </si>
  <si>
    <t>UV Wintersemester 2009 (Stichtag: 28.02.2010)</t>
  </si>
  <si>
    <t>UV Wintersemester 2021 (Stichtag: 28.02.2022)</t>
  </si>
  <si>
    <t>&lt;-- default Column Member Format</t>
  </si>
  <si>
    <t>Kennzahl 2.A.7 - Gesamtübersicht</t>
  </si>
  <si>
    <t xml:space="preserve">      Montanuniversität Leoben</t>
  </si>
  <si>
    <t xml:space="preserve">      Univ.f.angew.Kunst Wien</t>
  </si>
  <si>
    <t xml:space="preserve">      Technische Universität Graz</t>
  </si>
  <si>
    <t xml:space="preserve">      Universität Salzburg</t>
  </si>
  <si>
    <t>Wintersemester 2015 (Stichtag: 08.01.2016)</t>
  </si>
  <si>
    <t>ISCED2013 2.Ebene (Langtext)</t>
  </si>
  <si>
    <t xml:space="preserve">      UG</t>
  </si>
  <si>
    <t xml:space="preserve">      UC</t>
  </si>
  <si>
    <t>UW</t>
  </si>
  <si>
    <t>Wintersemester 2018 (Stichtag: 28.02.2019)</t>
  </si>
  <si>
    <t>UA Wintersemester 2023 (Stichtag: 28.02.2024)</t>
  </si>
  <si>
    <t>UB Wintersemester 2007 (Stichtag: 28.02.2008)</t>
  </si>
  <si>
    <t>UB Wintersemester 2009 (Stichtag: 28.02.2010)</t>
  </si>
  <si>
    <t>UB Wintersemester 2021 (Stichtag: 28.02.2022)</t>
  </si>
  <si>
    <t>UC Wintersemester 2011 (Stichtag: 28.02.2012)</t>
  </si>
  <si>
    <t>UD Wintersemester 2024 (Stichtag: 28.02.2025)</t>
  </si>
  <si>
    <t>UE Wintersemester 2008 (Stichtag: 28.02.2009)</t>
  </si>
  <si>
    <t>UE Wintersemester 2022 (Stichtag: 28.02.2023)</t>
  </si>
  <si>
    <t>UF Wintersemester 2006 (Stichtag: 28.02.2007)</t>
  </si>
  <si>
    <t>UF Wintersemester 2012 (Stichtag: 28.02.2013)</t>
  </si>
  <si>
    <t>UG Wintersemester 2010 (Stichtag: 28.02.2011)</t>
  </si>
  <si>
    <t>UH Wintersemester 2023 (Stichtag: 28.02.2024)</t>
  </si>
  <si>
    <t>UI Wintersemester 2007 (Stichtag: 28.02.2008)</t>
  </si>
  <si>
    <t>UI Wintersemester 2013 (Stichtag: 28.02.2014)</t>
  </si>
  <si>
    <t>UJ Wintersemester 2011 (Stichtag: 28.02.2012)</t>
  </si>
  <si>
    <t>UK Wintersemester 2024 (Stichtag: 28.02.2025)</t>
  </si>
  <si>
    <t>UL Wintersemester 2008 (Stichtag: 28.02.2009)</t>
  </si>
  <si>
    <t>UL Wintersemester 2014 (Stichtag: 28.02.2015)</t>
  </si>
  <si>
    <t>UM Wintersemester 2012 (Stichtag: 28.02.2013)</t>
  </si>
  <si>
    <t>UN Wintersemester 2010 (Stichtag: 28.02.2011)</t>
  </si>
  <si>
    <t>UO Wintersemester 2015 (Stichtag: 28.02.2016)</t>
  </si>
  <si>
    <t>UQ Wintersemester 2011 (Stichtag: 28.02.2012)</t>
  </si>
  <si>
    <t>US Wintersemester 2014 (Stichtag: 28.02.2015)</t>
  </si>
  <si>
    <t>UT Wintersemester 2012 (Stichtag: 28.02.2013)</t>
  </si>
  <si>
    <t>UU Wintersemester 2019 (Stichtag: 28.02.2020)</t>
  </si>
  <si>
    <t>UV Wintersemester 2015 (Stichtag: 28.02.2016)</t>
  </si>
  <si>
    <t>UW Wintersemester 2013 (Stichtag: 28.02.2014)</t>
  </si>
  <si>
    <t>Alternate Rows</t>
  </si>
  <si>
    <t>&lt;--  writeable cell format</t>
  </si>
  <si>
    <t xml:space="preserve">      Universität Wien</t>
  </si>
  <si>
    <t>Wintersemester 2011 (Stichtag: 28.02.2012)</t>
  </si>
  <si>
    <t xml:space="preserve">      Universität für angewandte Kunst Wien</t>
  </si>
  <si>
    <t xml:space="preserve">      UK</t>
  </si>
  <si>
    <t xml:space="preserve">      UO</t>
  </si>
  <si>
    <t>KZIDF_III_1_7</t>
  </si>
  <si>
    <t>Gesamt</t>
  </si>
  <si>
    <t xml:space="preserve">      Universität für Musik und darstellende Kunst Graz</t>
  </si>
  <si>
    <t>UA Wintersemester 2017 (Stichtag: 28.02.2018)</t>
  </si>
  <si>
    <t>UA Wintersemester 2019 (Stichtag: 28.02.2020)</t>
  </si>
  <si>
    <t>UB Wintersemester 2015 (Stichtag: 28.02.2016)</t>
  </si>
  <si>
    <t>UD Wintersemester 2018 (Stichtag: 28.02.2019)</t>
  </si>
  <si>
    <t>UE Wintersemester 2016 (Stichtag: 28.02.2017)</t>
  </si>
  <si>
    <t>UF Wintersemester 2020 (Stichtag: 28.02.2021)</t>
  </si>
  <si>
    <t>UH Wintersemester 2017 (Stichtag: 28.02.2018)</t>
  </si>
  <si>
    <t>UH Wintersemester 2019 (Stichtag: 28.02.2020)</t>
  </si>
  <si>
    <t>UI Wintersemester 2009 (Stichtag: 28.02.2010)</t>
  </si>
  <si>
    <t>UI Wintersemester 2015 (Stichtag: 28.02.2016)</t>
  </si>
  <si>
    <t>UI Wintersemester 2021 (Stichtag: 28.02.2022)</t>
  </si>
  <si>
    <t>UK Wintersemester 2018 (Stichtag: 28.02.2019)</t>
  </si>
  <si>
    <t>UL Wintersemester 2016 (Stichtag: 28.02.2017)</t>
  </si>
  <si>
    <t>UL Wintersemester 2022 (Stichtag: 28.02.2023)</t>
  </si>
  <si>
    <t>UM Wintersemester 2006 (Stichtag: 28.02.2007)</t>
  </si>
  <si>
    <t>UM Wintersemester 2020 (Stichtag: 28.02.2021)</t>
  </si>
  <si>
    <t>UO Wintersemester 2017 (Stichtag: 28.02.2018)</t>
  </si>
  <si>
    <t>UO Wintersemester 2023 (Stichtag: 28.02.2024)</t>
  </si>
  <si>
    <t>UR Wintersemester 2018 (Stichtag: 28.02.2019)</t>
  </si>
  <si>
    <t>UR Wintersemester 2024 (Stichtag: 28.02.2025)</t>
  </si>
  <si>
    <t>US Wintersemester 2008 (Stichtag: 28.02.2009)</t>
  </si>
  <si>
    <t>US Wintersemester 2022 (Stichtag: 28.02.2023)</t>
  </si>
  <si>
    <t>UT Wintersemester 2006 (Stichtag: 28.02.2007)</t>
  </si>
  <si>
    <t>UT Wintersemester 2020 (Stichtag: 28.02.2021)</t>
  </si>
  <si>
    <t>UU Wintersemester 2010 (Stichtag: 28.02.2011)</t>
  </si>
  <si>
    <t>UV Wintersemester 2023 (Stichtag: 28.02.2024)</t>
  </si>
  <si>
    <t>UW Wintersemester 2007 (Stichtag: 28.02.2008)</t>
  </si>
  <si>
    <t>UW Wintersemester 2009 (Stichtag: 28.02.2010)</t>
  </si>
  <si>
    <t>UW Wintersemester 2021 (Stichtag: 28.02.2022)</t>
  </si>
  <si>
    <t>Slicer Title</t>
  </si>
  <si>
    <t>Calendar Period</t>
  </si>
  <si>
    <t>&lt;-- default cell format</t>
  </si>
  <si>
    <t>Written Member</t>
  </si>
  <si>
    <t>Dimension/Column</t>
  </si>
  <si>
    <t>Wintersemester 2012 (Stichtag: 11.01.2013)</t>
  </si>
  <si>
    <t xml:space="preserve">      US</t>
  </si>
  <si>
    <t xml:space="preserve">      Universität für Weiterbildung Krems</t>
  </si>
  <si>
    <t>ISCED2013 1.Ebene (Langtext)</t>
  </si>
  <si>
    <t xml:space="preserve">      Medizinische Univ.Graz</t>
  </si>
  <si>
    <t xml:space="preserve">      UW</t>
  </si>
  <si>
    <t>UH</t>
  </si>
  <si>
    <t>WS2023</t>
  </si>
  <si>
    <t>UA Wintersemester 2010 (Stichtag: 28.02.2011)</t>
  </si>
  <si>
    <t>UB Wintersemester 2023 (Stichtag: 28.02.2024)</t>
  </si>
  <si>
    <t>UC Wintersemester 2007 (Stichtag: 28.02.2008)</t>
  </si>
  <si>
    <t>UC Wintersemester 2013 (Stichtag: 28.02.2014)</t>
  </si>
  <si>
    <t>UD Wintersemester 2011 (Stichtag: 28.02.2012)</t>
  </si>
  <si>
    <t>UE Wintersemester 2024 (Stichtag: 28.02.2025)</t>
  </si>
  <si>
    <t>UF Wintersemester 2008 (Stichtag: 28.02.2009)</t>
  </si>
  <si>
    <t>UF Wintersemester 2014 (Stichtag: 28.02.2015)</t>
  </si>
  <si>
    <t>UG Wintersemester 2012 (Stichtag: 28.02.2013)</t>
  </si>
  <si>
    <t>UH Wintersemester 2010 (Stichtag: 28.02.2011)</t>
  </si>
  <si>
    <t>UJ Wintersemester 2013 (Stichtag: 28.02.2014)</t>
  </si>
  <si>
    <t>UK Wintersemester 2011 (Stichtag: 28.02.2012)</t>
  </si>
  <si>
    <t>UM Wintersemester 2014 (Stichtag: 28.02.2015)</t>
  </si>
  <si>
    <t>UN Wintersemester 2012 (Stichtag: 28.02.2013)</t>
  </si>
  <si>
    <t>UO Wintersemester 2019 (Stichtag: 28.02.2020)</t>
  </si>
  <si>
    <t>UQ Wintersemester 2013 (Stichtag: 28.02.2014)</t>
  </si>
  <si>
    <t>US Wintersemester 2016 (Stichtag: 28.02.2017)</t>
  </si>
  <si>
    <t>UT Wintersemester 2014 (Stichtag: 28.02.2015)</t>
  </si>
  <si>
    <t>UV Wintersemester 2017 (Stichtag: 28.02.2018)</t>
  </si>
  <si>
    <t>UV Wintersemester 2019 (Stichtag: 28.02.2020)</t>
  </si>
  <si>
    <t>UW Wintersemester 2015 (Stichtag: 28.02.2016)</t>
  </si>
  <si>
    <t xml:space="preserve">      Akad.d.bild.Künste Wien</t>
  </si>
  <si>
    <t xml:space="preserve"> </t>
  </si>
  <si>
    <t>Slice Name (Optional)</t>
  </si>
  <si>
    <t xml:space="preserve">      Veterinärmed.Univ.Wien</t>
  </si>
  <si>
    <t xml:space="preserve">      Universität Mozarteum Salzburg</t>
  </si>
  <si>
    <t>STICHTAG</t>
  </si>
  <si>
    <t>Wintersemester 2013 (Stichtag: 28.02.2014)</t>
  </si>
  <si>
    <t>UL</t>
  </si>
  <si>
    <t>UB Wintersemester 2017 (Stichtag: 28.02.2018)</t>
  </si>
  <si>
    <t>UB Wintersemester 2019 (Stichtag: 28.02.2020)</t>
  </si>
  <si>
    <t>UC Wintersemester 2015 (Stichtag: 28.02.2016)</t>
  </si>
  <si>
    <t>UC Wintersemester 2021 (Stichtag: 28.02.2022)</t>
  </si>
  <si>
    <t>UE Wintersemester 2018 (Stichtag: 28.02.2019)</t>
  </si>
  <si>
    <t>UF Wintersemester 2016 (Stichtag: 28.02.2017)</t>
  </si>
  <si>
    <t>UF Wintersemester 2022 (Stichtag: 28.02.2023)</t>
  </si>
  <si>
    <t>UG Wintersemester 2006 (Stichtag: 28.02.2007)</t>
  </si>
  <si>
    <t>UG Wintersemester 2020 (Stichtag: 28.02.2021)</t>
  </si>
  <si>
    <t>UI Wintersemester 2017 (Stichtag: 28.02.2018)</t>
  </si>
  <si>
    <t>UI Wintersemester 2023 (Stichtag: 28.02.2024)</t>
  </si>
  <si>
    <t>UJ Wintersemester 2007 (Stichtag: 28.02.2008)</t>
  </si>
  <si>
    <t>UJ Wintersemester 2009 (Stichtag: 28.02.2010)</t>
  </si>
  <si>
    <t>UJ Wintersemester 2021 (Stichtag: 28.02.2022)</t>
  </si>
  <si>
    <t>UL Wintersemester 2018 (Stichtag: 28.02.2019)</t>
  </si>
  <si>
    <t>UL Wintersemester 2024 (Stichtag: 28.02.2025)</t>
  </si>
  <si>
    <t>UM Wintersemester 2008 (Stichtag: 28.02.2009)</t>
  </si>
  <si>
    <t>UM Wintersemester 2022 (Stichtag: 28.02.2023)</t>
  </si>
  <si>
    <t>UN Wintersemester 2006 (Stichtag: 28.02.2007)</t>
  </si>
  <si>
    <t>UN Wintersemester 2020 (Stichtag: 28.02.2021)</t>
  </si>
  <si>
    <t>UO Wintersemester 2010 (Stichtag: 28.02.2011)</t>
  </si>
  <si>
    <t>UQ Wintersemester 2007 (Stichtag: 28.02.2008)</t>
  </si>
  <si>
    <t>UQ Wintersemester 2009 (Stichtag: 28.02.2010)</t>
  </si>
  <si>
    <t>UQ Wintersemester 2021 (Stichtag: 28.02.2022)</t>
  </si>
  <si>
    <t>UR Wintersemester 2011 (Stichtag: 28.02.2012)</t>
  </si>
  <si>
    <t>US Wintersemester 2024 (Stichtag: 28.02.2025)</t>
  </si>
  <si>
    <t>UT Wintersemester 2008 (Stichtag: 28.02.2009)</t>
  </si>
  <si>
    <t>UT Wintersemester 2022 (Stichtag: 28.02.2023)</t>
  </si>
  <si>
    <t>UU Wintersemester 2012 (Stichtag: 28.02.2013)</t>
  </si>
  <si>
    <t>UV Wintersemester 2010 (Stichtag: 28.02.2011)</t>
  </si>
  <si>
    <t>UW Wintersemester 2023 (Stichtag: 28.02.2024)</t>
  </si>
  <si>
    <t>Measures</t>
  </si>
  <si>
    <t>Wintersemester 2009 (Stichtag: 28.02.2010)</t>
  </si>
  <si>
    <t xml:space="preserve">      UD</t>
  </si>
  <si>
    <t xml:space="preserve">      Inst. of Digital Sciences</t>
  </si>
  <si>
    <t xml:space="preserve">      Akademie der bildenden Künste Wien</t>
  </si>
  <si>
    <t xml:space="preserve">      Univ.f.Mus.u.darst.K.Graz</t>
  </si>
  <si>
    <t>UT</t>
  </si>
  <si>
    <t>Wintersemester 2021 (Stichtag: 28.02.2022)</t>
  </si>
  <si>
    <t>Wintersemester 2023 (Stichtag: 05.01.2024)</t>
  </si>
  <si>
    <t xml:space="preserve">      Universität Innsbruck</t>
  </si>
  <si>
    <t>UA Wintersemester 2012 (Stichtag: 28.02.2013)</t>
  </si>
  <si>
    <t>UB Wintersemester 2010 (Stichtag: 28.02.2011)</t>
  </si>
  <si>
    <t>UD Wintersemester 2013 (Stichtag: 28.02.2014)</t>
  </si>
  <si>
    <t>UE Wintersemester 2011 (Stichtag: 28.02.2012)</t>
  </si>
  <si>
    <t>UG Wintersemester 2014 (Stichtag: 28.02.2015)</t>
  </si>
  <si>
    <t>UH Wintersemester 2012 (Stichtag: 28.02.2013)</t>
  </si>
  <si>
    <t>UI Wintersemester 2019 (Stichtag: 28.02.2020)</t>
  </si>
  <si>
    <t>UJ Wintersemester 2015 (Stichtag: 28.02.2016)</t>
  </si>
  <si>
    <t>UK Wintersemester 2013 (Stichtag: 28.02.2014)</t>
  </si>
  <si>
    <t>UM Wintersemester 2016 (Stichtag: 28.02.2017)</t>
  </si>
  <si>
    <t>UN Wintersemester 2014 (Stichtag: 28.02.2015)</t>
  </si>
  <si>
    <t>UQ Wintersemester 2015 (Stichtag: 28.02.2016)</t>
  </si>
  <si>
    <t>US Wintersemester 2018 (Stichtag: 28.02.2019)</t>
  </si>
  <si>
    <t>UT Wintersemester 2016 (Stichtag: 28.02.2017)</t>
  </si>
  <si>
    <t>UU Wintersemester 2006 (Stichtag: 28.02.2007)</t>
  </si>
  <si>
    <t>UU Wintersemester 2020 (Stichtag: 28.02.2021)</t>
  </si>
  <si>
    <t>UW Wintersemester 2017 (Stichtag: 28.02.2018)</t>
  </si>
  <si>
    <t>UW Wintersemester 2019 (Stichtag: 28.02.2020)</t>
  </si>
  <si>
    <t>Customer</t>
  </si>
  <si>
    <t>-All Customer</t>
  </si>
  <si>
    <t>Default Alternate Row Member Format --&gt;</t>
  </si>
  <si>
    <t xml:space="preserve">      Univ.f.Weiterbild.Krems</t>
  </si>
  <si>
    <t xml:space="preserve">      UL</t>
  </si>
  <si>
    <t xml:space="preserve">      UH</t>
  </si>
  <si>
    <t>Wintersemester 2015 (Stichtag: 28.02.2016)</t>
  </si>
  <si>
    <t>Wintersemester 2017 (Stichtag: 05.01.2018)</t>
  </si>
  <si>
    <t xml:space="preserve">      Veterinärmedizinische Universität Wien</t>
  </si>
  <si>
    <t xml:space="preserve">      Technische Universität Wien</t>
  </si>
  <si>
    <t>UA</t>
  </si>
  <si>
    <t>Nähere Informationen zu den Kennzahlen bzw. deren Definition finden sich in der aktuellen Ausgabe des Arbeitsbehelfes zur Wissensbilanz-Verordnung.</t>
  </si>
  <si>
    <t>UA Wintersemester 2006 (Stichtag: 28.02.2007)</t>
  </si>
  <si>
    <t>UA Wintersemester 2020 (Stichtag: 28.02.2021)</t>
  </si>
  <si>
    <t>UC Wintersemester 2017 (Stichtag: 28.02.2018)</t>
  </si>
  <si>
    <t>UC Wintersemester 2023 (Stichtag: 28.02.2024)</t>
  </si>
  <si>
    <t>UD Wintersemester 2007 (Stichtag: 28.02.2008)</t>
  </si>
  <si>
    <t>UD Wintersemester 2009 (Stichtag: 28.02.2010)</t>
  </si>
  <si>
    <t>UD Wintersemester 2021 (Stichtag: 28.02.2022)</t>
  </si>
  <si>
    <t>UF Wintersemester 2018 (Stichtag: 28.02.2019)</t>
  </si>
  <si>
    <t>UF Wintersemester 2024 (Stichtag: 28.02.2025)</t>
  </si>
  <si>
    <t>UG Wintersemester 2008 (Stichtag: 28.02.2009)</t>
  </si>
  <si>
    <t>UG Wintersemester 2022 (Stichtag: 28.02.2023)</t>
  </si>
  <si>
    <t>UH Wintersemester 2006 (Stichtag: 28.02.2007)</t>
  </si>
  <si>
    <t>UH Wintersemester 2020 (Stichtag: 28.02.2021)</t>
  </si>
  <si>
    <t>UI Wintersemester 2010 (Stichtag: 28.02.2011)</t>
  </si>
  <si>
    <t>UJ Wintersemester 2023 (Stichtag: 28.02.2024)</t>
  </si>
  <si>
    <t>UK Wintersemester 2021 (Stichtag: 28.02.2022)</t>
  </si>
  <si>
    <t>UL Wintersemester 2011 (Stichtag: 28.02.2012)</t>
  </si>
  <si>
    <t>UM Wintersemester 2024 (Stichtag: 28.02.2025)</t>
  </si>
  <si>
    <t>UN Wintersemester 2008 (Stichtag: 28.02.2009)</t>
  </si>
  <si>
    <t>UN Wintersemester 2022 (Stichtag: 28.02.2023)</t>
  </si>
  <si>
    <t>UO Wintersemester 2006 (Stichtag: 28.02.2007)</t>
  </si>
  <si>
    <t>UO Wintersemester 2012 (Stichtag: 28.02.2013)</t>
  </si>
  <si>
    <t>UQ Wintersemester 2023 (Stichtag: 28.02.2024)</t>
  </si>
  <si>
    <t>UR Wintersemester 2007 (Stichtag: 28.02.2008)</t>
  </si>
  <si>
    <t>UR Wintersemester 2013 (Stichtag: 28.02.2014)</t>
  </si>
  <si>
    <t>US Wintersemester 2011 (Stichtag: 28.02.2012)</t>
  </si>
  <si>
    <t>UT Wintersemester 2024 (Stichtag: 28.02.2025)</t>
  </si>
  <si>
    <t>UU Wintersemester 2008 (Stichtag: 28.02.2009)</t>
  </si>
  <si>
    <t>UU Wintersemester 2014 (Stichtag: 28.02.2015)</t>
  </si>
  <si>
    <t>UV Wintersemester 2012 (Stichtag: 28.02.2013)</t>
  </si>
  <si>
    <t>UW Wintersemester 2010 (Stichtag: 28.02.2011)</t>
  </si>
  <si>
    <t xml:space="preserve">      Medizinische Universität Wien</t>
  </si>
  <si>
    <t>Slicer Item</t>
  </si>
  <si>
    <t>&lt;-- default Slicer Member Format</t>
  </si>
  <si>
    <t>Default Row Member Format --&gt;</t>
  </si>
  <si>
    <t>Grid/Table Name</t>
  </si>
  <si>
    <t>ordentliche Studien</t>
  </si>
  <si>
    <t xml:space="preserve">      Univ.künst.u.i.Gest.Linz</t>
  </si>
  <si>
    <t>[Measures]</t>
  </si>
  <si>
    <t xml:space="preserve">      Universität für Musik und darstellende Kunst Wien</t>
  </si>
  <si>
    <t xml:space="preserve">      UT</t>
  </si>
  <si>
    <t>UE</t>
  </si>
  <si>
    <t>UI</t>
  </si>
  <si>
    <t>Wintersemester 2023 (Stichtag: 28.02.2024)</t>
  </si>
  <si>
    <t>UA Wintersemester 2014 (Stichtag: 28.02.2015)</t>
  </si>
  <si>
    <t>UB Wintersemester 2012 (Stichtag: 28.02.2013)</t>
  </si>
  <si>
    <t>UC Wintersemester 2019 (Stichtag: 28.02.2020)</t>
  </si>
  <si>
    <t>UD Wintersemester 2015 (Stichtag: 28.02.2016)</t>
  </si>
  <si>
    <t>UE Wintersemester 2013 (Stichtag: 28.02.2014)</t>
  </si>
  <si>
    <t>UG Wintersemester 2016 (Stichtag: 28.02.2017)</t>
  </si>
  <si>
    <t>UH Wintersemester 2014 (Stichtag: 28.02.2015)</t>
  </si>
  <si>
    <t>UJ Wintersemester 2017 (Stichtag: 28.02.2018)</t>
  </si>
  <si>
    <t>UJ Wintersemester 2019 (Stichtag: 28.02.2020)</t>
  </si>
  <si>
    <t>UK Wintersemester 2015 (Stichtag: 28.02.2016)</t>
  </si>
  <si>
    <t>UM Wintersemester 2018 (Stichtag: 28.02.2019)</t>
  </si>
  <si>
    <t>UN Wintersemester 2016 (Stichtag: 28.02.2017)</t>
  </si>
  <si>
    <t>UO Wintersemester 2020 (Stichtag: 28.02.2021)</t>
  </si>
  <si>
    <t>UQ Wintersemester 2017 (Stichtag: 28.02.2018)</t>
  </si>
  <si>
    <t>UQ Wintersemester 2019 (Stichtag: 28.02.2020)</t>
  </si>
  <si>
    <t>UR Wintersemester 2009 (Stichtag: 28.02.2010)</t>
  </si>
  <si>
    <t>UR Wintersemester 2021 (Stichtag: 28.02.2022)</t>
  </si>
  <si>
    <t>UT Wintersemester 2018 (Stichtag: 28.02.2019)</t>
  </si>
  <si>
    <t>UU Wintersemester 2016 (Stichtag: 28.02.2017)</t>
  </si>
  <si>
    <t>UU Wintersemester 2022 (Stichtag: 28.02.2023)</t>
  </si>
  <si>
    <t>UV Wintersemester 2006 (Stichtag: 28.02.2007)</t>
  </si>
  <si>
    <t>UV Wintersemester 2020 (Stichtag: 28.02.2021)</t>
  </si>
  <si>
    <t>WS2024</t>
  </si>
  <si>
    <t>&lt;-- writeable Slicer Member Format</t>
  </si>
  <si>
    <t xml:space="preserve">      Medizinische Univ.Wien</t>
  </si>
  <si>
    <t xml:space="preserve">      Universität für Bodenkultur Wien</t>
  </si>
  <si>
    <t>Wintersemester 2017 (Stichtag: 28.02.2018)</t>
  </si>
  <si>
    <t>UQ</t>
  </si>
  <si>
    <t>UM</t>
  </si>
  <si>
    <t>Wintersemester 2019 (Stichtag: 03.01.2020)</t>
  </si>
  <si>
    <t>Wintersemester 2019 (Stichtag: 28.02.2020)</t>
  </si>
  <si>
    <t>UA Wintersemester 2008 (Stichtag: 28.02.2009)</t>
  </si>
  <si>
    <t>UA Wintersemester 2022 (Stichtag: 28.02.2023)</t>
  </si>
  <si>
    <t>UB Wintersemester 2006 (Stichtag: 28.02.2007)</t>
  </si>
  <si>
    <t>UB Wintersemester 2020 (Stichtag: 28.02.2021)</t>
  </si>
  <si>
    <t>UC Wintersemester 2010 (Stichtag: 28.02.2011)</t>
  </si>
  <si>
    <t>UD Wintersemester 2023 (Stichtag: 28.02.2024)</t>
  </si>
  <si>
    <t>UE Wintersemester 2007 (Stichtag: 28.02.2008)</t>
  </si>
  <si>
    <t>UE Wintersemester 2009 (Stichtag: 28.02.2010)</t>
  </si>
  <si>
    <t>UE Wintersemester 2021 (Stichtag: 28.02.2022)</t>
  </si>
  <si>
    <t>UF Wintersemester 2011 (Stichtag: 28.02.2012)</t>
  </si>
  <si>
    <t>UG Wintersemester 2024 (Stichtag: 28.02.2025)</t>
  </si>
  <si>
    <t>UH Wintersemester 2008 (Stichtag: 28.02.2009)</t>
  </si>
  <si>
    <t>UH Wintersemester 2022 (Stichtag: 28.02.2023)</t>
  </si>
  <si>
    <t>UI Wintersemester 2006 (Stichtag: 28.02.2007)</t>
  </si>
  <si>
    <t>UI Wintersemester 2012 (Stichtag: 28.02.2013)</t>
  </si>
  <si>
    <t>UJ Wintersemester 2010 (Stichtag: 28.02.2011)</t>
  </si>
  <si>
    <t>UK Wintersemester 2023 (Stichtag: 28.02.2024)</t>
  </si>
  <si>
    <t>UL Wintersemester 2007 (Stichtag: 28.02.2008)</t>
  </si>
  <si>
    <t>UL Wintersemester 2013 (Stichtag: 28.02.2014)</t>
  </si>
  <si>
    <t>UM Wintersemester 2011 (Stichtag: 28.02.2012)</t>
  </si>
  <si>
    <t>UN Wintersemester 2024 (Stichtag: 28.02.2025)</t>
  </si>
  <si>
    <t>UO Wintersemester 2008 (Stichtag: 28.02.2009)</t>
  </si>
  <si>
    <t>UO Wintersemester 2014 (Stichtag: 28.02.2015)</t>
  </si>
  <si>
    <t>UQ Wintersemester 2010 (Stichtag: 28.02.2011)</t>
  </si>
  <si>
    <t>UR Wintersemester 2015 (Stichtag: 28.02.2016)</t>
  </si>
  <si>
    <t>US Wintersemester 2013 (Stichtag: 28.02.2014)</t>
  </si>
  <si>
    <t>UT Wintersemester 2011 (Stichtag: 28.02.2012)</t>
  </si>
  <si>
    <t>UV Wintersemester 2014 (Stichtag: 28.02.2015)</t>
  </si>
  <si>
    <t>UW Wintersemester 2012 (Stichtag: 28.02.2013)</t>
  </si>
  <si>
    <t>Slicer Button</t>
  </si>
  <si>
    <t>+2009</t>
  </si>
  <si>
    <t>&lt;-- default alternate row cell format</t>
  </si>
  <si>
    <t>&lt;--  written cell format</t>
  </si>
  <si>
    <t>Wintersemester 2010 (Stichtag: 28.02.2011)</t>
  </si>
  <si>
    <t xml:space="preserve">      UE</t>
  </si>
  <si>
    <t>Studienfach (Fachcode)</t>
  </si>
  <si>
    <t>Studienarten</t>
  </si>
  <si>
    <t xml:space="preserve">      UA</t>
  </si>
  <si>
    <t xml:space="preserve">      Wirtschaftsuniversität Wien</t>
  </si>
  <si>
    <t>UU</t>
  </si>
  <si>
    <t>Anmerkung: Aufgrund von Änderungen in den Erhebungsmethoden sind die Indikatorwerte im zeitlichen Verlauf nicht immer direkt vergleichbar.</t>
  </si>
  <si>
    <t>UA Wintersemester 2016 (Stichtag: 28.02.2017)</t>
  </si>
  <si>
    <t>UB Wintersemester 2014 (Stichtag: 28.02.2015)</t>
  </si>
  <si>
    <t>UD Wintersemester 2017 (Stichtag: 28.02.2018)</t>
  </si>
  <si>
    <t>UD Wintersemester 2019 (Stichtag: 28.02.2020)</t>
  </si>
  <si>
    <t>UE Wintersemester 2015 (Stichtag: 28.02.2016)</t>
  </si>
  <si>
    <t>UG Wintersemester 2018 (Stichtag: 28.02.2019)</t>
  </si>
  <si>
    <t>UH Wintersemester 2016 (Stichtag: 28.02.2017)</t>
  </si>
  <si>
    <t>UI Wintersemester 2020 (Stichtag: 28.02.2021)</t>
  </si>
  <si>
    <t>UK Wintersemester 2017 (Stichtag: 28.02.2018)</t>
  </si>
  <si>
    <t>UK Wintersemester 2019 (Stichtag: 28.02.2020)</t>
  </si>
  <si>
    <t>UL Wintersemester 2009 (Stichtag: 28.02.2010)</t>
  </si>
  <si>
    <t>UL Wintersemester 2021 (Stichtag: 28.02.2022)</t>
  </si>
  <si>
    <t>UN Wintersemester 2018 (Stichtag: 28.02.2019)</t>
  </si>
  <si>
    <t>UO Wintersemester 2016 (Stichtag: 28.02.2017)</t>
  </si>
  <si>
    <t>UO Wintersemester 2022 (Stichtag: 28.02.2023)</t>
  </si>
  <si>
    <t>UR Wintersemester 2017 (Stichtag: 28.02.2018)</t>
  </si>
  <si>
    <t>UR Wintersemester 2023 (Stichtag: 28.02.2024)</t>
  </si>
  <si>
    <t>US Wintersemester 2007 (Stichtag: 28.02.2008)</t>
  </si>
  <si>
    <t>US Wintersemester 2009 (Stichtag: 28.02.2010)</t>
  </si>
  <si>
    <t>US Wintersemester 2021 (Stichtag: 28.02.2022)</t>
  </si>
  <si>
    <t>UU Wintersemester 2018 (Stichtag: 28.02.2019)</t>
  </si>
  <si>
    <t>UU Wintersemester 2024 (Stichtag: 28.02.2025)</t>
  </si>
  <si>
    <t>UV Wintersemester 2008 (Stichtag: 28.02.2009)</t>
  </si>
  <si>
    <t>UV Wintersemester 2022 (Stichtag: 28.02.2023)</t>
  </si>
  <si>
    <t>UW Wintersemester 2006 (Stichtag: 28.02.2007)</t>
  </si>
  <si>
    <t>UW Wintersemester 2020 (Stichtag: 28.02.2021)</t>
  </si>
  <si>
    <t>Display Formats For:</t>
  </si>
  <si>
    <t>Enabled?</t>
  </si>
  <si>
    <t>Anzahl der belegten ordentlichen Studien</t>
  </si>
  <si>
    <t xml:space="preserve">      Univ.f.Mus.u.darst.K.Wien</t>
  </si>
  <si>
    <t xml:space="preserve">      Universität für künstlerische und industrielle Gestaltung Linz</t>
  </si>
  <si>
    <t xml:space="preserve">      UI</t>
  </si>
  <si>
    <t>Datenprüfung und -aufbereitung: bmfwf, Abt. I/10</t>
  </si>
  <si>
    <t xml:space="preserve">      UM</t>
  </si>
  <si>
    <t>UA Wintersemester 2024 (Stichtag: 28.02.2025)</t>
  </si>
  <si>
    <t>UB Wintersemester 2008 (Stichtag: 28.02.2009)</t>
  </si>
  <si>
    <t>UB Wintersemester 2022 (Stichtag: 28.02.2023)</t>
  </si>
  <si>
    <t>UC Wintersemester 2006 (Stichtag: 28.02.2007)</t>
  </si>
  <si>
    <t>UC Wintersemester 2012 (Stichtag: 28.02.2013)</t>
  </si>
  <si>
    <t>UD Wintersemester 2010 (Stichtag: 28.02.2011)</t>
  </si>
  <si>
    <t>UE Wintersemester 2023 (Stichtag: 28.02.2024)</t>
  </si>
  <si>
    <t>UF Wintersemester 2007 (Stichtag: 28.02.2008)</t>
  </si>
  <si>
    <t>UF Wintersemester 2013 (Stichtag: 28.02.2014)</t>
  </si>
  <si>
    <t>UG Wintersemester 2011 (Stichtag: 28.02.2012)</t>
  </si>
  <si>
    <t>UH Wintersemester 2024 (Stichtag: 28.02.2025)</t>
  </si>
  <si>
    <t>UI Wintersemester 2008 (Stichtag: 28.02.2009)</t>
  </si>
  <si>
    <t>UI Wintersemester 2014 (Stichtag: 28.02.2015)</t>
  </si>
  <si>
    <t>UJ Wintersemester 2012 (Stichtag: 28.02.2013)</t>
  </si>
  <si>
    <t>UK Wintersemester 2010 (Stichtag: 28.02.2011)</t>
  </si>
  <si>
    <t>UL Wintersemester 2015 (Stichtag: 28.02.2016)</t>
  </si>
  <si>
    <t>UM Wintersemester 2013 (Stichtag: 28.02.2014)</t>
  </si>
  <si>
    <t>UN Wintersemester 2011 (Stichtag: 28.02.2012)</t>
  </si>
  <si>
    <t>UQ Wintersemester 2012 (Stichtag: 28.02.2013)</t>
  </si>
  <si>
    <t>UR Wintersemester 2019 (Stichtag: 28.02.2020)</t>
  </si>
  <si>
    <t>US Wintersemester 2015 (Stichtag: 28.02.2016)</t>
  </si>
  <si>
    <t>UT Wintersemester 2013 (Stichtag: 28.02.2014)</t>
  </si>
  <si>
    <t>UV Wintersemester 2016 (Stichtag: 28.02.2017)</t>
  </si>
  <si>
    <t>UW Wintersemester 2014 (Stichtag: 28.02.2015)</t>
  </si>
  <si>
    <t xml:space="preserve">      Institute of Digital Sciences Austria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</si>
  <si>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</si>
  <si>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</si>
  <si>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</si>
  <si>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</si>
  <si>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</si>
  <si>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Universität (Langtext)</t>
  </si>
  <si>
    <t xml:space="preserve">      UQ</t>
  </si>
  <si>
    <t>Universität-Ausrichtung</t>
  </si>
  <si>
    <t>Wintersemester 2012 (Stichtag: 28.02.2013)</t>
  </si>
  <si>
    <t xml:space="preserve">      Techn.Universität Graz</t>
  </si>
  <si>
    <t xml:space="preserve">      UU</t>
  </si>
  <si>
    <t>UB</t>
  </si>
  <si>
    <t>UF</t>
  </si>
  <si>
    <t>UJ</t>
  </si>
  <si>
    <t>UA Wintersemester 2018 (Stichtag: 28.02.2019)</t>
  </si>
  <si>
    <t>UB Wintersemester 2016 (Stichtag: 28.02.2017)</t>
  </si>
  <si>
    <t>UC Wintersemester 2020 (Stichtag: 28.02.2021)</t>
  </si>
  <si>
    <t>UE Wintersemester 2017 (Stichtag: 28.02.2018)</t>
  </si>
  <si>
    <t>UE Wintersemester 2019 (Stichtag: 28.02.2020)</t>
  </si>
  <si>
    <t>UF Wintersemester 2009 (Stichtag: 28.02.2010)</t>
  </si>
  <si>
    <t>UF Wintersemester 2015 (Stichtag: 28.02.2016)</t>
  </si>
  <si>
    <t>UF Wintersemester 2021 (Stichtag: 28.02.2022)</t>
  </si>
  <si>
    <t>UH Wintersemester 2018 (Stichtag: 28.02.2019)</t>
  </si>
  <si>
    <t>UI Wintersemester 2016 (Stichtag: 28.02.2017)</t>
  </si>
  <si>
    <t>UI Wintersemester 2022 (Stichtag: 28.02.2023)</t>
  </si>
  <si>
    <t>UJ Wintersemester 2006 (Stichtag: 28.02.2007)</t>
  </si>
  <si>
    <t>UJ Wintersemester 2020 (Stichtag: 28.02.2021)</t>
  </si>
  <si>
    <t>UL Wintersemester 2017 (Stichtag: 28.02.2018)</t>
  </si>
  <si>
    <t>UL Wintersemester 2023 (Stichtag: 28.02.2024)</t>
  </si>
  <si>
    <t>UM Wintersemester 2007 (Stichtag: 28.02.2008)</t>
  </si>
  <si>
    <t>UM Wintersemester 2009 (Stichtag: 28.02.2010)</t>
  </si>
  <si>
    <t>UM Wintersemester 2021 (Stichtag: 28.02.2022)</t>
  </si>
  <si>
    <t>UO Wintersemester 2018 (Stichtag: 28.02.2019)</t>
  </si>
  <si>
    <t>UO Wintersemester 2024 (Stichtag: 28.02.2025)</t>
  </si>
  <si>
    <t>UQ Wintersemester 2006 (Stichtag: 28.02.2007)</t>
  </si>
  <si>
    <t>UQ Wintersemester 2020 (Stichtag: 28.02.2021)</t>
  </si>
  <si>
    <t>UR Wintersemester 2010 (Stichtag: 28.02.2011)</t>
  </si>
  <si>
    <t>US Wintersemester 2023 (Stichtag: 28.02.2024)</t>
  </si>
  <si>
    <t>UT Wintersemester 2007 (Stichtag: 28.02.2008)</t>
  </si>
  <si>
    <t>UT Wintersemester 2009 (Stichtag: 28.02.2010)</t>
  </si>
  <si>
    <t>UT Wintersemester 2021 (Stichtag: 28.02.2022)</t>
  </si>
  <si>
    <t>UU Wintersemester 2011 (Stichtag: 28.02.2012)</t>
  </si>
  <si>
    <t>UV Wintersemester 2024 (Stichtag: 28.02.2025)</t>
  </si>
  <si>
    <t>UW Wintersemester 2008 (Stichtag: 28.02.2009)</t>
  </si>
  <si>
    <t>UW Wintersemester 2022 (Stichtag: 28.02.2023)</t>
  </si>
  <si>
    <t>Marital Status</t>
  </si>
  <si>
    <t>Default Writeable Member Format --&gt;</t>
  </si>
  <si>
    <t>(Members of Studienfach (Fachcode)) - (Erweiterungsstudium)</t>
  </si>
  <si>
    <t>LIEFIDF_III_1_7</t>
  </si>
  <si>
    <t>Universität (Codex)</t>
  </si>
  <si>
    <t>UN</t>
  </si>
  <si>
    <t>UR</t>
  </si>
  <si>
    <t>Quelle: Datenmeldungen der Universitäten auf Basis UHSBV zum jeweiligen Stichtag</t>
  </si>
  <si>
    <t>Wintersemester 2020 (Stichtag: 28.02.2021)</t>
  </si>
  <si>
    <t>UA Wintersemester 2011 (Stichtag: 28.02.2012)</t>
  </si>
  <si>
    <t>UB Wintersemester 2024 (Stichtag: 28.02.2025)</t>
  </si>
  <si>
    <t>UC Wintersemester 2008 (Stichtag: 28.02.2009)</t>
  </si>
  <si>
    <t>UC Wintersemester 2014 (Stichtag: 28.02.2015)</t>
  </si>
  <si>
    <t>UD Wintersemester 2012 (Stichtag: 28.02.2013)</t>
  </si>
  <si>
    <t>UE Wintersemester 2010 (Stichtag: 28.02.2011)</t>
  </si>
  <si>
    <t>UG Wintersemester 2013 (Stichtag: 28.02.2014)</t>
  </si>
  <si>
    <t>UH Wintersemester 2011 (Stichtag: 28.02.2012)</t>
  </si>
  <si>
    <t>UJ Wintersemester 2014 (Stichtag: 28.02.2015)</t>
  </si>
  <si>
    <t>UK Wintersemester 2012 (Stichtag: 28.02.2013)</t>
  </si>
  <si>
    <t>UL Wintersemester 2019 (Stichtag: 28.02.2020)</t>
  </si>
  <si>
    <t>UM Wintersemester 2015 (Stichtag: 28.02.2016)</t>
  </si>
  <si>
    <t>UN Wintersemester 2013 (Stichtag: 28.02.2014)</t>
  </si>
  <si>
    <t>UQ Wintersemester 2014 (Stichtag: 28.02.2015)</t>
  </si>
  <si>
    <t>US Wintersemester 2017 (Stichtag: 28.02.2018)</t>
  </si>
  <si>
    <t>US Wintersemester 2019 (Stichtag: 28.02.2020)</t>
  </si>
  <si>
    <t>UT Wintersemester 2015 (Stichtag: 28.02.2016)</t>
  </si>
  <si>
    <t>UV Wintersemester 2018 (Stichtag: 28.02.2019)</t>
  </si>
  <si>
    <t>UW Wintersemester 2016 (Stichtag: 28.02.2017)</t>
  </si>
  <si>
    <t>Writeable Member</t>
  </si>
  <si>
    <t>Wissensbilanz</t>
  </si>
  <si>
    <t xml:space="preserve">      UB</t>
  </si>
  <si>
    <t xml:space="preserve">      Universität Linz</t>
  </si>
  <si>
    <t xml:space="preserve">      Universität Graz</t>
  </si>
  <si>
    <t xml:space="preserve">      Universität Klagenfurt</t>
  </si>
  <si>
    <t>Wintersemester 2014 (Stichtag: 28.02.2015)</t>
  </si>
  <si>
    <t>Wintersemester 2016 (Stichtag: 05.01.2017)</t>
  </si>
  <si>
    <t xml:space="preserve">      Univ.f.Bodenkultur Wien</t>
  </si>
  <si>
    <t xml:space="preserve">      UF</t>
  </si>
  <si>
    <t>UV</t>
  </si>
  <si>
    <t>UB Wintersemester 2018 (Stichtag: 28.02.2019)</t>
  </si>
  <si>
    <t>UC Wintersemester 2016 (Stichtag: 28.02.2017)</t>
  </si>
  <si>
    <t>UC Wintersemester 2022 (Stichtag: 28.02.2023)</t>
  </si>
  <si>
    <t>UD Wintersemester 2020 (Stichtag: 28.02.2021)</t>
  </si>
  <si>
    <t>UF Wintersemester 2017 (Stichtag: 28.02.2018)</t>
  </si>
  <si>
    <t>UF Wintersemester 2023 (Stichtag: 28.02.2024)</t>
  </si>
  <si>
    <t>UG Wintersemester 2007 (Stichtag: 28.02.2008)</t>
  </si>
  <si>
    <t>UG Wintersemester 2009 (Stichtag: 28.02.2010)</t>
  </si>
  <si>
    <t>UG Wintersemester 2021 (Stichtag: 28.02.2022)</t>
  </si>
  <si>
    <t>UI Wintersemester 2018 (Stichtag: 28.02.2019)</t>
  </si>
  <si>
    <t>UI Wintersemester 2024 (Stichtag: 28.02.2025)</t>
  </si>
  <si>
    <t>UJ Wintersemester 2008 (Stichtag: 28.02.2009)</t>
  </si>
  <si>
    <t>UJ Wintersemester 2022 (Stichtag: 28.02.2023)</t>
  </si>
  <si>
    <t>UK Wintersemester 2020 (Stichtag: 28.02.2021)</t>
  </si>
  <si>
    <t>UL Wintersemester 2010 (Stichtag: 28.02.2011)</t>
  </si>
  <si>
    <t>UM Wintersemester 2023 (Stichtag: 28.02.2024)</t>
  </si>
  <si>
    <t>UN Wintersemester 2007 (Stichtag: 28.02.2008)</t>
  </si>
  <si>
    <t>UN Wintersemester 2009 (Stichtag: 28.02.2010)</t>
  </si>
  <si>
    <t>UN Wintersemester 2021 (Stichtag: 28.02.2022)</t>
  </si>
  <si>
    <t>UO Wintersemester 2011 (Stichtag: 28.02.2012)</t>
  </si>
  <si>
    <t>UQ Wintersemester 2008 (Stichtag: 28.02.2009)</t>
  </si>
  <si>
    <t>UQ Wintersemester 2022 (Stichtag: 28.02.2023)</t>
  </si>
  <si>
    <t>UR Wintersemester 2006 (Stichtag: 28.02.2007)</t>
  </si>
  <si>
    <t>UR Wintersemester 2012 (Stichtag: 28.02.2013)</t>
  </si>
  <si>
    <t>US Wintersemester 2010 (Stichtag: 28.02.2011)</t>
  </si>
  <si>
    <t>UT Wintersemester 2023 (Stichtag: 28.02.2024)</t>
  </si>
  <si>
    <t>UU Wintersemester 2007 (Stichtag: 28.02.2008)</t>
  </si>
  <si>
    <t>UU Wintersemester 2013 (Stichtag: 28.02.2014)</t>
  </si>
  <si>
    <t>UV Wintersemester 2011 (Stichtag: 28.02.2012)</t>
  </si>
  <si>
    <t>UW Wintersemester 2024 (Stichtag: 28.02.2025)</t>
  </si>
  <si>
    <t>Slicer Button Selected</t>
  </si>
  <si>
    <t>&lt;--  summary written cell</t>
  </si>
  <si>
    <t>Formatierungsrichtlinien</t>
  </si>
  <si>
    <t>Geschlecht</t>
  </si>
  <si>
    <t xml:space="preserve">      Univ.Mozarteum Salzburg</t>
  </si>
  <si>
    <t>[SU Studierende].[Semester-plus-Stichtag]</t>
  </si>
  <si>
    <t xml:space="preserve">      UJ</t>
  </si>
  <si>
    <t xml:space="preserve">      UN</t>
  </si>
  <si>
    <t xml:space="preserve">      Medizinische Universität Innsbruck</t>
  </si>
  <si>
    <t>Interpretation</t>
  </si>
  <si>
    <t xml:space="preserve">      Wirtschaftsuniv.Wien</t>
  </si>
  <si>
    <t xml:space="preserve">      Medizin.Univ.Innsbruck</t>
  </si>
  <si>
    <t>Wintersemester 2022 (Stichtag: 28.02.2023)</t>
  </si>
  <si>
    <t>UA Wintersemester 2013 (Stichtag: 28.02.2014)</t>
  </si>
  <si>
    <t>UB Wintersemester 2011 (Stichtag: 28.02.2012)</t>
  </si>
  <si>
    <t>UD Wintersemester 2014 (Stichtag: 28.02.2015)</t>
  </si>
  <si>
    <t>UE Wintersemester 2012 (Stichtag: 28.02.2013)</t>
  </si>
  <si>
    <t>UF Wintersemester 2019 (Stichtag: 28.02.2020)</t>
  </si>
  <si>
    <t>UG Wintersemester 2015 (Stichtag: 28.02.2016)</t>
  </si>
  <si>
    <t>UH Wintersemester 2013 (Stichtag: 28.02.2014)</t>
  </si>
  <si>
    <t>UJ Wintersemester 2016 (Stichtag: 28.02.2017)</t>
  </si>
  <si>
    <t>UK Wintersemester 2014 (Stichtag: 28.02.2015)</t>
  </si>
  <si>
    <t>UM Wintersemester 2017 (Stichtag: 28.02.2018)</t>
  </si>
  <si>
    <t>UM Wintersemester 2019 (Stichtag: 28.02.2020)</t>
  </si>
  <si>
    <t>UN Wintersemester 2015 (Stichtag: 28.02.2016)</t>
  </si>
  <si>
    <t>UQ Wintersemester 2016 (Stichtag: 28.02.2017)</t>
  </si>
  <si>
    <t>UR Wintersemester 2020 (Stichtag: 28.02.2021)</t>
  </si>
  <si>
    <t>UT Wintersemester 2017 (Stichtag: 28.02.2018)</t>
  </si>
  <si>
    <t>UT Wintersemester 2019 (Stichtag: 28.02.2020)</t>
  </si>
  <si>
    <t>UU Wintersemester 2009 (Stichtag: 28.02.2010)</t>
  </si>
  <si>
    <t>UU Wintersemester 2021 (Stichtag: 28.02.2022)</t>
  </si>
  <si>
    <t>UW Wintersemester 2018 (Stichtag: 28.02.2019)</t>
  </si>
</sst>
</file>

<file path=xl/styles.xml><?xml version="1.0" encoding="utf-8"?>
<styleSheet xmlns="http://schemas.openxmlformats.org/spreadsheetml/2006/main">
  <numFmts count="1">
    <numFmt numFmtId="164" formatCode=";;;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10"/>
      <color rgb="FF595959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sz val="9"/>
      <name val="Tahoma"/>
      <family val="2"/>
    </font>
    <font>
      <sz val="10"/>
      <color theme="1" tint="0.34998626667073579"/>
      <name val="Tahoma"/>
      <family val="2"/>
    </font>
    <font>
      <sz val="10"/>
      <color rgb="FF262626"/>
      <name val="Tahoma"/>
      <family val="2"/>
    </font>
    <font>
      <sz val="8"/>
      <name val="Tahoma"/>
      <family val="2"/>
    </font>
    <font>
      <sz val="10"/>
      <color theme="1" tint="0.0499893185216834"/>
      <name val="Tahoma"/>
      <family val="2"/>
    </font>
    <font>
      <sz val="10"/>
      <name val="Tahoma"/>
      <family val="2"/>
    </font>
    <font>
      <sz val="10"/>
      <color theme="1" tint="0.14999847407452621"/>
      <name val="Tahoma"/>
      <family val="2"/>
    </font>
    <font>
      <b/>
      <sz val="11"/>
      <color theme="1"/>
      <name val="Calibri"/>
      <family val="2"/>
      <scheme val="minor"/>
    </font>
    <font>
      <sz val="10"/>
      <color rgb="FFFF0000"/>
      <name val="Tahoma"/>
      <family val="2"/>
    </font>
    <font>
      <b/>
      <sz val="8"/>
      <color rgb="FFFF0000"/>
      <name val="Tahoma"/>
      <family val="2"/>
    </font>
    <font>
      <sz val="11"/>
      <color theme="1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rgb="FFC0C0C0"/>
      </left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/>
      <bottom style="hair">
        <color rgb="FFC0C0C0"/>
      </bottom>
      <diagonal/>
    </border>
    <border>
      <left style="hair">
        <color rgb="FFC0C0C0"/>
      </left>
      <right/>
      <top/>
      <bottom style="hair">
        <color rgb="FFC0C0C0"/>
      </bottom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2" fillId="0" borderId="0" xfId="0" applyFont="1" applyFill="1" applyBorder="1"/>
    <xf numFmtId="0" fontId="3" fillId="0" borderId="0" xfId="0" applyFont="1" applyFill="1" applyBorder="1" applyAlignment="1">
      <alignment horizontal="left" vertical="center"/>
    </xf>
    <xf numFmtId="3" fontId="4" fillId="0" borderId="0" xfId="0" applyNumberFormat="1" applyFont="1" applyFill="1" applyBorder="1"/>
    <xf numFmtId="0" fontId="5" fillId="0" borderId="0" xfId="0" applyFont="1"/>
    <xf numFmtId="0" fontId="6" fillId="0" borderId="0" xfId="0" applyFont="1"/>
    <xf numFmtId="0" fontId="7" fillId="2" borderId="1" xfId="0" quotePrefix="1" applyFont="1" applyFill="1" applyBorder="1" applyAlignment="1" applyProtection="1"/>
    <xf numFmtId="0" fontId="0" fillId="0" borderId="0" xfId="0" applyFill="1" applyBorder="1" applyAlignment="1"/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top"/>
    </xf>
    <xf numFmtId="0" fontId="10" fillId="3" borderId="0" xfId="1" applyFont="1" applyFill="1" applyBorder="1" applyAlignment="1">
      <alignment horizontal="center"/>
    </xf>
    <xf numFmtId="0" fontId="3" fillId="0" borderId="0" xfId="0" applyFont="1" applyFill="1" applyBorder="1" applyAlignment="1">
      <alignment vertical="top"/>
    </xf>
    <xf numFmtId="0" fontId="0" fillId="0" borderId="0" xfId="0" applyBorder="1"/>
    <xf numFmtId="0" fontId="11" fillId="4" borderId="0" xfId="0" applyFont="1" applyFill="1" applyAlignment="1"/>
    <xf numFmtId="0" fontId="12" fillId="0" borderId="2" xfId="0" quotePrefix="1" applyFont="1" applyFill="1" applyBorder="1" applyAlignment="1" applyProtection="1">
      <alignment horizontal="center"/>
    </xf>
    <xf numFmtId="0" fontId="13" fillId="0" borderId="0" xfId="1" applyFont="1"/>
    <xf numFmtId="0" fontId="12" fillId="0" borderId="2" xfId="0" applyFont="1" applyFill="1" applyBorder="1" applyAlignment="1" applyProtection="1">
      <alignment horizontal="right"/>
    </xf>
    <xf numFmtId="0" fontId="12" fillId="0" borderId="3" xfId="0" applyFont="1" applyBorder="1" applyAlignment="1" applyProtection="1">
      <alignment horizontal="right"/>
    </xf>
    <xf numFmtId="0" fontId="12" fillId="0" borderId="4" xfId="0" applyFont="1" applyBorder="1" applyAlignment="1" applyProtection="1">
      <alignment horizontal="center" wrapText="1"/>
    </xf>
    <xf numFmtId="0" fontId="12" fillId="0" borderId="2" xfId="0" quotePrefix="1" applyFont="1" applyFill="1" applyBorder="1" applyAlignment="1" applyProtection="1">
      <alignment horizontal="right"/>
    </xf>
    <xf numFmtId="3" fontId="12" fillId="0" borderId="2" xfId="0" quotePrefix="1" applyNumberFormat="1" applyFont="1" applyFill="1" applyBorder="1" applyAlignment="1" applyProtection="1"/>
    <xf numFmtId="3" fontId="12" fillId="0" borderId="2" xfId="0" applyNumberFormat="1" applyFont="1" applyFill="1" applyBorder="1" applyAlignment="1" applyProtection="1">
      <alignment horizontal="right"/>
    </xf>
    <xf numFmtId="0" fontId="12" fillId="0" borderId="2" xfId="0" applyFont="1" applyFill="1" applyBorder="1" applyAlignment="1" applyProtection="1">
      <alignment vertical="center"/>
    </xf>
    <xf numFmtId="0" fontId="14" fillId="0" borderId="0" xfId="0" applyFont="1"/>
    <xf numFmtId="0" fontId="12" fillId="0" borderId="2" xfId="0" applyFont="1" applyFill="1" applyBorder="1" applyAlignment="1" applyProtection="1">
      <alignment horizontal="center" wrapText="1"/>
    </xf>
    <xf numFmtId="0" fontId="15" fillId="0" borderId="0" xfId="0" applyNumberFormat="1" applyFont="1" applyAlignment="1"/>
    <xf numFmtId="0" fontId="12" fillId="0" borderId="5" xfId="0" applyFont="1" applyBorder="1" applyAlignment="1" applyProtection="1">
      <alignment horizontal="center" wrapText="1"/>
    </xf>
    <xf numFmtId="3" fontId="0" fillId="0" borderId="0" xfId="0" applyNumberFormat="1"/>
    <xf numFmtId="0" fontId="12" fillId="0" borderId="2" xfId="0" applyFont="1" applyBorder="1" applyAlignment="1" applyProtection="1">
      <alignment horizontal="right"/>
    </xf>
    <xf numFmtId="0" fontId="15" fillId="0" borderId="0" xfId="0" quotePrefix="1" applyFont="1"/>
    <xf numFmtId="0" fontId="16" fillId="0" borderId="0" xfId="0" applyFont="1"/>
    <xf numFmtId="0" fontId="13" fillId="4" borderId="0" xfId="1" applyFont="1" applyFill="1"/>
    <xf numFmtId="0" fontId="15" fillId="0" borderId="0" xfId="0" applyFont="1" applyAlignment="1">
      <alignment horizontal="center"/>
    </xf>
    <xf numFmtId="0" fontId="12" fillId="0" borderId="2" xfId="0" applyFont="1" applyBorder="1" applyAlignment="1" applyProtection="1">
      <alignment horizontal="right" wrapText="1"/>
    </xf>
    <xf numFmtId="0" fontId="12" fillId="0" borderId="3" xfId="0" applyFont="1" applyBorder="1" applyAlignment="1" applyProtection="1">
      <alignment horizontal="right" wrapText="1"/>
    </xf>
    <xf numFmtId="0" fontId="12" fillId="0" borderId="6" xfId="0" applyFont="1" applyBorder="1" applyAlignment="1" applyProtection="1">
      <alignment horizontal="center" wrapText="1"/>
    </xf>
    <xf numFmtId="0" fontId="3" fillId="0" borderId="0" xfId="0" applyFont="1" applyFill="1" applyBorder="1" applyAlignment="1"/>
    <xf numFmtId="0" fontId="6" fillId="0" borderId="0" xfId="0" applyFont="1" applyAlignment="1">
      <alignment horizontal="right"/>
    </xf>
    <xf numFmtId="0" fontId="15" fillId="0" borderId="0" xfId="0" applyFont="1"/>
    <xf numFmtId="3" fontId="12" fillId="0" borderId="2" xfId="0" applyNumberFormat="1" applyFont="1" applyBorder="1" applyAlignment="1" applyProtection="1"/>
    <xf numFmtId="3" fontId="12" fillId="0" borderId="2" xfId="0" quotePrefix="1" applyNumberFormat="1" applyFont="1" applyBorder="1" applyAlignment="1" applyProtection="1"/>
    <xf numFmtId="0" fontId="16" fillId="0" borderId="7" xfId="0" quotePrefix="1" applyFont="1" applyFill="1" applyBorder="1" applyAlignment="1"/>
    <xf numFmtId="0" fontId="12" fillId="0" borderId="8" xfId="0" quotePrefix="1" applyFont="1" applyBorder="1" applyAlignment="1" applyProtection="1">
      <alignment vertical="center"/>
    </xf>
    <xf numFmtId="0" fontId="12" fillId="0" borderId="6" xfId="0" applyFont="1" applyBorder="1" applyAlignment="1" applyProtection="1">
      <alignment horizontal="center"/>
    </xf>
    <xf numFmtId="0" fontId="16" fillId="0" borderId="7" xfId="0" applyFont="1" applyFill="1" applyBorder="1" applyAlignment="1">
      <alignment vertical="center"/>
    </xf>
    <xf numFmtId="2" fontId="15" fillId="0" borderId="0" xfId="0" applyNumberFormat="1" applyFont="1"/>
    <xf numFmtId="0" fontId="15" fillId="5" borderId="0" xfId="0" applyFont="1" applyFill="1"/>
    <xf numFmtId="3" fontId="15" fillId="5" borderId="0" xfId="0" applyNumberFormat="1" applyFont="1" applyFill="1" applyAlignment="1"/>
    <xf numFmtId="164" fontId="15" fillId="0" borderId="0" xfId="0" applyNumberFormat="1" applyFont="1"/>
    <xf numFmtId="3" fontId="12" fillId="0" borderId="0" xfId="0" quotePrefix="1" applyNumberFormat="1" applyFont="1" applyBorder="1" applyAlignment="1" applyProtection="1"/>
    <xf numFmtId="0" fontId="17" fillId="0" borderId="0" xfId="0" applyFont="1" applyFill="1" applyBorder="1" applyAlignment="1"/>
    <xf numFmtId="0" fontId="12" fillId="0" borderId="0" xfId="0" applyFont="1" applyFill="1" applyBorder="1" applyAlignment="1" applyProtection="1">
      <alignment vertical="center"/>
    </xf>
    <xf numFmtId="0" fontId="15" fillId="5" borderId="0" xfId="0" applyNumberFormat="1" applyFont="1" applyFill="1" applyAlignment="1"/>
    <xf numFmtId="0" fontId="12" fillId="0" borderId="2" xfId="0" quotePrefix="1" applyFont="1" applyBorder="1" applyAlignment="1" applyProtection="1">
      <alignment vertical="center"/>
    </xf>
    <xf numFmtId="0" fontId="0" fillId="0" borderId="0" xfId="0" applyFont="1"/>
    <xf numFmtId="0" fontId="6" fillId="0" borderId="0" xfId="0" applyFont="1" applyAlignment="1">
      <alignment horizontal="center"/>
    </xf>
    <xf numFmtId="3" fontId="15" fillId="6" borderId="0" xfId="0" applyNumberFormat="1" applyFont="1" applyFill="1" applyAlignment="1"/>
    <xf numFmtId="0" fontId="15" fillId="0" borderId="0" xfId="0" applyFont="1" applyAlignment="1">
      <alignment horizontal="center" wrapText="1"/>
    </xf>
    <xf numFmtId="0" fontId="18" fillId="0" borderId="0" xfId="0" applyFont="1"/>
    <xf numFmtId="0" fontId="19" fillId="0" borderId="0" xfId="0" applyFont="1"/>
    <xf numFmtId="0" fontId="12" fillId="0" borderId="5" xfId="0" applyFont="1" applyBorder="1" applyAlignment="1" applyProtection="1">
      <alignment horizontal="right"/>
    </xf>
    <xf numFmtId="0" fontId="3" fillId="0" borderId="0" xfId="0" applyFont="1" applyFill="1" applyBorder="1" applyAlignment="1">
      <alignment vertical="center"/>
    </xf>
    <xf numFmtId="0" fontId="12" fillId="0" borderId="4" xfId="0" applyFont="1" applyBorder="1" applyAlignment="1" applyProtection="1">
      <alignment horizontal="right"/>
    </xf>
    <xf numFmtId="0" fontId="16" fillId="0" borderId="7" xfId="0" quotePrefix="1" applyFont="1" applyFill="1" applyBorder="1" applyAlignment="1">
      <alignment horizontal="right"/>
    </xf>
    <xf numFmtId="0" fontId="12" fillId="0" borderId="9" xfId="0" applyFont="1" applyBorder="1" applyAlignment="1" applyProtection="1">
      <alignment horizontal="center" wrapText="1"/>
    </xf>
    <xf numFmtId="0" fontId="15" fillId="0" borderId="0" xfId="0" applyFont="1" applyFill="1" applyBorder="1" applyAlignment="1">
      <alignment vertical="center"/>
    </xf>
    <xf numFmtId="0" fontId="17" fillId="0" borderId="0" xfId="0" applyFont="1"/>
    <xf numFmtId="3" fontId="15" fillId="0" borderId="0" xfId="0" applyNumberFormat="1" applyFont="1" applyAlignment="1"/>
    <xf numFmtId="0" fontId="5" fillId="0" borderId="0" xfId="0" applyFont="1" applyFill="1" applyBorder="1" applyAlignment="1">
      <alignment vertical="center"/>
    </xf>
    <xf numFmtId="0" fontId="15" fillId="0" borderId="0" xfId="0" applyNumberFormat="1" applyFont="1"/>
    <xf numFmtId="0" fontId="10" fillId="3" borderId="10" xfId="1" applyFont="1" applyFill="1" applyBorder="1" applyAlignment="1">
      <alignment horizontal="center"/>
    </xf>
    <xf numFmtId="0" fontId="15" fillId="0" borderId="0" xfId="0" applyNumberFormat="1" applyFont="1" applyFill="1" applyBorder="1" applyAlignment="1"/>
    <xf numFmtId="0" fontId="12" fillId="0" borderId="2" xfId="0" quotePrefix="1" applyFont="1" applyBorder="1" applyAlignment="1" applyProtection="1"/>
    <xf numFmtId="3" fontId="16" fillId="0" borderId="7" xfId="0" applyNumberFormat="1" applyFont="1" applyFill="1" applyBorder="1" applyAlignment="1"/>
    <xf numFmtId="3" fontId="15" fillId="7" borderId="0" xfId="0" applyNumberFormat="1" applyFont="1" applyFill="1" applyAlignment="1"/>
    <xf numFmtId="3" fontId="5" fillId="0" borderId="0" xfId="0" applyNumberFormat="1" applyFont="1" applyFill="1" applyAlignment="1"/>
    <xf numFmtId="0" fontId="13" fillId="5" borderId="0" xfId="1" applyFont="1" applyFill="1"/>
    <xf numFmtId="0" fontId="15" fillId="0" borderId="0" xfId="0" quotePrefix="1" applyFont="1" applyFill="1"/>
    <xf numFmtId="0" fontId="20" fillId="0" borderId="0" xfId="0" applyFont="1" applyFill="1" applyBorder="1" applyAlignme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3</xdr:col>
      <xdr:colOff>0</xdr:colOff>
      <xdr:row>8</xdr:row>
      <xdr:rowOff>0</xdr:rowOff>
    </xdr:from>
    <xdr:to>
      <xdr:col>4</xdr:col>
      <xdr:colOff>875035</xdr:colOff>
      <xdr:row>9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1616075"/>
          <a:ext cx="2312348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8</xdr:row>
      <xdr:rowOff>189865</xdr:rowOff>
    </xdr:from>
    <xdr:to>
      <xdr:col>4</xdr:col>
      <xdr:colOff>875035</xdr:colOff>
      <xdr:row>9</xdr:row>
      <xdr:rowOff>189865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1805940"/>
          <a:ext cx="2312348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9</xdr:row>
      <xdr:rowOff>189865</xdr:rowOff>
    </xdr:from>
    <xdr:to>
      <xdr:col>4</xdr:col>
      <xdr:colOff>875035</xdr:colOff>
      <xdr:row>11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1995805"/>
          <a:ext cx="2312348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4</xdr:col>
      <xdr:colOff>875035</xdr:colOff>
      <xdr:row>11</xdr:row>
      <xdr:rowOff>189865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185670"/>
          <a:ext cx="2312348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4</xdr:col>
      <xdr:colOff>875035</xdr:colOff>
      <xdr:row>13</xdr:row>
      <xdr:rowOff>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375535"/>
          <a:ext cx="2312348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4</xdr:col>
      <xdr:colOff>875035</xdr:colOff>
      <xdr:row>14</xdr:row>
      <xdr:rowOff>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565400"/>
          <a:ext cx="2312348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1567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0732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0315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6987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1153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448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32768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39"/>
  <sheetViews>
    <sheetView tabSelected="1" workbookViewId="0"/>
  </sheetViews>
  <sheetFormatPr defaultColWidth="11.42578125" defaultRowHeight="14.95" outlineLevelRow="1" outlineLevelCol="1"/>
  <cols>
    <col min="1" max="1" width="52.7109375" style="54" customWidth="1"/>
    <col min="2" max="3" width="24.28515625" hidden="1" customWidth="1" outlineLevel="1"/>
    <col min="4" max="4" width="19.7109375" customWidth="1" collapsed="1"/>
    <col min="5" max="5" width="12" customWidth="1"/>
    <col min="6" max="6" width="19.7109375" bestFit="1" customWidth="1"/>
    <col min="7" max="7" width="12.28515625" customWidth="1"/>
    <col min="8" max="8" width="19.7109375" bestFit="1" customWidth="1"/>
    <col min="9" max="9" width="12.42578125" customWidth="1"/>
    <col min="10" max="10" width="18.28515625" customWidth="1"/>
    <col min="11" max="11" width="8" customWidth="1"/>
    <col min="12" max="14" width="40.28515625" bestFit="1" customWidth="1"/>
    <col min="15" max="27" width="38.85546875" bestFit="1" customWidth="1"/>
    <col min="28" max="28" width="7.140625" bestFit="1" customWidth="1"/>
    <col min="29" max="29" width="17.140625" bestFit="1" customWidth="1"/>
    <col min="30" max="30" width="6.7109375" bestFit="1" customWidth="1"/>
    <col min="31" max="31" width="7.140625" bestFit="1" customWidth="1"/>
    <col min="32" max="32" width="17.140625" bestFit="1" customWidth="1"/>
    <col min="33" max="33" width="6.7109375" bestFit="1" customWidth="1"/>
    <col min="34" max="34" width="7.140625" bestFit="1" customWidth="1"/>
  </cols>
  <sheetData>
    <row>
      <c s="78" t="s">
        <v>520</v>
      </c>
      <c s="7"/>
      <c s="7"/>
      <c s="7"/>
      <c s="7"/>
      <c s="7"/>
    </row>
    <row>
      <c s="8" t="s">
        <v>81</v>
      </c>
      <c s="8"/>
      <c s="8"/>
      <c s="8"/>
      <c s="8"/>
      <c s="7"/>
    </row>
    <row ht="23.25" customHeight="1" s="66" customFormat="1">
      <c s="9" t="s">
        <v>415</v>
      </c>
      <c s="9"/>
      <c s="9"/>
      <c s="9"/>
      <c s="9"/>
      <c s="50"/>
    </row>
    <row ht="15" customHeight="1">
      <c s="2" t="s">
        <v>498</v>
      </c>
      <c s="2"/>
      <c s="2"/>
      <c s="2"/>
      <c s="36"/>
      <c s="36"/>
    </row>
    <row>
      <c s="61" t="s">
        <v>419</v>
      </c>
      <c s="11"/>
      <c s="11"/>
      <c s="11"/>
      <c s="11"/>
      <c s="7"/>
    </row>
    <row>
      <c s="2" t="s">
        <v>386</v>
      </c>
      <c s="2"/>
      <c s="2"/>
      <c s="2"/>
      <c s="2"/>
      <c s="2"/>
      <c s="2"/>
      <c s="2"/>
    </row>
    <row>
      <c s="2" t="s">
        <v>270</v>
      </c>
      <c s="2"/>
      <c s="2"/>
      <c s="2"/>
      <c s="2"/>
      <c s="2"/>
      <c s="2"/>
      <c s="2"/>
    </row>
    <row ht="14.25" customHeight="1"/>
    <row>
      <c s="6" t="s">
        <v>166</v>
      </c>
      <c s="72" t="s">
        <v>127</v>
      </c>
    </row>
    <row>
      <c s="6" t="s">
        <v>87</v>
      </c>
      <c s="72" t="s">
        <v>127</v>
      </c>
    </row>
    <row>
      <c s="6" t="s">
        <v>382</v>
      </c>
      <c s="72" t="s">
        <v>127</v>
      </c>
    </row>
    <row>
      <c s="6" t="s">
        <v>563</v>
      </c>
      <c s="72" t="s">
        <v>127</v>
      </c>
    </row>
    <row>
      <c s="6" t="s">
        <v>49</v>
      </c>
      <c s="72" t="s">
        <v>127</v>
      </c>
    </row>
    <row>
      <c s="6" t="s">
        <v>453</v>
      </c>
      <c s="72" t="s">
        <v>127</v>
      </c>
    </row>
    <row ht="15" hidden="1" outlineLevel="1">
      <c s="6" t="s">
        <v>381</v>
      </c>
      <c s="72" t="s">
        <v>493</v>
      </c>
    </row>
    <row collapsed="1">
      <c/>
    </row>
    <row>
      <c/>
    </row>
    <row ht="15" hidden="1" customHeight="1" outlineLevel="1">
      <c/>
      <c r="D18" s="6" t="s">
        <v>231</v>
      </c>
      <c s="6" t="s">
        <v>4</v>
      </c>
    </row>
    <row ht="15" customHeight="1" collapsed="1">
      <c/>
      <c r="D19" s="14" t="s">
        <v>307</v>
      </c>
      <c s="19"/>
      <c s="14"/>
      <c s="19"/>
      <c s="14"/>
      <c s="19"/>
    </row>
    <row ht="27.75" customHeight="1">
      <c s="6" t="s">
        <v>43</v>
      </c>
      <c s="6" t="s">
        <v>495</v>
      </c>
      <c s="6" t="s">
        <v>451</v>
      </c>
      <c s="24" t="s">
        <v>55</v>
      </c>
      <c s="16" t="s">
        <v>569</v>
      </c>
      <c s="24" t="s">
        <v>314</v>
      </c>
      <c s="16" t="s">
        <v>569</v>
      </c>
      <c s="24" t="s">
        <v>572</v>
      </c>
      <c s="16" t="s">
        <v>569</v>
      </c>
    </row>
    <row>
      <c s="22" t="s">
        <v>121</v>
      </c>
      <c s="22" t="s">
        <v>383</v>
      </c>
      <c s="22" t="s">
        <v>121</v>
      </c>
      <c s="21">
        <v>89526.586529999637</v>
      </c>
      <c s="20" t="s">
        <v>569</v>
      </c>
      <c s="21">
        <v>91750.077909999934</v>
      </c>
      <c s="20" t="s">
        <v>569</v>
      </c>
      <c s="21">
        <v>92971.276649999956</v>
      </c>
      <c s="20" t="s">
        <v>569</v>
      </c>
    </row>
    <row>
      <c s="22" t="s">
        <v>523</v>
      </c>
      <c s="22" t="s">
        <v>521</v>
      </c>
      <c s="22" t="s">
        <v>523</v>
      </c>
      <c s="21">
        <v>25932.60615000004</v>
      </c>
      <c s="20" t="s">
        <v>569</v>
      </c>
      <c s="21">
        <v>26057.523549999987</v>
      </c>
      <c s="20" t="s">
        <v>569</v>
      </c>
      <c s="21">
        <v>26666.292500000149</v>
      </c>
      <c s="20" t="s">
        <v>569</v>
      </c>
    </row>
    <row>
      <c s="22" t="s">
        <v>240</v>
      </c>
      <c s="22" t="s">
        <v>89</v>
      </c>
      <c s="22" t="s">
        <v>240</v>
      </c>
      <c s="21">
        <v>29035.378749999993</v>
      </c>
      <c s="20" t="s">
        <v>569</v>
      </c>
      <c s="21">
        <v>29466.913499999977</v>
      </c>
      <c s="20" t="s">
        <v>569</v>
      </c>
      <c s="21">
        <v>30003.515300000014</v>
      </c>
      <c s="20" t="s">
        <v>569</v>
      </c>
    </row>
    <row>
      <c s="22" t="s">
        <v>302</v>
      </c>
      <c s="22" t="s">
        <v>567</v>
      </c>
      <c s="22" t="s">
        <v>339</v>
      </c>
      <c s="21">
        <v>7480.3000000000002</v>
      </c>
      <c s="20" t="s">
        <v>569</v>
      </c>
      <c s="21">
        <v>7353.5999999999995</v>
      </c>
      <c s="20" t="s">
        <v>569</v>
      </c>
      <c s="21">
        <v>7224.6000000000004</v>
      </c>
      <c s="20" t="s">
        <v>569</v>
      </c>
    </row>
    <row>
      <c s="22" t="s">
        <v>48</v>
      </c>
      <c s="22" t="s">
        <v>125</v>
      </c>
      <c s="22" t="s">
        <v>167</v>
      </c>
      <c s="21">
        <v>4211.6273000000047</v>
      </c>
      <c s="20" t="s">
        <v>569</v>
      </c>
      <c s="21">
        <v>4048.2982000000061</v>
      </c>
      <c s="20" t="s">
        <v>569</v>
      </c>
      <c s="21">
        <v>3939.301499999995</v>
      </c>
      <c s="20" t="s">
        <v>569</v>
      </c>
    </row>
    <row>
      <c s="22" t="s">
        <v>568</v>
      </c>
      <c s="22" t="s">
        <v>452</v>
      </c>
      <c s="22" t="s">
        <v>571</v>
      </c>
      <c s="21">
        <v>3743.5</v>
      </c>
      <c s="20" t="s">
        <v>569</v>
      </c>
      <c s="21">
        <v>3701.5</v>
      </c>
      <c s="20" t="s">
        <v>569</v>
      </c>
      <c s="21">
        <v>3629.5</v>
      </c>
      <c s="20" t="s">
        <v>569</v>
      </c>
    </row>
    <row>
      <c s="22" t="s">
        <v>85</v>
      </c>
      <c s="22" t="s">
        <v>233</v>
      </c>
      <c s="22" t="s">
        <v>85</v>
      </c>
      <c s="21">
        <v>13728.792050000036</v>
      </c>
      <c s="20" t="s">
        <v>569</v>
      </c>
      <c s="21">
        <v>14083.994900000018</v>
      </c>
      <c s="20" t="s">
        <v>569</v>
      </c>
      <c s="21">
        <v>14453.233550000017</v>
      </c>
      <c s="20" t="s">
        <v>569</v>
      </c>
    </row>
    <row>
      <c s="22" t="s">
        <v>268</v>
      </c>
      <c s="22" t="s">
        <v>380</v>
      </c>
      <c s="22" t="s">
        <v>47</v>
      </c>
      <c s="21">
        <v>26698.166939999999</v>
      </c>
      <c s="20" t="s">
        <v>569</v>
      </c>
      <c s="21">
        <v>26070.500179999999</v>
      </c>
      <c s="20" t="s">
        <v>569</v>
      </c>
      <c s="21">
        <v>26104.666700000002</v>
      </c>
      <c s="20" t="s">
        <v>569</v>
      </c>
    </row>
    <row>
      <c s="22" t="s">
        <v>84</v>
      </c>
      <c s="22" t="s">
        <v>528</v>
      </c>
      <c s="22" t="s">
        <v>455</v>
      </c>
      <c s="21">
        <v>14153.581149999998</v>
      </c>
      <c s="20" t="s">
        <v>569</v>
      </c>
      <c s="21">
        <v>14118.185750000001</v>
      </c>
      <c s="20" t="s">
        <v>569</v>
      </c>
      <c s="21">
        <v>14374.358550000001</v>
      </c>
      <c s="20" t="s">
        <v>569</v>
      </c>
    </row>
    <row>
      <c s="22" t="s">
        <v>82</v>
      </c>
      <c s="22" t="s">
        <v>88</v>
      </c>
      <c s="22" t="s">
        <v>82</v>
      </c>
      <c s="21">
        <v>2793</v>
      </c>
      <c s="20" t="s">
        <v>569</v>
      </c>
      <c s="21">
        <v>3006</v>
      </c>
      <c s="20" t="s">
        <v>569</v>
      </c>
      <c s="21">
        <v>3278</v>
      </c>
      <c s="20" t="s">
        <v>569</v>
      </c>
      <c r="M30" s="12"/>
      <c s="12"/>
      <c s="12"/>
    </row>
    <row>
      <c s="22" t="s">
        <v>340</v>
      </c>
      <c s="22" t="s">
        <v>264</v>
      </c>
      <c s="22" t="s">
        <v>527</v>
      </c>
      <c s="21">
        <v>10538.406530000011</v>
      </c>
      <c s="20" t="s">
        <v>569</v>
      </c>
      <c s="21">
        <v>10294.669910000001</v>
      </c>
      <c s="20" t="s">
        <v>569</v>
      </c>
      <c s="21">
        <v>10200.806650000002</v>
      </c>
      <c s="20" t="s">
        <v>569</v>
      </c>
      <c r="M31" s="12"/>
      <c s="12"/>
      <c s="12"/>
    </row>
    <row>
      <c s="22" t="s">
        <v>267</v>
      </c>
      <c s="22" t="s">
        <v>418</v>
      </c>
      <c s="22" t="s">
        <v>195</v>
      </c>
      <c s="21">
        <v>2183.9400000000001</v>
      </c>
      <c s="20" t="s">
        <v>569</v>
      </c>
      <c s="21">
        <v>2162.8899999999999</v>
      </c>
      <c s="20" t="s">
        <v>569</v>
      </c>
      <c s="21">
        <v>2140.4600000000009</v>
      </c>
      <c s="20" t="s">
        <v>569</v>
      </c>
      <c r="M32" s="12"/>
      <c s="12"/>
      <c s="12"/>
    </row>
    <row>
      <c s="22" t="s">
        <v>384</v>
      </c>
      <c s="22" t="s">
        <v>566</v>
      </c>
      <c s="22" t="s">
        <v>570</v>
      </c>
      <c s="21">
        <v>22351</v>
      </c>
      <c s="20" t="s">
        <v>569</v>
      </c>
      <c s="21">
        <v>21724</v>
      </c>
      <c s="20" t="s">
        <v>569</v>
      </c>
      <c s="21">
        <v>21699</v>
      </c>
      <c s="20" t="s">
        <v>569</v>
      </c>
      <c r="M33" s="12"/>
      <c s="49"/>
      <c s="12"/>
    </row>
    <row>
      <c s="22" t="s">
        <v>522</v>
      </c>
      <c s="22" t="s">
        <v>124</v>
      </c>
      <c s="22" t="s">
        <v>522</v>
      </c>
      <c s="21">
        <v>21541.917200000113</v>
      </c>
      <c s="20" t="s">
        <v>569</v>
      </c>
      <c s="21">
        <v>20736.365050000048</v>
      </c>
      <c s="20" t="s">
        <v>569</v>
      </c>
      <c s="21">
        <v>20892.181350000024</v>
      </c>
      <c s="20" t="s">
        <v>569</v>
      </c>
      <c r="M34" s="12"/>
      <c s="12"/>
      <c s="12"/>
    </row>
    <row>
      <c s="22" t="s">
        <v>524</v>
      </c>
      <c s="22" t="s">
        <v>263</v>
      </c>
      <c s="22" t="s">
        <v>524</v>
      </c>
      <c s="21">
        <v>8013.1022500000026</v>
      </c>
      <c s="20" t="s">
        <v>569</v>
      </c>
      <c s="21">
        <v>7838.4377999999979</v>
      </c>
      <c s="20" t="s">
        <v>569</v>
      </c>
      <c s="21">
        <v>8049.5974000000324</v>
      </c>
      <c s="20" t="s">
        <v>569</v>
      </c>
      <c r="M35" s="12"/>
      <c s="12"/>
      <c s="12"/>
    </row>
    <row>
      <c s="22" t="s">
        <v>123</v>
      </c>
      <c s="22" t="s">
        <v>164</v>
      </c>
      <c s="22" t="s">
        <v>83</v>
      </c>
      <c s="21">
        <v>1935</v>
      </c>
      <c s="20" t="s">
        <v>569</v>
      </c>
      <c s="21">
        <v>1878</v>
      </c>
      <c s="20" t="s">
        <v>569</v>
      </c>
      <c s="21">
        <v>1801.5</v>
      </c>
      <c s="20" t="s">
        <v>569</v>
      </c>
    </row>
    <row>
      <c s="22" t="s">
        <v>310</v>
      </c>
      <c s="22" t="s">
        <v>311</v>
      </c>
      <c s="22" t="s">
        <v>416</v>
      </c>
      <c s="21">
        <v>2795</v>
      </c>
      <c s="20" t="s">
        <v>569</v>
      </c>
      <c s="21">
        <v>2740</v>
      </c>
      <c s="20" t="s">
        <v>569</v>
      </c>
      <c s="21">
        <v>2711.1300000000001</v>
      </c>
      <c s="20" t="s">
        <v>569</v>
      </c>
    </row>
    <row>
      <c s="22" t="s">
        <v>196</v>
      </c>
      <c s="22" t="s">
        <v>456</v>
      </c>
      <c s="22" t="s">
        <v>564</v>
      </c>
      <c s="21">
        <v>1636.3520500000002</v>
      </c>
      <c s="20" t="s">
        <v>569</v>
      </c>
      <c s="21">
        <v>1562.7469999999996</v>
      </c>
      <c s="20" t="s">
        <v>569</v>
      </c>
      <c s="21">
        <v>1546.712500000001</v>
      </c>
      <c s="20" t="s">
        <v>569</v>
      </c>
    </row>
    <row>
      <c s="22" t="s">
        <v>128</v>
      </c>
      <c s="22" t="s">
        <v>7</v>
      </c>
      <c s="22" t="s">
        <v>236</v>
      </c>
      <c s="21">
        <v>1700.60655</v>
      </c>
      <c s="20" t="s">
        <v>569</v>
      </c>
      <c s="21">
        <v>1673.5375500000002</v>
      </c>
      <c s="20" t="s">
        <v>569</v>
      </c>
      <c s="21">
        <v>1737.1865000000003</v>
      </c>
      <c s="20" t="s">
        <v>569</v>
      </c>
    </row>
    <row>
      <c s="22" t="s">
        <v>417</v>
      </c>
      <c s="22" t="s">
        <v>168</v>
      </c>
      <c s="22" t="s">
        <v>308</v>
      </c>
      <c s="21">
        <v>1368.5524000000003</v>
      </c>
      <c s="20" t="s">
        <v>569</v>
      </c>
      <c s="21">
        <v>1295.4993000000002</v>
      </c>
      <c s="20" t="s">
        <v>569</v>
      </c>
      <c s="21">
        <v>1217.9721499999996</v>
      </c>
      <c s="20" t="s">
        <v>569</v>
      </c>
    </row>
    <row>
      <c s="22" t="s">
        <v>235</v>
      </c>
      <c s="22" t="s">
        <v>5</v>
      </c>
      <c s="22" t="s">
        <v>192</v>
      </c>
      <c s="21">
        <v>1630</v>
      </c>
      <c s="20" t="s">
        <v>569</v>
      </c>
      <c s="21">
        <v>1572</v>
      </c>
      <c s="20" t="s">
        <v>569</v>
      </c>
      <c s="21">
        <v>1513.5</v>
      </c>
      <c s="20" t="s">
        <v>569</v>
      </c>
    </row>
    <row>
      <c s="22" t="s">
        <v>165</v>
      </c>
      <c s="22" t="s">
        <v>420</v>
      </c>
      <c s="22" t="s">
        <v>262</v>
      </c>
      <c s="21">
        <v>37</v>
      </c>
      <c s="20" t="s">
        <v>569</v>
      </c>
      <c s="21">
        <v>30</v>
      </c>
      <c s="20" t="s">
        <v>569</v>
      </c>
      <c s="21">
        <v>22</v>
      </c>
      <c s="20" t="s">
        <v>569</v>
      </c>
    </row>
    <row ht="14.45" customHeight="1">
      <c s="22" t="s">
        <v>445</v>
      </c>
      <c s="22" t="s">
        <v>54</v>
      </c>
      <c s="22" t="s">
        <v>234</v>
      </c>
      <c s="21">
        <v>12</v>
      </c>
      <c s="20" t="s">
        <v>193</v>
      </c>
      <c s="21">
        <v>0</v>
      </c>
      <c s="20" t="s">
        <v>193</v>
      </c>
      <c s="21">
        <v>0</v>
      </c>
      <c s="20" t="s">
        <v>193</v>
      </c>
    </row>
    <row ht="14.45" customHeight="1">
      <c s="22" t="s">
        <v>127</v>
      </c>
      <c s="22" t="s">
        <v>127</v>
      </c>
      <c s="22" t="s">
        <v>127</v>
      </c>
      <c s="21">
        <v>293046.41584999987</v>
      </c>
      <c s="20" t="s">
        <v>8</v>
      </c>
      <c s="21">
        <v>293164.7405999999</v>
      </c>
      <c s="20" t="s">
        <v>8</v>
      </c>
      <c s="21">
        <v>296176.79130000016</v>
      </c>
      <c s="20" t="s">
        <v>8</v>
      </c>
    </row>
    <row ht="14.45" customHeight="1">
      <c/>
    </row>
    <row ht="14.45" customHeight="1">
      <c/>
    </row>
    <row ht="14.45" customHeight="1">
      <c/>
    </row>
    <row ht="14.45" customHeight="1">
      <c/>
    </row>
    <row ht="14.45" customHeight="1">
      <c/>
    </row>
    <row>
      <c s="51"/>
      <c r="D50" s="27"/>
      <c r="F50" s="27"/>
      <c r="H50" s="27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68"/>
      <c s="3"/>
      <c s="3"/>
      <c s="3"/>
      <c s="3"/>
      <c s="3"/>
      <c s="3"/>
      <c s="3"/>
      <c s="3"/>
      <c s="3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4">
    <mergeCell ref="A4:D4"/>
    <mergeCell ref="A6:H6"/>
    <mergeCell ref="A7:H7"/>
    <mergeCell ref="D19:I19"/>
  </mergeCells>
  <pageMargins left="0.70866141732283472" right="0.70866141732283472" top="0.78740157480314965" bottom="0.78740157480314965" header="0.31496062992125984" footer="0.31496062992125984"/>
  <pageSetup paperSize="9" scale="76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P729"/>
  <sheetViews>
    <sheetView workbookViewId="0"/>
  </sheetViews>
  <sheetFormatPr defaultColWidth="11.42578125" defaultRowHeight="15"/>
  <cols>
    <col min="1" max="1" width="42.28515625" bestFit="1" customWidth="1"/>
    <col min="2" max="2" width="12.28515625" bestFit="1" customWidth="1"/>
    <col min="3" max="3" width="13.85546875" bestFit="1" customWidth="1"/>
  </cols>
  <sheetData>
    <row ht="14.95">
      <c t="s">
        <v>197</v>
      </c>
      <c t="s">
        <v>126</v>
      </c>
      <c t="s">
        <v>494</v>
      </c>
      <c r="I1" t="s">
        <v>337</v>
      </c>
      <c t="s">
        <v>170</v>
      </c>
      <c t="s">
        <v>11</v>
      </c>
      <c r="N1" t="s">
        <v>337</v>
      </c>
      <c t="s">
        <v>170</v>
      </c>
      <c t="s">
        <v>11</v>
      </c>
    </row>
    <row ht="14.95">
      <c t="s">
        <v>271</v>
      </c>
      <c>
        <v>317</v>
      </c>
      <c>
        <v>12576</v>
      </c>
      <c r="H2" s="42" t="s">
        <v>269</v>
      </c>
      <c>
        <f t="shared" si="0" ref="I2:I23">SUMIF($A$2:$A$1000,H2&amp;" Wintersemester 2024 (Stichtag: 28.02.2025)",$C$2:$C$1000)</f>
        <v>77166</v>
      </c>
      <c>
        <f t="shared" si="1" ref="J2:J23">SUMIF($A$2:$A$1000,H2&amp;" Wintersemester 2023 (Stichtag: 28.02.2024)",$C$2:$C$1000)</f>
        <v>73761</v>
      </c>
      <c>
        <f t="shared" si="2" ref="K2:K23">SUMIF($A$2:$A$1000,H2&amp;" Wintersemester 2022 (Stichtag: 28.02.2023)",$C$2:$C$1000)</f>
        <v>70282</v>
      </c>
      <c r="N2">
        <v>26570</v>
      </c>
      <c>
        <v>26570</v>
      </c>
      <c>
        <v>26570</v>
      </c>
    </row>
    <row ht="14.95">
      <c t="s">
        <v>12</v>
      </c>
      <c>
        <v>317</v>
      </c>
      <c>
        <v>11592</v>
      </c>
      <c r="H3" s="53" t="s">
        <v>457</v>
      </c>
      <c>
        <f t="shared" si="0"/>
        <v>77265</v>
      </c>
      <c>
        <f t="shared" si="1"/>
        <v>73803</v>
      </c>
      <c>
        <f t="shared" si="2"/>
        <v>71269</v>
      </c>
      <c r="N3">
        <v>26570</v>
      </c>
      <c>
        <v>26570</v>
      </c>
      <c>
        <v>26570</v>
      </c>
    </row>
    <row ht="14.95">
      <c t="s">
        <v>346</v>
      </c>
      <c>
        <v>317</v>
      </c>
      <c>
        <v>16160</v>
      </c>
      <c r="H4" s="53" t="s">
        <v>9</v>
      </c>
      <c>
        <f t="shared" si="0"/>
        <v>76889</v>
      </c>
      <c>
        <f t="shared" si="1"/>
        <v>73483</v>
      </c>
      <c>
        <f t="shared" si="2"/>
        <v>70199</v>
      </c>
      <c r="N4">
        <v>26570</v>
      </c>
      <c>
        <v>26570</v>
      </c>
      <c>
        <v>26570</v>
      </c>
    </row>
    <row ht="14.95">
      <c t="s">
        <v>13</v>
      </c>
      <c>
        <v>317</v>
      </c>
      <c>
        <v>18651</v>
      </c>
      <c r="H5" s="53" t="s">
        <v>496</v>
      </c>
      <c>
        <f t="shared" si="0"/>
        <v>76766</v>
      </c>
      <c>
        <f t="shared" si="1"/>
        <v>73189</v>
      </c>
      <c>
        <f t="shared" si="2"/>
        <v>70163</v>
      </c>
      <c r="N5">
        <v>26570</v>
      </c>
      <c>
        <v>26570</v>
      </c>
      <c>
        <v>26570</v>
      </c>
    </row>
    <row ht="14.95">
      <c t="s">
        <v>171</v>
      </c>
      <c>
        <v>2657</v>
      </c>
      <c>
        <v>22673</v>
      </c>
      <c r="H6" s="53" t="s">
        <v>51</v>
      </c>
      <c>
        <f t="shared" si="0"/>
        <v>77402</v>
      </c>
      <c>
        <f t="shared" si="1"/>
        <v>74030</v>
      </c>
      <c>
        <f t="shared" si="2"/>
        <v>70315</v>
      </c>
      <c r="N6">
        <v>26570</v>
      </c>
      <c>
        <v>26570</v>
      </c>
      <c>
        <v>26570</v>
      </c>
    </row>
    <row ht="14.95">
      <c t="s">
        <v>500</v>
      </c>
      <c>
        <v>2657</v>
      </c>
      <c>
        <v>25579</v>
      </c>
      <c r="H7" s="53" t="s">
        <v>342</v>
      </c>
      <c>
        <f t="shared" si="0"/>
        <v>77318</v>
      </c>
      <c>
        <f t="shared" si="1"/>
        <v>74025</v>
      </c>
      <c>
        <f t="shared" si="2"/>
        <v>70636</v>
      </c>
      <c r="N7">
        <v>26570</v>
      </c>
      <c>
        <v>26570</v>
      </c>
      <c>
        <v>26570</v>
      </c>
    </row>
    <row ht="14.95">
      <c t="s">
        <v>241</v>
      </c>
      <c>
        <v>2657</v>
      </c>
      <c>
        <v>28439</v>
      </c>
      <c r="H8" s="53" t="str">
        <f>CONCATENATE("U","D")</f>
        <v>UD</v>
      </c>
      <c>
        <f t="shared" si="0"/>
        <v>76932</v>
      </c>
      <c>
        <f t="shared" si="1"/>
        <v>73570</v>
      </c>
      <c>
        <f t="shared" si="2"/>
        <v>70250</v>
      </c>
      <c r="N8">
        <v>26570</v>
      </c>
      <c>
        <v>26570</v>
      </c>
      <c>
        <v>26570</v>
      </c>
    </row>
    <row ht="14.95">
      <c t="s">
        <v>573</v>
      </c>
      <c>
        <v>2657</v>
      </c>
      <c>
        <v>41059</v>
      </c>
      <c r="H9" s="53" t="s">
        <v>312</v>
      </c>
      <c>
        <f t="shared" si="0"/>
        <v>77199</v>
      </c>
      <c>
        <f t="shared" si="1"/>
        <v>73772</v>
      </c>
      <c>
        <f t="shared" si="2"/>
        <v>70689</v>
      </c>
      <c r="N9">
        <v>26570</v>
      </c>
      <c>
        <v>26570</v>
      </c>
      <c>
        <v>26570</v>
      </c>
    </row>
    <row ht="14.95">
      <c t="s">
        <v>315</v>
      </c>
      <c>
        <v>2657</v>
      </c>
      <c>
        <v>42878</v>
      </c>
      <c r="H10" s="53" t="s">
        <v>458</v>
      </c>
      <c>
        <f t="shared" si="0"/>
        <v>77016</v>
      </c>
      <c>
        <f t="shared" si="1"/>
        <v>73592</v>
      </c>
      <c>
        <f t="shared" si="2"/>
        <v>70320</v>
      </c>
      <c r="N10">
        <v>26570</v>
      </c>
      <c>
        <v>26570</v>
      </c>
      <c>
        <v>26570</v>
      </c>
    </row>
    <row ht="14.95">
      <c t="s">
        <v>56</v>
      </c>
      <c>
        <v>2657</v>
      </c>
      <c>
        <v>45004</v>
      </c>
      <c r="H11" s="53" t="s">
        <v>10</v>
      </c>
      <c>
        <f t="shared" si="0"/>
        <v>77381</v>
      </c>
      <c>
        <f t="shared" si="1"/>
        <v>73968</v>
      </c>
      <c>
        <f t="shared" si="2"/>
        <v>70794</v>
      </c>
      <c r="N11">
        <v>26570</v>
      </c>
      <c>
        <v>26570</v>
      </c>
      <c>
        <v>26570</v>
      </c>
    </row>
    <row ht="14.95">
      <c t="s">
        <v>387</v>
      </c>
      <c>
        <v>26570</v>
      </c>
      <c>
        <v>46023</v>
      </c>
      <c r="H12" s="53" t="s">
        <v>169</v>
      </c>
      <c>
        <f t="shared" si="0"/>
        <v>76803</v>
      </c>
      <c>
        <f t="shared" si="1"/>
        <v>74297</v>
      </c>
      <c>
        <f t="shared" si="2"/>
        <v>70678</v>
      </c>
      <c r="N12">
        <v>26570</v>
      </c>
      <c>
        <v>26570</v>
      </c>
      <c>
        <v>26570</v>
      </c>
    </row>
    <row ht="14.95">
      <c t="s">
        <v>129</v>
      </c>
      <c>
        <v>26570</v>
      </c>
      <c>
        <v>48927</v>
      </c>
      <c r="H13" s="53" t="s">
        <v>313</v>
      </c>
      <c>
        <f t="shared" si="0"/>
        <v>77079</v>
      </c>
      <c>
        <f t="shared" si="1"/>
        <v>73264</v>
      </c>
      <c>
        <f t="shared" si="2"/>
        <v>70347</v>
      </c>
      <c r="N13">
        <v>26570</v>
      </c>
      <c>
        <v>26570</v>
      </c>
      <c>
        <v>26570</v>
      </c>
    </row>
    <row ht="14.95">
      <c t="s">
        <v>460</v>
      </c>
      <c>
        <v>26570</v>
      </c>
      <c>
        <v>53449</v>
      </c>
      <c r="H14" s="53" t="s">
        <v>459</v>
      </c>
      <c>
        <f t="shared" si="0"/>
        <v>77141</v>
      </c>
      <c>
        <f t="shared" si="1"/>
        <v>73795</v>
      </c>
      <c>
        <f t="shared" si="2"/>
        <v>70929</v>
      </c>
      <c r="N14">
        <v>26570</v>
      </c>
      <c>
        <v>26570</v>
      </c>
      <c>
        <v>26570</v>
      </c>
    </row>
    <row ht="14.95">
      <c t="s">
        <v>130</v>
      </c>
      <c>
        <v>26570</v>
      </c>
      <c>
        <v>57766</v>
      </c>
      <c r="H15" s="53" t="s">
        <v>52</v>
      </c>
      <c>
        <f t="shared" si="0"/>
        <v>76835</v>
      </c>
      <c>
        <f t="shared" si="1"/>
        <v>73386</v>
      </c>
      <c>
        <f t="shared" si="2"/>
        <v>69975</v>
      </c>
      <c r="N15">
        <v>26570</v>
      </c>
      <c>
        <v>26570</v>
      </c>
      <c>
        <v>26570</v>
      </c>
    </row>
    <row ht="14.95">
      <c t="s">
        <v>272</v>
      </c>
      <c>
        <v>26570</v>
      </c>
      <c>
        <v>65511</v>
      </c>
      <c r="H16" s="53" t="s">
        <v>199</v>
      </c>
      <c>
        <f t="shared" si="0"/>
        <v>77114</v>
      </c>
      <c>
        <f t="shared" si="1"/>
        <v>73709</v>
      </c>
      <c>
        <f t="shared" si="2"/>
        <v>70781</v>
      </c>
      <c r="N16">
        <v>26570</v>
      </c>
      <c>
        <v>26570</v>
      </c>
      <c>
        <v>26570</v>
      </c>
    </row>
    <row ht="14.95">
      <c t="s">
        <v>14</v>
      </c>
      <c>
        <v>26570</v>
      </c>
      <c>
        <v>67822</v>
      </c>
      <c r="H17" s="53" t="s">
        <v>53</v>
      </c>
      <c>
        <f t="shared" si="0"/>
        <v>78474</v>
      </c>
      <c>
        <f t="shared" si="1"/>
        <v>75361</v>
      </c>
      <c>
        <f t="shared" si="2"/>
        <v>70437</v>
      </c>
      <c r="N17">
        <v>26570</v>
      </c>
      <c>
        <v>26570</v>
      </c>
      <c>
        <v>26570</v>
      </c>
    </row>
    <row ht="14.95">
      <c t="s">
        <v>347</v>
      </c>
      <c>
        <v>26570</v>
      </c>
      <c>
        <v>70282</v>
      </c>
      <c r="H18" s="53" t="s">
        <v>237</v>
      </c>
      <c>
        <f t="shared" si="0"/>
        <v>78402</v>
      </c>
      <c>
        <f t="shared" si="1"/>
        <v>74079</v>
      </c>
      <c>
        <f t="shared" si="2"/>
        <v>70901</v>
      </c>
      <c r="N18">
        <v>26570</v>
      </c>
      <c>
        <v>26570</v>
      </c>
      <c>
        <v>26570</v>
      </c>
    </row>
    <row ht="14.95">
      <c t="s">
        <v>92</v>
      </c>
      <c>
        <v>26570</v>
      </c>
      <c>
        <v>73761</v>
      </c>
      <c r="H19" s="53" t="s">
        <v>385</v>
      </c>
      <c>
        <f t="shared" si="0"/>
        <v>77039</v>
      </c>
      <c>
        <f t="shared" si="1"/>
        <v>73630</v>
      </c>
      <c>
        <f t="shared" si="2"/>
        <v>70589</v>
      </c>
      <c r="N19">
        <v>26570</v>
      </c>
      <c>
        <v>26570</v>
      </c>
      <c>
        <v>26570</v>
      </c>
    </row>
    <row ht="14.95">
      <c t="s">
        <v>421</v>
      </c>
      <c>
        <v>26570</v>
      </c>
      <c>
        <v>77166</v>
      </c>
      <c r="H20" s="53" t="s">
        <v>529</v>
      </c>
      <c>
        <f t="shared" si="0"/>
        <v>78096</v>
      </c>
      <c>
        <f t="shared" si="1"/>
        <v>73933</v>
      </c>
      <c>
        <f t="shared" si="2"/>
        <v>70867</v>
      </c>
      <c r="N20">
        <v>26570</v>
      </c>
      <c>
        <v>26570</v>
      </c>
      <c>
        <v>26570</v>
      </c>
    </row>
    <row ht="14.95">
      <c t="s">
        <v>348</v>
      </c>
      <c>
        <v>317</v>
      </c>
      <c>
        <v>13217</v>
      </c>
      <c r="H21" s="53" t="s">
        <v>90</v>
      </c>
      <c>
        <f t="shared" si="0"/>
        <v>77879</v>
      </c>
      <c>
        <f t="shared" si="1"/>
        <v>74594</v>
      </c>
      <c>
        <f t="shared" si="2"/>
        <v>70402</v>
      </c>
      <c r="N21">
        <v>26570</v>
      </c>
      <c>
        <v>26570</v>
      </c>
      <c>
        <v>26570</v>
      </c>
    </row>
    <row ht="14.95">
      <c t="s">
        <v>93</v>
      </c>
      <c>
        <v>317</v>
      </c>
      <c>
        <v>13223</v>
      </c>
      <c r="H22" s="53" t="s">
        <v>497</v>
      </c>
      <c>
        <f t="shared" si="0"/>
        <v>76865</v>
      </c>
      <c>
        <f t="shared" si="1"/>
        <v>73451</v>
      </c>
      <c>
        <f t="shared" si="2"/>
        <v>71339</v>
      </c>
      <c r="N22">
        <v>26570</v>
      </c>
      <c>
        <v>26570</v>
      </c>
      <c>
        <v>26570</v>
      </c>
    </row>
    <row ht="14.95">
      <c t="s">
        <v>422</v>
      </c>
      <c>
        <v>317</v>
      </c>
      <c>
        <v>16049</v>
      </c>
      <c r="H23" s="53" t="s">
        <v>343</v>
      </c>
      <c>
        <f t="shared" si="0"/>
        <v>77054</v>
      </c>
      <c>
        <f t="shared" si="1"/>
        <v>73689</v>
      </c>
      <c>
        <f t="shared" si="2"/>
        <v>70724</v>
      </c>
      <c r="N23">
        <v>26570</v>
      </c>
      <c>
        <v>26570</v>
      </c>
      <c>
        <v>26570</v>
      </c>
    </row>
    <row ht="14.95">
      <c t="s">
        <v>94</v>
      </c>
      <c>
        <v>317</v>
      </c>
      <c>
        <v>19139</v>
      </c>
    </row>
    <row ht="14.95">
      <c t="s">
        <v>242</v>
      </c>
      <c>
        <v>2657</v>
      </c>
      <c>
        <v>22066</v>
      </c>
    </row>
    <row ht="14.95">
      <c t="s">
        <v>574</v>
      </c>
      <c>
        <v>2657</v>
      </c>
      <c>
        <v>25566</v>
      </c>
    </row>
    <row ht="14.95">
      <c t="s">
        <v>316</v>
      </c>
      <c>
        <v>2657</v>
      </c>
      <c>
        <v>28478</v>
      </c>
    </row>
    <row ht="14.95">
      <c t="s">
        <v>57</v>
      </c>
      <c>
        <v>2657</v>
      </c>
      <c>
        <v>41581</v>
      </c>
    </row>
    <row ht="14.95">
      <c t="s">
        <v>388</v>
      </c>
      <c>
        <v>2657</v>
      </c>
      <c>
        <v>42617</v>
      </c>
    </row>
    <row ht="14.95">
      <c t="s">
        <v>131</v>
      </c>
      <c>
        <v>2657</v>
      </c>
      <c>
        <v>44986</v>
      </c>
    </row>
    <row ht="14.95">
      <c t="s">
        <v>461</v>
      </c>
      <c>
        <v>26570</v>
      </c>
      <c>
        <v>45953</v>
      </c>
    </row>
    <row ht="14.95">
      <c t="s">
        <v>200</v>
      </c>
      <c>
        <v>26570</v>
      </c>
      <c>
        <v>49506</v>
      </c>
    </row>
    <row ht="14.95">
      <c t="s">
        <v>530</v>
      </c>
      <c>
        <v>26570</v>
      </c>
      <c>
        <v>53265</v>
      </c>
    </row>
    <row ht="14.95">
      <c t="s">
        <v>201</v>
      </c>
      <c>
        <v>26570</v>
      </c>
      <c>
        <v>59574</v>
      </c>
    </row>
    <row ht="14.95">
      <c t="s">
        <v>349</v>
      </c>
      <c>
        <v>26570</v>
      </c>
      <c>
        <v>65420</v>
      </c>
    </row>
    <row ht="14.95">
      <c t="s">
        <v>95</v>
      </c>
      <c>
        <v>26570</v>
      </c>
      <c>
        <v>68038</v>
      </c>
    </row>
    <row ht="14.95">
      <c t="s">
        <v>423</v>
      </c>
      <c>
        <v>26570</v>
      </c>
      <c>
        <v>71269</v>
      </c>
    </row>
    <row ht="14.95">
      <c t="s">
        <v>172</v>
      </c>
      <c>
        <v>26570</v>
      </c>
      <c>
        <v>73803</v>
      </c>
    </row>
    <row ht="14.95">
      <c t="s">
        <v>501</v>
      </c>
      <c>
        <v>26570</v>
      </c>
      <c>
        <v>77265</v>
      </c>
    </row>
    <row ht="14.95">
      <c t="s">
        <v>424</v>
      </c>
      <c>
        <v>317</v>
      </c>
      <c>
        <v>8020</v>
      </c>
    </row>
    <row ht="14.95">
      <c t="s">
        <v>173</v>
      </c>
      <c>
        <v>317</v>
      </c>
      <c>
        <v>13165</v>
      </c>
    </row>
    <row ht="14.95">
      <c t="s">
        <v>502</v>
      </c>
      <c>
        <v>317</v>
      </c>
      <c>
        <v>16099</v>
      </c>
    </row>
    <row ht="14.95">
      <c t="s">
        <v>350</v>
      </c>
      <c>
        <v>2657</v>
      </c>
      <c>
        <v>21716</v>
      </c>
    </row>
    <row ht="14.95">
      <c t="s">
        <v>96</v>
      </c>
      <c>
        <v>2657</v>
      </c>
      <c>
        <v>24744</v>
      </c>
    </row>
    <row ht="14.95">
      <c t="s">
        <v>425</v>
      </c>
      <c>
        <v>2657</v>
      </c>
      <c>
        <v>28423</v>
      </c>
    </row>
    <row ht="14.95">
      <c t="s">
        <v>174</v>
      </c>
      <c>
        <v>2657</v>
      </c>
      <c>
        <v>40963</v>
      </c>
    </row>
    <row ht="14.95">
      <c t="s">
        <v>503</v>
      </c>
      <c>
        <v>2657</v>
      </c>
      <c>
        <v>42643</v>
      </c>
    </row>
    <row ht="14.95">
      <c t="s">
        <v>202</v>
      </c>
      <c>
        <v>2657</v>
      </c>
      <c>
        <v>44791</v>
      </c>
    </row>
    <row ht="14.95">
      <c t="s">
        <v>531</v>
      </c>
      <c>
        <v>26570</v>
      </c>
      <c>
        <v>46136</v>
      </c>
    </row>
    <row ht="14.95">
      <c t="s">
        <v>273</v>
      </c>
      <c>
        <v>26570</v>
      </c>
      <c>
        <v>49669</v>
      </c>
    </row>
    <row ht="14.95">
      <c t="s">
        <v>15</v>
      </c>
      <c>
        <v>26570</v>
      </c>
      <c>
        <v>53131</v>
      </c>
    </row>
    <row ht="14.95">
      <c t="s">
        <v>317</v>
      </c>
      <c>
        <v>26570</v>
      </c>
      <c>
        <v>57697</v>
      </c>
    </row>
    <row ht="14.95">
      <c t="s">
        <v>462</v>
      </c>
      <c>
        <v>26570</v>
      </c>
      <c>
        <v>65005</v>
      </c>
    </row>
    <row ht="14.95">
      <c t="s">
        <v>203</v>
      </c>
      <c>
        <v>26570</v>
      </c>
      <c>
        <v>67562</v>
      </c>
    </row>
    <row ht="14.95">
      <c t="s">
        <v>532</v>
      </c>
      <c>
        <v>26570</v>
      </c>
      <c>
        <v>70199</v>
      </c>
    </row>
    <row ht="14.95">
      <c t="s">
        <v>274</v>
      </c>
      <c>
        <v>26570</v>
      </c>
      <c>
        <v>73483</v>
      </c>
    </row>
    <row ht="14.95">
      <c t="s">
        <v>16</v>
      </c>
      <c>
        <v>26570</v>
      </c>
      <c>
        <v>76889</v>
      </c>
    </row>
    <row ht="14.95">
      <c t="s">
        <v>275</v>
      </c>
      <c>
        <v>317</v>
      </c>
      <c>
        <v>13234</v>
      </c>
    </row>
    <row ht="14.95">
      <c t="s">
        <v>17</v>
      </c>
      <c>
        <v>317</v>
      </c>
      <c>
        <v>18332</v>
      </c>
    </row>
    <row ht="14.95">
      <c t="s">
        <v>276</v>
      </c>
      <c>
        <v>317</v>
      </c>
      <c>
        <v>18973</v>
      </c>
    </row>
    <row ht="14.95">
      <c t="s">
        <v>426</v>
      </c>
      <c>
        <v>2657</v>
      </c>
      <c>
        <v>22744</v>
      </c>
    </row>
    <row ht="14.95">
      <c t="s">
        <v>175</v>
      </c>
      <c>
        <v>2657</v>
      </c>
      <c>
        <v>25189</v>
      </c>
    </row>
    <row ht="14.95">
      <c t="s">
        <v>504</v>
      </c>
      <c>
        <v>2657</v>
      </c>
      <c>
        <v>28978</v>
      </c>
    </row>
    <row ht="14.95">
      <c t="s">
        <v>243</v>
      </c>
      <c>
        <v>2657</v>
      </c>
      <c>
        <v>40941</v>
      </c>
    </row>
    <row ht="14.95">
      <c t="s">
        <v>575</v>
      </c>
      <c>
        <v>2657</v>
      </c>
      <c>
        <v>43362</v>
      </c>
    </row>
    <row ht="14.95">
      <c t="s">
        <v>318</v>
      </c>
      <c>
        <v>2657</v>
      </c>
      <c>
        <v>43998</v>
      </c>
    </row>
    <row ht="14.95">
      <c t="s">
        <v>58</v>
      </c>
      <c>
        <v>26570</v>
      </c>
      <c>
        <v>46591</v>
      </c>
    </row>
    <row ht="14.95">
      <c t="s">
        <v>389</v>
      </c>
      <c>
        <v>26570</v>
      </c>
      <c>
        <v>50872</v>
      </c>
    </row>
    <row ht="14.95">
      <c t="s">
        <v>132</v>
      </c>
      <c>
        <v>26570</v>
      </c>
      <c>
        <v>52580</v>
      </c>
    </row>
    <row ht="14.95">
      <c t="s">
        <v>390</v>
      </c>
      <c>
        <v>26570</v>
      </c>
      <c>
        <v>62113</v>
      </c>
    </row>
    <row ht="14.95">
      <c t="s">
        <v>533</v>
      </c>
      <c>
        <v>26570</v>
      </c>
      <c>
        <v>65269</v>
      </c>
    </row>
    <row ht="14.95">
      <c t="s">
        <v>277</v>
      </c>
      <c>
        <v>26570</v>
      </c>
      <c>
        <v>67955</v>
      </c>
    </row>
    <row ht="14.95">
      <c t="s">
        <v>18</v>
      </c>
      <c>
        <v>26570</v>
      </c>
      <c>
        <v>70250</v>
      </c>
    </row>
    <row ht="14.95">
      <c t="s">
        <v>351</v>
      </c>
      <c>
        <v>26570</v>
      </c>
      <c>
        <v>73570</v>
      </c>
    </row>
    <row ht="14.95">
      <c t="s">
        <v>97</v>
      </c>
      <c>
        <v>26570</v>
      </c>
      <c>
        <v>76932</v>
      </c>
    </row>
    <row ht="14.95">
      <c t="s">
        <v>19</v>
      </c>
      <c>
        <v>317</v>
      </c>
      <c>
        <v>14238</v>
      </c>
    </row>
    <row ht="14.95">
      <c t="s">
        <v>352</v>
      </c>
      <c>
        <v>317</v>
      </c>
      <c>
        <v>13488</v>
      </c>
    </row>
    <row ht="14.95">
      <c t="s">
        <v>98</v>
      </c>
      <c>
        <v>317</v>
      </c>
      <c>
        <v>16031</v>
      </c>
    </row>
    <row ht="14.95">
      <c t="s">
        <v>353</v>
      </c>
      <c>
        <v>317</v>
      </c>
      <c>
        <v>18616</v>
      </c>
    </row>
    <row ht="14.95">
      <c t="s">
        <v>505</v>
      </c>
      <c>
        <v>2657</v>
      </c>
      <c>
        <v>21640</v>
      </c>
    </row>
    <row ht="14.95">
      <c t="s">
        <v>244</v>
      </c>
      <c>
        <v>2657</v>
      </c>
      <c>
        <v>24954</v>
      </c>
    </row>
    <row ht="14.95">
      <c t="s">
        <v>576</v>
      </c>
      <c>
        <v>2657</v>
      </c>
      <c>
        <v>28413</v>
      </c>
    </row>
    <row ht="14.95">
      <c t="s">
        <v>319</v>
      </c>
      <c>
        <v>2657</v>
      </c>
      <c>
        <v>40896</v>
      </c>
    </row>
    <row ht="14.95">
      <c t="s">
        <v>59</v>
      </c>
      <c>
        <v>2657</v>
      </c>
      <c>
        <v>43486</v>
      </c>
    </row>
    <row ht="14.95">
      <c t="s">
        <v>391</v>
      </c>
      <c>
        <v>2657</v>
      </c>
      <c>
        <v>44953</v>
      </c>
    </row>
    <row ht="14.95">
      <c t="s">
        <v>133</v>
      </c>
      <c>
        <v>26570</v>
      </c>
      <c>
        <v>45966</v>
      </c>
    </row>
    <row ht="14.95">
      <c t="s">
        <v>463</v>
      </c>
      <c>
        <v>26570</v>
      </c>
      <c>
        <v>49057</v>
      </c>
    </row>
    <row ht="14.95">
      <c t="s">
        <v>204</v>
      </c>
      <c>
        <v>26570</v>
      </c>
      <c>
        <v>52549</v>
      </c>
    </row>
    <row ht="14.95">
      <c t="s">
        <v>464</v>
      </c>
      <c>
        <v>26570</v>
      </c>
      <c>
        <v>59598</v>
      </c>
    </row>
    <row ht="14.95">
      <c t="s">
        <v>20</v>
      </c>
      <c>
        <v>26570</v>
      </c>
      <c>
        <v>65433</v>
      </c>
    </row>
    <row ht="14.95">
      <c t="s">
        <v>354</v>
      </c>
      <c>
        <v>26570</v>
      </c>
      <c>
        <v>68005</v>
      </c>
    </row>
    <row ht="14.95">
      <c t="s">
        <v>99</v>
      </c>
      <c>
        <v>26570</v>
      </c>
      <c>
        <v>70689</v>
      </c>
    </row>
    <row ht="14.95">
      <c t="s">
        <v>427</v>
      </c>
      <c>
        <v>26570</v>
      </c>
      <c>
        <v>73772</v>
      </c>
    </row>
    <row ht="14.95">
      <c t="s">
        <v>176</v>
      </c>
      <c>
        <v>26570</v>
      </c>
      <c>
        <v>77199</v>
      </c>
    </row>
    <row ht="14.95">
      <c t="s">
        <v>100</v>
      </c>
      <c>
        <v>317</v>
      </c>
      <c>
        <v>4009</v>
      </c>
    </row>
    <row ht="14.95">
      <c t="s">
        <v>428</v>
      </c>
      <c>
        <v>317</v>
      </c>
      <c>
        <v>11074</v>
      </c>
    </row>
    <row ht="14.95">
      <c t="s">
        <v>177</v>
      </c>
      <c>
        <v>317</v>
      </c>
      <c>
        <v>15894</v>
      </c>
    </row>
    <row ht="14.95">
      <c t="s">
        <v>465</v>
      </c>
      <c>
        <v>317</v>
      </c>
      <c>
        <v>18516</v>
      </c>
    </row>
    <row ht="14.95">
      <c t="s">
        <v>21</v>
      </c>
      <c>
        <v>2657</v>
      </c>
      <c>
        <v>22659</v>
      </c>
    </row>
    <row ht="14.95">
      <c t="s">
        <v>355</v>
      </c>
      <c>
        <v>2657</v>
      </c>
      <c>
        <v>24830</v>
      </c>
    </row>
    <row ht="14.95">
      <c t="s">
        <v>101</v>
      </c>
      <c>
        <v>2657</v>
      </c>
      <c>
        <v>28912</v>
      </c>
    </row>
    <row ht="14.95">
      <c t="s">
        <v>429</v>
      </c>
      <c>
        <v>2657</v>
      </c>
      <c>
        <v>40843</v>
      </c>
    </row>
    <row ht="14.95">
      <c t="s">
        <v>178</v>
      </c>
      <c>
        <v>2657</v>
      </c>
      <c>
        <v>42745</v>
      </c>
    </row>
    <row ht="14.95">
      <c t="s">
        <v>466</v>
      </c>
      <c>
        <v>2657</v>
      </c>
      <c>
        <v>44948</v>
      </c>
    </row>
    <row ht="14.95">
      <c t="s">
        <v>205</v>
      </c>
      <c>
        <v>26570</v>
      </c>
      <c>
        <v>45850</v>
      </c>
    </row>
    <row ht="14.95">
      <c t="s">
        <v>534</v>
      </c>
      <c>
        <v>26570</v>
      </c>
      <c>
        <v>49137</v>
      </c>
    </row>
    <row ht="14.95">
      <c t="s">
        <v>278</v>
      </c>
      <c>
        <v>26570</v>
      </c>
      <c>
        <v>53212</v>
      </c>
    </row>
    <row ht="14.95">
      <c t="s">
        <v>577</v>
      </c>
      <c>
        <v>26570</v>
      </c>
      <c>
        <v>59713</v>
      </c>
    </row>
    <row ht="14.95">
      <c t="s">
        <v>134</v>
      </c>
      <c>
        <v>26570</v>
      </c>
      <c>
        <v>65242</v>
      </c>
    </row>
    <row ht="14.95">
      <c t="s">
        <v>467</v>
      </c>
      <c>
        <v>26570</v>
      </c>
      <c>
        <v>67730</v>
      </c>
    </row>
    <row ht="14.95">
      <c t="s">
        <v>206</v>
      </c>
      <c>
        <v>26570</v>
      </c>
      <c>
        <v>70320</v>
      </c>
    </row>
    <row ht="14.95">
      <c t="s">
        <v>535</v>
      </c>
      <c>
        <v>26570</v>
      </c>
      <c>
        <v>73592</v>
      </c>
    </row>
    <row ht="14.95">
      <c t="s">
        <v>279</v>
      </c>
      <c>
        <v>26570</v>
      </c>
      <c>
        <v>77016</v>
      </c>
    </row>
    <row ht="14.95">
      <c t="s">
        <v>207</v>
      </c>
      <c>
        <v>317</v>
      </c>
      <c>
        <v>13374</v>
      </c>
    </row>
    <row ht="14.95">
      <c t="s">
        <v>536</v>
      </c>
      <c>
        <v>317</v>
      </c>
      <c>
        <v>11534</v>
      </c>
    </row>
    <row ht="14.95">
      <c t="s">
        <v>280</v>
      </c>
      <c>
        <v>317</v>
      </c>
      <c>
        <v>16142</v>
      </c>
    </row>
    <row ht="14.95">
      <c t="s">
        <v>537</v>
      </c>
      <c>
        <v>317</v>
      </c>
      <c>
        <v>18626</v>
      </c>
    </row>
    <row ht="14.95">
      <c t="s">
        <v>102</v>
      </c>
      <c>
        <v>2657</v>
      </c>
      <c>
        <v>21619</v>
      </c>
    </row>
    <row ht="14.95">
      <c t="s">
        <v>430</v>
      </c>
      <c>
        <v>2657</v>
      </c>
      <c>
        <v>25197</v>
      </c>
    </row>
    <row ht="14.95">
      <c t="s">
        <v>179</v>
      </c>
      <c>
        <v>2657</v>
      </c>
      <c>
        <v>28486</v>
      </c>
    </row>
    <row ht="14.95">
      <c t="s">
        <v>506</v>
      </c>
      <c>
        <v>2657</v>
      </c>
      <c>
        <v>41210</v>
      </c>
    </row>
    <row ht="14.95">
      <c t="s">
        <v>245</v>
      </c>
      <c>
        <v>2657</v>
      </c>
      <c>
        <v>43495</v>
      </c>
    </row>
    <row ht="14.95">
      <c t="s">
        <v>578</v>
      </c>
      <c>
        <v>2657</v>
      </c>
      <c>
        <v>44434</v>
      </c>
    </row>
    <row ht="14.95">
      <c t="s">
        <v>320</v>
      </c>
      <c>
        <v>26570</v>
      </c>
      <c>
        <v>46611</v>
      </c>
    </row>
    <row ht="14.95">
      <c t="s">
        <v>60</v>
      </c>
      <c>
        <v>26570</v>
      </c>
      <c>
        <v>48646</v>
      </c>
    </row>
    <row ht="14.95">
      <c t="s">
        <v>392</v>
      </c>
      <c>
        <v>26570</v>
      </c>
      <c>
        <v>53809</v>
      </c>
    </row>
    <row ht="14.95">
      <c t="s">
        <v>61</v>
      </c>
      <c>
        <v>26570</v>
      </c>
      <c>
        <v>59665</v>
      </c>
    </row>
    <row ht="14.95">
      <c t="s">
        <v>208</v>
      </c>
      <c>
        <v>26570</v>
      </c>
      <c>
        <v>65361</v>
      </c>
    </row>
    <row ht="14.95">
      <c t="s">
        <v>538</v>
      </c>
      <c>
        <v>26570</v>
      </c>
      <c>
        <v>67716</v>
      </c>
    </row>
    <row ht="14.95">
      <c t="s">
        <v>281</v>
      </c>
      <c>
        <v>26570</v>
      </c>
      <c>
        <v>70794</v>
      </c>
    </row>
    <row ht="14.95">
      <c t="s">
        <v>22</v>
      </c>
      <c>
        <v>26570</v>
      </c>
      <c>
        <v>73968</v>
      </c>
    </row>
    <row ht="14.95">
      <c t="s">
        <v>356</v>
      </c>
      <c>
        <v>26570</v>
      </c>
      <c>
        <v>77381</v>
      </c>
    </row>
    <row ht="14.95">
      <c t="s">
        <v>282</v>
      </c>
      <c>
        <v>317</v>
      </c>
      <c>
        <v>4029</v>
      </c>
    </row>
    <row ht="14.95">
      <c t="s">
        <v>23</v>
      </c>
      <c>
        <v>317</v>
      </c>
      <c>
        <v>12645</v>
      </c>
    </row>
    <row ht="14.95">
      <c t="s">
        <v>357</v>
      </c>
      <c>
        <v>317</v>
      </c>
      <c>
        <v>15831</v>
      </c>
    </row>
    <row ht="14.95">
      <c t="s">
        <v>24</v>
      </c>
      <c>
        <v>317</v>
      </c>
      <c>
        <v>18482</v>
      </c>
    </row>
    <row ht="14.95">
      <c t="s">
        <v>180</v>
      </c>
      <c>
        <v>2657</v>
      </c>
      <c>
        <v>21730</v>
      </c>
    </row>
    <row ht="14.95">
      <c t="s">
        <v>507</v>
      </c>
      <c>
        <v>2657</v>
      </c>
      <c>
        <v>25019</v>
      </c>
    </row>
    <row ht="14.95">
      <c t="s">
        <v>246</v>
      </c>
      <c>
        <v>2657</v>
      </c>
      <c>
        <v>29032</v>
      </c>
    </row>
    <row ht="14.95">
      <c t="s">
        <v>579</v>
      </c>
      <c>
        <v>2657</v>
      </c>
      <c>
        <v>41636</v>
      </c>
    </row>
    <row ht="14.95">
      <c t="s">
        <v>321</v>
      </c>
      <c>
        <v>2657</v>
      </c>
      <c>
        <v>43458</v>
      </c>
    </row>
    <row ht="14.95">
      <c t="s">
        <v>62</v>
      </c>
      <c>
        <v>2657</v>
      </c>
      <c>
        <v>44851</v>
      </c>
    </row>
    <row ht="14.95">
      <c t="s">
        <v>393</v>
      </c>
      <c>
        <v>26570</v>
      </c>
      <c>
        <v>46233</v>
      </c>
    </row>
    <row ht="14.95">
      <c t="s">
        <v>135</v>
      </c>
      <c>
        <v>26570</v>
      </c>
      <c>
        <v>50809</v>
      </c>
    </row>
    <row ht="14.95">
      <c t="s">
        <v>468</v>
      </c>
      <c>
        <v>26570</v>
      </c>
      <c>
        <v>54848</v>
      </c>
    </row>
    <row ht="14.95">
      <c t="s">
        <v>136</v>
      </c>
      <c>
        <v>26570</v>
      </c>
      <c>
        <v>60246</v>
      </c>
    </row>
    <row ht="14.95">
      <c t="s">
        <v>283</v>
      </c>
      <c>
        <v>26570</v>
      </c>
      <c>
        <v>65598</v>
      </c>
    </row>
    <row ht="14.95">
      <c t="s">
        <v>25</v>
      </c>
      <c>
        <v>26570</v>
      </c>
      <c>
        <v>68588</v>
      </c>
    </row>
    <row ht="14.95">
      <c t="s">
        <v>358</v>
      </c>
      <c>
        <v>26570</v>
      </c>
      <c>
        <v>70678</v>
      </c>
    </row>
    <row ht="14.95">
      <c t="s">
        <v>103</v>
      </c>
      <c>
        <v>26570</v>
      </c>
      <c>
        <v>74297</v>
      </c>
    </row>
    <row ht="14.95">
      <c t="s">
        <v>431</v>
      </c>
      <c>
        <v>26570</v>
      </c>
      <c>
        <v>76803</v>
      </c>
    </row>
    <row ht="14.95">
      <c t="s">
        <v>359</v>
      </c>
      <c>
        <v>317</v>
      </c>
      <c>
        <v>13498</v>
      </c>
    </row>
    <row ht="14.95">
      <c t="s">
        <v>104</v>
      </c>
      <c>
        <v>317</v>
      </c>
      <c>
        <v>12764</v>
      </c>
    </row>
    <row ht="14.95">
      <c t="s">
        <v>432</v>
      </c>
      <c>
        <v>317</v>
      </c>
      <c>
        <v>16195</v>
      </c>
    </row>
    <row ht="14.95">
      <c t="s">
        <v>137</v>
      </c>
      <c>
        <v>317</v>
      </c>
      <c>
        <v>19851</v>
      </c>
    </row>
    <row ht="14.95">
      <c t="s">
        <v>284</v>
      </c>
      <c>
        <v>2657</v>
      </c>
      <c>
        <v>21568</v>
      </c>
    </row>
    <row ht="14.95">
      <c t="s">
        <v>26</v>
      </c>
      <c>
        <v>2657</v>
      </c>
      <c>
        <v>24881</v>
      </c>
    </row>
    <row ht="14.95">
      <c t="s">
        <v>360</v>
      </c>
      <c>
        <v>2657</v>
      </c>
      <c>
        <v>28315</v>
      </c>
    </row>
    <row ht="14.95">
      <c t="s">
        <v>105</v>
      </c>
      <c>
        <v>2657</v>
      </c>
      <c>
        <v>40755</v>
      </c>
    </row>
    <row ht="14.95">
      <c t="s">
        <v>433</v>
      </c>
      <c>
        <v>2657</v>
      </c>
      <c>
        <v>42532</v>
      </c>
    </row>
    <row ht="14.95">
      <c t="s">
        <v>138</v>
      </c>
      <c>
        <v>2657</v>
      </c>
      <c>
        <v>43873</v>
      </c>
    </row>
    <row ht="14.95">
      <c t="s">
        <v>469</v>
      </c>
      <c>
        <v>26570</v>
      </c>
      <c>
        <v>45562</v>
      </c>
    </row>
    <row ht="14.95">
      <c t="s">
        <v>209</v>
      </c>
      <c>
        <v>26570</v>
      </c>
      <c>
        <v>48199</v>
      </c>
    </row>
    <row ht="14.95">
      <c t="s">
        <v>539</v>
      </c>
      <c>
        <v>26570</v>
      </c>
      <c>
        <v>52182</v>
      </c>
    </row>
    <row ht="14.95">
      <c t="s">
        <v>247</v>
      </c>
      <c>
        <v>26570</v>
      </c>
      <c>
        <v>56955</v>
      </c>
    </row>
    <row ht="14.95">
      <c t="s">
        <v>394</v>
      </c>
      <c>
        <v>26570</v>
      </c>
      <c>
        <v>64966</v>
      </c>
    </row>
    <row ht="14.95">
      <c t="s">
        <v>139</v>
      </c>
      <c>
        <v>26570</v>
      </c>
      <c>
        <v>67661</v>
      </c>
    </row>
    <row ht="14.95">
      <c t="s">
        <v>470</v>
      </c>
      <c>
        <v>26570</v>
      </c>
      <c>
        <v>70347</v>
      </c>
    </row>
    <row ht="14.95">
      <c t="s">
        <v>210</v>
      </c>
      <c>
        <v>26570</v>
      </c>
      <c>
        <v>73264</v>
      </c>
    </row>
    <row ht="14.95">
      <c t="s">
        <v>540</v>
      </c>
      <c>
        <v>26570</v>
      </c>
      <c>
        <v>77079</v>
      </c>
    </row>
    <row ht="14.95">
      <c t="s">
        <v>471</v>
      </c>
      <c>
        <v>317</v>
      </c>
      <c>
        <v>3563</v>
      </c>
    </row>
    <row ht="14.95">
      <c t="s">
        <v>211</v>
      </c>
      <c>
        <v>317</v>
      </c>
      <c>
        <v>11493</v>
      </c>
    </row>
    <row ht="14.95">
      <c t="s">
        <v>541</v>
      </c>
      <c>
        <v>317</v>
      </c>
      <c>
        <v>16060</v>
      </c>
    </row>
    <row ht="14.95">
      <c t="s">
        <v>212</v>
      </c>
      <c>
        <v>317</v>
      </c>
      <c>
        <v>18570</v>
      </c>
    </row>
    <row ht="14.95">
      <c t="s">
        <v>361</v>
      </c>
      <c>
        <v>2657</v>
      </c>
      <c>
        <v>22028</v>
      </c>
    </row>
    <row ht="14.95">
      <c t="s">
        <v>106</v>
      </c>
      <c>
        <v>2657</v>
      </c>
      <c>
        <v>24949</v>
      </c>
    </row>
    <row ht="14.95">
      <c t="s">
        <v>434</v>
      </c>
      <c>
        <v>2657</v>
      </c>
      <c>
        <v>28301</v>
      </c>
    </row>
    <row ht="14.95">
      <c t="s">
        <v>181</v>
      </c>
      <c>
        <v>2657</v>
      </c>
      <c>
        <v>40927</v>
      </c>
    </row>
    <row ht="14.95">
      <c t="s">
        <v>508</v>
      </c>
      <c>
        <v>2657</v>
      </c>
      <c>
        <v>42426</v>
      </c>
    </row>
    <row ht="14.95">
      <c t="s">
        <v>248</v>
      </c>
      <c>
        <v>2657</v>
      </c>
      <c>
        <v>44874</v>
      </c>
    </row>
    <row ht="14.95">
      <c t="s">
        <v>580</v>
      </c>
      <c>
        <v>26570</v>
      </c>
      <c>
        <v>46005</v>
      </c>
    </row>
    <row ht="14.95">
      <c t="s">
        <v>322</v>
      </c>
      <c>
        <v>26570</v>
      </c>
      <c>
        <v>49273</v>
      </c>
    </row>
    <row ht="14.95">
      <c t="s">
        <v>63</v>
      </c>
      <c>
        <v>26570</v>
      </c>
      <c>
        <v>52365</v>
      </c>
    </row>
    <row ht="14.95">
      <c t="s">
        <v>323</v>
      </c>
      <c>
        <v>26570</v>
      </c>
      <c>
        <v>59529</v>
      </c>
    </row>
    <row ht="14.95">
      <c t="s">
        <v>472</v>
      </c>
      <c>
        <v>26570</v>
      </c>
      <c>
        <v>65227</v>
      </c>
    </row>
    <row ht="14.95">
      <c t="s">
        <v>213</v>
      </c>
      <c>
        <v>26570</v>
      </c>
      <c>
        <v>67689</v>
      </c>
    </row>
    <row ht="14.95">
      <c t="s">
        <v>542</v>
      </c>
      <c>
        <v>26570</v>
      </c>
      <c>
        <v>70929</v>
      </c>
    </row>
    <row ht="14.95">
      <c t="s">
        <v>285</v>
      </c>
      <c>
        <v>26570</v>
      </c>
      <c>
        <v>73795</v>
      </c>
    </row>
    <row ht="14.95">
      <c t="s">
        <v>27</v>
      </c>
      <c>
        <v>26570</v>
      </c>
      <c>
        <v>77141</v>
      </c>
    </row>
    <row ht="14.95">
      <c t="s">
        <v>435</v>
      </c>
      <c>
        <v>2657</v>
      </c>
      <c>
        <v>23173</v>
      </c>
    </row>
    <row ht="14.95">
      <c t="s">
        <v>182</v>
      </c>
      <c>
        <v>2657</v>
      </c>
      <c>
        <v>24814</v>
      </c>
    </row>
    <row ht="14.95">
      <c t="s">
        <v>509</v>
      </c>
      <c>
        <v>2657</v>
      </c>
      <c>
        <v>28170</v>
      </c>
    </row>
    <row ht="14.95">
      <c t="s">
        <v>249</v>
      </c>
      <c>
        <v>2657</v>
      </c>
      <c>
        <v>40749</v>
      </c>
    </row>
    <row ht="14.95">
      <c t="s">
        <v>581</v>
      </c>
      <c>
        <v>2657</v>
      </c>
      <c>
        <v>42333</v>
      </c>
    </row>
    <row ht="14.95">
      <c t="s">
        <v>324</v>
      </c>
      <c>
        <v>2657</v>
      </c>
      <c>
        <v>45017</v>
      </c>
    </row>
    <row ht="14.95">
      <c t="s">
        <v>64</v>
      </c>
      <c>
        <v>26570</v>
      </c>
      <c>
        <v>45675</v>
      </c>
    </row>
    <row ht="14.95">
      <c t="s">
        <v>395</v>
      </c>
      <c>
        <v>26570</v>
      </c>
      <c>
        <v>48967</v>
      </c>
    </row>
    <row ht="14.95">
      <c t="s">
        <v>140</v>
      </c>
      <c>
        <v>26570</v>
      </c>
      <c>
        <v>52206</v>
      </c>
    </row>
    <row ht="14.95">
      <c t="s">
        <v>396</v>
      </c>
      <c>
        <v>26570</v>
      </c>
      <c>
        <v>57125</v>
      </c>
    </row>
    <row ht="14.95">
      <c t="s">
        <v>543</v>
      </c>
      <c>
        <v>26570</v>
      </c>
      <c>
        <v>64986</v>
      </c>
    </row>
    <row ht="14.95">
      <c t="s">
        <v>286</v>
      </c>
      <c>
        <v>26570</v>
      </c>
      <c>
        <v>67550</v>
      </c>
    </row>
    <row ht="14.95">
      <c t="s">
        <v>28</v>
      </c>
      <c>
        <v>26570</v>
      </c>
      <c>
        <v>69975</v>
      </c>
    </row>
    <row ht="14.95">
      <c t="s">
        <v>362</v>
      </c>
      <c>
        <v>26570</v>
      </c>
      <c>
        <v>73386</v>
      </c>
    </row>
    <row ht="14.95">
      <c t="s">
        <v>107</v>
      </c>
      <c>
        <v>26570</v>
      </c>
      <c>
        <v>76835</v>
      </c>
    </row>
    <row ht="14.95">
      <c t="s">
        <v>29</v>
      </c>
      <c>
        <v>317</v>
      </c>
      <c>
        <v>6152</v>
      </c>
    </row>
    <row ht="14.95">
      <c t="s">
        <v>363</v>
      </c>
      <c>
        <v>317</v>
      </c>
      <c>
        <v>11665</v>
      </c>
    </row>
    <row ht="14.95">
      <c t="s">
        <v>108</v>
      </c>
      <c>
        <v>317</v>
      </c>
      <c>
        <v>16007</v>
      </c>
    </row>
    <row ht="14.95">
      <c t="s">
        <v>397</v>
      </c>
      <c>
        <v>317</v>
      </c>
      <c>
        <v>18706</v>
      </c>
    </row>
    <row ht="14.95">
      <c t="s">
        <v>544</v>
      </c>
      <c>
        <v>2657</v>
      </c>
      <c>
        <v>21904</v>
      </c>
    </row>
    <row ht="14.95">
      <c t="s">
        <v>287</v>
      </c>
      <c>
        <v>2657</v>
      </c>
      <c>
        <v>25200</v>
      </c>
    </row>
    <row ht="14.95">
      <c t="s">
        <v>30</v>
      </c>
      <c>
        <v>2657</v>
      </c>
      <c>
        <v>28575</v>
      </c>
    </row>
    <row ht="14.95">
      <c t="s">
        <v>364</v>
      </c>
      <c>
        <v>2657</v>
      </c>
      <c>
        <v>41221</v>
      </c>
    </row>
    <row ht="14.95">
      <c t="s">
        <v>109</v>
      </c>
      <c>
        <v>2657</v>
      </c>
      <c>
        <v>42740</v>
      </c>
    </row>
    <row ht="14.95">
      <c t="s">
        <v>436</v>
      </c>
      <c>
        <v>2657</v>
      </c>
      <c>
        <v>45053</v>
      </c>
    </row>
    <row ht="14.95">
      <c t="s">
        <v>141</v>
      </c>
      <c>
        <v>26570</v>
      </c>
      <c>
        <v>46110</v>
      </c>
    </row>
    <row ht="14.95">
      <c t="s">
        <v>473</v>
      </c>
      <c>
        <v>26570</v>
      </c>
      <c>
        <v>49725</v>
      </c>
    </row>
    <row ht="14.95">
      <c t="s">
        <v>214</v>
      </c>
      <c>
        <v>26570</v>
      </c>
      <c>
        <v>53625</v>
      </c>
    </row>
    <row ht="14.95">
      <c t="s">
        <v>510</v>
      </c>
      <c>
        <v>26570</v>
      </c>
      <c>
        <v>60085</v>
      </c>
    </row>
    <row ht="14.95">
      <c t="s">
        <v>65</v>
      </c>
      <c>
        <v>26570</v>
      </c>
      <c>
        <v>65438</v>
      </c>
    </row>
    <row ht="14.95">
      <c t="s">
        <v>398</v>
      </c>
      <c>
        <v>26570</v>
      </c>
      <c>
        <v>68118</v>
      </c>
    </row>
    <row ht="14.95">
      <c t="s">
        <v>142</v>
      </c>
      <c>
        <v>26570</v>
      </c>
      <c>
        <v>70781</v>
      </c>
    </row>
    <row ht="14.95">
      <c t="s">
        <v>474</v>
      </c>
      <c>
        <v>26570</v>
      </c>
      <c>
        <v>73709</v>
      </c>
    </row>
    <row ht="14.95">
      <c t="s">
        <v>215</v>
      </c>
      <c>
        <v>26570</v>
      </c>
      <c>
        <v>77114</v>
      </c>
    </row>
    <row ht="14.95">
      <c t="s">
        <v>143</v>
      </c>
      <c>
        <v>317</v>
      </c>
      <c>
        <v>6332</v>
      </c>
    </row>
    <row ht="14.95">
      <c t="s">
        <v>475</v>
      </c>
      <c>
        <v>317</v>
      </c>
      <c>
        <v>11462</v>
      </c>
    </row>
    <row ht="14.95">
      <c t="s">
        <v>216</v>
      </c>
      <c>
        <v>317</v>
      </c>
      <c>
        <v>16685</v>
      </c>
    </row>
    <row ht="14.95">
      <c t="s">
        <v>476</v>
      </c>
      <c>
        <v>317</v>
      </c>
      <c>
        <v>18787</v>
      </c>
    </row>
    <row ht="14.95">
      <c t="s">
        <v>31</v>
      </c>
      <c>
        <v>2657</v>
      </c>
      <c>
        <v>21672</v>
      </c>
    </row>
    <row ht="14.95">
      <c t="s">
        <v>365</v>
      </c>
      <c>
        <v>2657</v>
      </c>
      <c>
        <v>25138</v>
      </c>
    </row>
    <row ht="14.95">
      <c t="s">
        <v>110</v>
      </c>
      <c>
        <v>2657</v>
      </c>
      <c>
        <v>29109</v>
      </c>
    </row>
    <row ht="14.95">
      <c t="s">
        <v>437</v>
      </c>
      <c>
        <v>2657</v>
      </c>
      <c>
        <v>40838</v>
      </c>
    </row>
    <row ht="14.95">
      <c t="s">
        <v>183</v>
      </c>
      <c>
        <v>2657</v>
      </c>
      <c>
        <v>42569</v>
      </c>
    </row>
    <row ht="14.95">
      <c t="s">
        <v>511</v>
      </c>
      <c>
        <v>2657</v>
      </c>
      <c>
        <v>44257</v>
      </c>
    </row>
    <row ht="14.95">
      <c t="s">
        <v>250</v>
      </c>
      <c>
        <v>26570</v>
      </c>
      <c>
        <v>45830</v>
      </c>
    </row>
    <row ht="14.95">
      <c t="s">
        <v>582</v>
      </c>
      <c>
        <v>26570</v>
      </c>
      <c>
        <v>49293</v>
      </c>
    </row>
    <row ht="14.95">
      <c t="s">
        <v>325</v>
      </c>
      <c>
        <v>26570</v>
      </c>
      <c>
        <v>52897</v>
      </c>
    </row>
    <row ht="14.95">
      <c t="s">
        <v>583</v>
      </c>
      <c>
        <v>26570</v>
      </c>
      <c>
        <v>59142</v>
      </c>
    </row>
    <row ht="14.95">
      <c t="s">
        <v>144</v>
      </c>
      <c>
        <v>26570</v>
      </c>
      <c>
        <v>65115</v>
      </c>
    </row>
    <row ht="14.95">
      <c t="s">
        <v>477</v>
      </c>
      <c>
        <v>26570</v>
      </c>
      <c>
        <v>67607</v>
      </c>
    </row>
    <row ht="14.95">
      <c t="s">
        <v>217</v>
      </c>
      <c>
        <v>26570</v>
      </c>
      <c>
        <v>70724</v>
      </c>
    </row>
    <row ht="14.95">
      <c t="s">
        <v>545</v>
      </c>
      <c>
        <v>26570</v>
      </c>
      <c>
        <v>73689</v>
      </c>
    </row>
    <row ht="14.95">
      <c t="s">
        <v>288</v>
      </c>
      <c>
        <v>26570</v>
      </c>
      <c>
        <v>77054</v>
      </c>
    </row>
    <row ht="14.95">
      <c t="s">
        <v>218</v>
      </c>
      <c>
        <v>317</v>
      </c>
      <c>
        <v>4497</v>
      </c>
    </row>
    <row ht="14.95">
      <c t="s">
        <v>546</v>
      </c>
      <c>
        <v>317</v>
      </c>
      <c>
        <v>13730</v>
      </c>
    </row>
    <row ht="14.95">
      <c t="s">
        <v>289</v>
      </c>
      <c>
        <v>317</v>
      </c>
      <c>
        <v>16082</v>
      </c>
    </row>
    <row ht="14.95">
      <c t="s">
        <v>547</v>
      </c>
      <c>
        <v>317</v>
      </c>
      <c>
        <v>19198</v>
      </c>
    </row>
    <row ht="14.95">
      <c t="s">
        <v>111</v>
      </c>
      <c>
        <v>2657</v>
      </c>
      <c>
        <v>21935</v>
      </c>
    </row>
    <row ht="14.95">
      <c t="s">
        <v>438</v>
      </c>
      <c>
        <v>2657</v>
      </c>
      <c>
        <v>25450</v>
      </c>
    </row>
    <row ht="14.95">
      <c t="s">
        <v>184</v>
      </c>
      <c>
        <v>2657</v>
      </c>
      <c>
        <v>28836</v>
      </c>
    </row>
    <row ht="14.95">
      <c t="s">
        <v>512</v>
      </c>
      <c>
        <v>2657</v>
      </c>
      <c>
        <v>41369</v>
      </c>
    </row>
    <row ht="14.95">
      <c t="s">
        <v>251</v>
      </c>
      <c>
        <v>2657</v>
      </c>
      <c>
        <v>43403</v>
      </c>
    </row>
    <row ht="14.95">
      <c t="s">
        <v>584</v>
      </c>
      <c>
        <v>2657</v>
      </c>
      <c>
        <v>45156</v>
      </c>
    </row>
    <row ht="14.95">
      <c t="s">
        <v>326</v>
      </c>
      <c>
        <v>26570</v>
      </c>
      <c>
        <v>45701</v>
      </c>
    </row>
    <row ht="14.95">
      <c t="s">
        <v>66</v>
      </c>
      <c>
        <v>26570</v>
      </c>
      <c>
        <v>50829</v>
      </c>
    </row>
    <row ht="14.95">
      <c t="s">
        <v>399</v>
      </c>
      <c>
        <v>26570</v>
      </c>
      <c>
        <v>52737</v>
      </c>
    </row>
    <row ht="14.95">
      <c t="s">
        <v>67</v>
      </c>
      <c>
        <v>26570</v>
      </c>
      <c>
        <v>58205</v>
      </c>
    </row>
    <row ht="14.95">
      <c t="s">
        <v>219</v>
      </c>
      <c>
        <v>26570</v>
      </c>
      <c>
        <v>65155</v>
      </c>
    </row>
    <row ht="14.95">
      <c t="s">
        <v>548</v>
      </c>
      <c>
        <v>26570</v>
      </c>
      <c>
        <v>67757</v>
      </c>
    </row>
    <row ht="14.95">
      <c t="s">
        <v>290</v>
      </c>
      <c>
        <v>26570</v>
      </c>
      <c>
        <v>70163</v>
      </c>
    </row>
    <row ht="14.95">
      <c t="s">
        <v>32</v>
      </c>
      <c>
        <v>26570</v>
      </c>
      <c>
        <v>73189</v>
      </c>
    </row>
    <row ht="14.95">
      <c t="s">
        <v>366</v>
      </c>
      <c>
        <v>26570</v>
      </c>
      <c>
        <v>76766</v>
      </c>
    </row>
    <row ht="14.95">
      <c t="s">
        <v>291</v>
      </c>
      <c>
        <v>317</v>
      </c>
      <c>
        <v>4372</v>
      </c>
    </row>
    <row ht="14.95">
      <c t="s">
        <v>33</v>
      </c>
      <c>
        <v>317</v>
      </c>
      <c>
        <v>13194</v>
      </c>
    </row>
    <row ht="14.95">
      <c t="s">
        <v>367</v>
      </c>
      <c>
        <v>317</v>
      </c>
      <c>
        <v>17483</v>
      </c>
    </row>
    <row ht="14.95">
      <c t="s">
        <v>68</v>
      </c>
      <c>
        <v>317</v>
      </c>
      <c>
        <v>18965</v>
      </c>
    </row>
    <row ht="14.95">
      <c t="s">
        <v>220</v>
      </c>
      <c>
        <v>2657</v>
      </c>
      <c>
        <v>21666</v>
      </c>
    </row>
    <row ht="14.95">
      <c t="s">
        <v>549</v>
      </c>
      <c>
        <v>2657</v>
      </c>
      <c>
        <v>25038</v>
      </c>
    </row>
    <row ht="14.95">
      <c t="s">
        <v>292</v>
      </c>
      <c>
        <v>2657</v>
      </c>
      <c>
        <v>28495</v>
      </c>
    </row>
    <row ht="14.95">
      <c t="s">
        <v>34</v>
      </c>
      <c>
        <v>2657</v>
      </c>
      <c>
        <v>40952</v>
      </c>
    </row>
    <row ht="14.95">
      <c t="s">
        <v>368</v>
      </c>
      <c>
        <v>2657</v>
      </c>
      <c>
        <v>42861</v>
      </c>
    </row>
    <row ht="14.95">
      <c t="s">
        <v>112</v>
      </c>
      <c>
        <v>2657</v>
      </c>
      <c>
        <v>45170</v>
      </c>
    </row>
    <row ht="14.95">
      <c t="s">
        <v>400</v>
      </c>
      <c>
        <v>26570</v>
      </c>
      <c>
        <v>46065</v>
      </c>
    </row>
    <row ht="14.95">
      <c t="s">
        <v>145</v>
      </c>
      <c>
        <v>26570</v>
      </c>
      <c>
        <v>49111</v>
      </c>
    </row>
    <row ht="14.95">
      <c t="s">
        <v>478</v>
      </c>
      <c>
        <v>26570</v>
      </c>
      <c>
        <v>53452</v>
      </c>
    </row>
    <row ht="14.95">
      <c t="s">
        <v>185</v>
      </c>
      <c>
        <v>26570</v>
      </c>
      <c>
        <v>62745</v>
      </c>
    </row>
    <row ht="14.95">
      <c t="s">
        <v>327</v>
      </c>
      <c>
        <v>26570</v>
      </c>
      <c>
        <v>66424</v>
      </c>
    </row>
    <row ht="14.95">
      <c t="s">
        <v>69</v>
      </c>
      <c>
        <v>26570</v>
      </c>
      <c>
        <v>67793</v>
      </c>
    </row>
    <row ht="14.95">
      <c t="s">
        <v>401</v>
      </c>
      <c>
        <v>26570</v>
      </c>
      <c>
        <v>70315</v>
      </c>
    </row>
    <row ht="14.95">
      <c t="s">
        <v>146</v>
      </c>
      <c>
        <v>26570</v>
      </c>
      <c>
        <v>74030</v>
      </c>
    </row>
    <row ht="14.95">
      <c t="s">
        <v>479</v>
      </c>
      <c>
        <v>26570</v>
      </c>
      <c>
        <v>77402</v>
      </c>
    </row>
    <row ht="14.95">
      <c t="s">
        <v>480</v>
      </c>
      <c>
        <v>317</v>
      </c>
      <c>
        <v>3022</v>
      </c>
    </row>
    <row ht="14.95">
      <c t="s">
        <v>221</v>
      </c>
      <c>
        <v>317</v>
      </c>
      <c>
        <v>12385</v>
      </c>
    </row>
    <row ht="14.95">
      <c t="s">
        <v>550</v>
      </c>
      <c>
        <v>317</v>
      </c>
      <c>
        <v>16390</v>
      </c>
    </row>
    <row ht="14.95">
      <c t="s">
        <v>222</v>
      </c>
      <c>
        <v>317</v>
      </c>
      <c>
        <v>19345</v>
      </c>
    </row>
    <row ht="14.95">
      <c t="s">
        <v>369</v>
      </c>
      <c>
        <v>2657</v>
      </c>
      <c>
        <v>23424</v>
      </c>
    </row>
    <row ht="14.95">
      <c t="s">
        <v>113</v>
      </c>
      <c>
        <v>2657</v>
      </c>
      <c>
        <v>25049</v>
      </c>
    </row>
    <row ht="14.95">
      <c t="s">
        <v>439</v>
      </c>
      <c>
        <v>2657</v>
      </c>
      <c>
        <v>28370</v>
      </c>
    </row>
    <row ht="14.95">
      <c t="s">
        <v>186</v>
      </c>
      <c>
        <v>2657</v>
      </c>
      <c>
        <v>41698</v>
      </c>
    </row>
    <row ht="14.95">
      <c t="s">
        <v>513</v>
      </c>
      <c>
        <v>2657</v>
      </c>
      <c>
        <v>43524</v>
      </c>
    </row>
    <row ht="14.95">
      <c t="s">
        <v>252</v>
      </c>
      <c>
        <v>2657</v>
      </c>
      <c>
        <v>44405</v>
      </c>
    </row>
    <row ht="14.95">
      <c t="s">
        <v>585</v>
      </c>
      <c>
        <v>26570</v>
      </c>
      <c>
        <v>46977</v>
      </c>
    </row>
    <row ht="14.95">
      <c t="s">
        <v>328</v>
      </c>
      <c>
        <v>26570</v>
      </c>
      <c>
        <v>49984</v>
      </c>
    </row>
    <row ht="14.95">
      <c t="s">
        <v>70</v>
      </c>
      <c>
        <v>26570</v>
      </c>
      <c>
        <v>53678</v>
      </c>
    </row>
    <row ht="14.95">
      <c t="s">
        <v>329</v>
      </c>
      <c>
        <v>26570</v>
      </c>
      <c>
        <v>63887</v>
      </c>
    </row>
    <row ht="14.95">
      <c t="s">
        <v>481</v>
      </c>
      <c>
        <v>26570</v>
      </c>
      <c>
        <v>65687</v>
      </c>
    </row>
    <row ht="14.95">
      <c t="s">
        <v>223</v>
      </c>
      <c>
        <v>26570</v>
      </c>
      <c>
        <v>67851</v>
      </c>
    </row>
    <row ht="14.95">
      <c t="s">
        <v>551</v>
      </c>
      <c>
        <v>26570</v>
      </c>
      <c>
        <v>70636</v>
      </c>
    </row>
    <row ht="14.95">
      <c t="s">
        <v>293</v>
      </c>
      <c>
        <v>26570</v>
      </c>
      <c>
        <v>74025</v>
      </c>
    </row>
    <row ht="14.95">
      <c t="s">
        <v>35</v>
      </c>
      <c>
        <v>26570</v>
      </c>
      <c>
        <v>77318</v>
      </c>
    </row>
    <row ht="14.95">
      <c t="s">
        <v>552</v>
      </c>
      <c>
        <v>317</v>
      </c>
      <c>
        <v>4935</v>
      </c>
    </row>
    <row ht="14.95">
      <c t="s">
        <v>294</v>
      </c>
      <c>
        <v>317</v>
      </c>
      <c>
        <v>15476</v>
      </c>
    </row>
    <row ht="14.95">
      <c t="s">
        <v>36</v>
      </c>
      <c>
        <v>317</v>
      </c>
      <c>
        <v>15885</v>
      </c>
    </row>
    <row ht="14.95">
      <c t="s">
        <v>330</v>
      </c>
      <c>
        <v>317</v>
      </c>
      <c>
        <v>18411</v>
      </c>
    </row>
    <row ht="14.95">
      <c t="s">
        <v>482</v>
      </c>
      <c>
        <v>2657</v>
      </c>
      <c>
        <v>21844</v>
      </c>
    </row>
    <row ht="14.95">
      <c t="s">
        <v>224</v>
      </c>
      <c>
        <v>2657</v>
      </c>
      <c>
        <v>25241</v>
      </c>
    </row>
    <row ht="14.95">
      <c t="s">
        <v>553</v>
      </c>
      <c>
        <v>2657</v>
      </c>
      <c>
        <v>28636</v>
      </c>
    </row>
    <row ht="14.95">
      <c t="s">
        <v>295</v>
      </c>
      <c>
        <v>2657</v>
      </c>
      <c>
        <v>40701</v>
      </c>
    </row>
    <row ht="14.95">
      <c t="s">
        <v>37</v>
      </c>
      <c>
        <v>2657</v>
      </c>
      <c>
        <v>43264</v>
      </c>
    </row>
    <row ht="14.95">
      <c t="s">
        <v>370</v>
      </c>
      <c>
        <v>2657</v>
      </c>
      <c>
        <v>44087</v>
      </c>
    </row>
    <row ht="14.95">
      <c t="s">
        <v>71</v>
      </c>
      <c>
        <v>26570</v>
      </c>
      <c>
        <v>46880</v>
      </c>
    </row>
    <row ht="14.95">
      <c t="s">
        <v>402</v>
      </c>
      <c>
        <v>26570</v>
      </c>
      <c>
        <v>48599</v>
      </c>
    </row>
    <row ht="14.95">
      <c t="s">
        <v>147</v>
      </c>
      <c>
        <v>26570</v>
      </c>
      <c>
        <v>52663</v>
      </c>
    </row>
    <row ht="14.95">
      <c t="s">
        <v>440</v>
      </c>
      <c>
        <v>26570</v>
      </c>
      <c>
        <v>59181</v>
      </c>
    </row>
    <row ht="14.95">
      <c t="s">
        <v>586</v>
      </c>
      <c>
        <v>26570</v>
      </c>
      <c>
        <v>65540</v>
      </c>
    </row>
    <row ht="14.95">
      <c t="s">
        <v>331</v>
      </c>
      <c>
        <v>26570</v>
      </c>
      <c>
        <v>67625</v>
      </c>
    </row>
    <row ht="14.95">
      <c t="s">
        <v>72</v>
      </c>
      <c>
        <v>26570</v>
      </c>
      <c>
        <v>71339</v>
      </c>
    </row>
    <row ht="14.95">
      <c t="s">
        <v>403</v>
      </c>
      <c>
        <v>26570</v>
      </c>
      <c>
        <v>73451</v>
      </c>
    </row>
    <row ht="14.95">
      <c t="s">
        <v>148</v>
      </c>
      <c>
        <v>26570</v>
      </c>
      <c>
        <v>76865</v>
      </c>
    </row>
    <row ht="14.95">
      <c t="s">
        <v>73</v>
      </c>
      <c>
        <v>317</v>
      </c>
      <c>
        <v>6925</v>
      </c>
    </row>
    <row ht="14.95">
      <c t="s">
        <v>404</v>
      </c>
      <c>
        <v>317</v>
      </c>
      <c>
        <v>11731</v>
      </c>
    </row>
    <row ht="14.95">
      <c t="s">
        <v>149</v>
      </c>
      <c>
        <v>317</v>
      </c>
      <c>
        <v>16363</v>
      </c>
    </row>
    <row ht="14.95">
      <c t="s">
        <v>405</v>
      </c>
      <c>
        <v>317</v>
      </c>
      <c>
        <v>18776</v>
      </c>
    </row>
    <row ht="14.95">
      <c t="s">
        <v>554</v>
      </c>
      <c>
        <v>2657</v>
      </c>
      <c>
        <v>22916</v>
      </c>
    </row>
    <row ht="14.95">
      <c t="s">
        <v>296</v>
      </c>
      <c>
        <v>2657</v>
      </c>
      <c>
        <v>25988</v>
      </c>
    </row>
    <row ht="14.95">
      <c t="s">
        <v>38</v>
      </c>
      <c>
        <v>2657</v>
      </c>
      <c>
        <v>28502</v>
      </c>
    </row>
    <row ht="14.95">
      <c t="s">
        <v>371</v>
      </c>
      <c>
        <v>2657</v>
      </c>
      <c>
        <v>41101</v>
      </c>
    </row>
    <row ht="14.95">
      <c t="s">
        <v>114</v>
      </c>
      <c>
        <v>2657</v>
      </c>
      <c>
        <v>42902</v>
      </c>
    </row>
    <row ht="14.95">
      <c t="s">
        <v>441</v>
      </c>
      <c>
        <v>2657</v>
      </c>
      <c>
        <v>44135</v>
      </c>
    </row>
    <row ht="14.95">
      <c t="s">
        <v>187</v>
      </c>
      <c>
        <v>26570</v>
      </c>
      <c>
        <v>47132</v>
      </c>
    </row>
    <row ht="14.95">
      <c t="s">
        <v>514</v>
      </c>
      <c>
        <v>26570</v>
      </c>
      <c>
        <v>50980</v>
      </c>
    </row>
    <row ht="14.95">
      <c t="s">
        <v>253</v>
      </c>
      <c>
        <v>26570</v>
      </c>
      <c>
        <v>53030</v>
      </c>
    </row>
    <row ht="14.95">
      <c t="s">
        <v>515</v>
      </c>
      <c>
        <v>26570</v>
      </c>
      <c>
        <v>59251</v>
      </c>
    </row>
    <row ht="14.95">
      <c t="s">
        <v>74</v>
      </c>
      <c>
        <v>26570</v>
      </c>
      <c>
        <v>65333</v>
      </c>
    </row>
    <row ht="14.95">
      <c t="s">
        <v>406</v>
      </c>
      <c>
        <v>26570</v>
      </c>
      <c>
        <v>68870</v>
      </c>
    </row>
    <row ht="14.95">
      <c t="s">
        <v>150</v>
      </c>
      <c>
        <v>26570</v>
      </c>
      <c>
        <v>70437</v>
      </c>
    </row>
    <row ht="14.95">
      <c t="s">
        <v>483</v>
      </c>
      <c>
        <v>26570</v>
      </c>
      <c>
        <v>75361</v>
      </c>
    </row>
    <row ht="14.95">
      <c t="s">
        <v>225</v>
      </c>
      <c>
        <v>26570</v>
      </c>
      <c>
        <v>78474</v>
      </c>
    </row>
    <row ht="14.95">
      <c t="s">
        <v>151</v>
      </c>
      <c>
        <v>317</v>
      </c>
      <c>
        <v>4472</v>
      </c>
    </row>
    <row ht="14.95">
      <c t="s">
        <v>484</v>
      </c>
      <c>
        <v>317</v>
      </c>
      <c>
        <v>14321</v>
      </c>
    </row>
    <row ht="14.95">
      <c t="s">
        <v>226</v>
      </c>
      <c>
        <v>317</v>
      </c>
      <c>
        <v>16234</v>
      </c>
    </row>
    <row ht="14.95">
      <c t="s">
        <v>485</v>
      </c>
      <c>
        <v>317</v>
      </c>
      <c>
        <v>18986</v>
      </c>
    </row>
    <row ht="14.95">
      <c t="s">
        <v>39</v>
      </c>
      <c>
        <v>2657</v>
      </c>
      <c>
        <v>21956</v>
      </c>
    </row>
    <row ht="14.95">
      <c t="s">
        <v>372</v>
      </c>
      <c>
        <v>2657</v>
      </c>
      <c>
        <v>25005</v>
      </c>
    </row>
    <row ht="14.95">
      <c t="s">
        <v>115</v>
      </c>
      <c>
        <v>2657</v>
      </c>
      <c>
        <v>28601</v>
      </c>
    </row>
    <row ht="14.95">
      <c t="s">
        <v>442</v>
      </c>
      <c>
        <v>2657</v>
      </c>
      <c>
        <v>41195</v>
      </c>
    </row>
    <row ht="14.95">
      <c t="s">
        <v>188</v>
      </c>
      <c>
        <v>2657</v>
      </c>
      <c>
        <v>43016</v>
      </c>
    </row>
    <row ht="14.95">
      <c t="s">
        <v>516</v>
      </c>
      <c>
        <v>2657</v>
      </c>
      <c>
        <v>44536</v>
      </c>
    </row>
    <row ht="14.95">
      <c t="s">
        <v>254</v>
      </c>
      <c>
        <v>26570</v>
      </c>
      <c>
        <v>46208</v>
      </c>
    </row>
    <row ht="14.95">
      <c t="s">
        <v>587</v>
      </c>
      <c>
        <v>26570</v>
      </c>
      <c>
        <v>50257</v>
      </c>
    </row>
    <row ht="14.95">
      <c t="s">
        <v>332</v>
      </c>
      <c>
        <v>26570</v>
      </c>
      <c>
        <v>53031</v>
      </c>
    </row>
    <row ht="14.95">
      <c t="s">
        <v>588</v>
      </c>
      <c>
        <v>26570</v>
      </c>
      <c>
        <v>62607</v>
      </c>
    </row>
    <row ht="14.95">
      <c t="s">
        <v>152</v>
      </c>
      <c>
        <v>26570</v>
      </c>
      <c>
        <v>65510</v>
      </c>
    </row>
    <row ht="14.95">
      <c t="s">
        <v>486</v>
      </c>
      <c>
        <v>26570</v>
      </c>
      <c>
        <v>68157</v>
      </c>
    </row>
    <row ht="14.95">
      <c t="s">
        <v>227</v>
      </c>
      <c>
        <v>26570</v>
      </c>
      <c>
        <v>70901</v>
      </c>
    </row>
    <row ht="14.95">
      <c t="s">
        <v>555</v>
      </c>
      <c>
        <v>26570</v>
      </c>
      <c>
        <v>74079</v>
      </c>
    </row>
    <row ht="14.95">
      <c t="s">
        <v>297</v>
      </c>
      <c>
        <v>26570</v>
      </c>
      <c>
        <v>78402</v>
      </c>
    </row>
    <row ht="14.95">
      <c t="s">
        <v>255</v>
      </c>
      <c>
        <v>317</v>
      </c>
      <c>
        <v>4443</v>
      </c>
    </row>
    <row ht="14.95">
      <c t="s">
        <v>556</v>
      </c>
      <c>
        <v>317</v>
      </c>
      <c>
        <v>11617</v>
      </c>
    </row>
    <row ht="14.95">
      <c t="s">
        <v>298</v>
      </c>
      <c>
        <v>317</v>
      </c>
      <c>
        <v>16283</v>
      </c>
    </row>
    <row ht="14.95">
      <c t="s">
        <v>589</v>
      </c>
      <c>
        <v>317</v>
      </c>
      <c>
        <v>18666</v>
      </c>
    </row>
    <row ht="14.95">
      <c t="s">
        <v>153</v>
      </c>
      <c>
        <v>2657</v>
      </c>
      <c>
        <v>21389</v>
      </c>
    </row>
    <row ht="14.95">
      <c t="s">
        <v>487</v>
      </c>
      <c>
        <v>2657</v>
      </c>
      <c>
        <v>24771</v>
      </c>
    </row>
    <row ht="14.95">
      <c t="s">
        <v>228</v>
      </c>
      <c>
        <v>2657</v>
      </c>
      <c>
        <v>29037</v>
      </c>
    </row>
    <row ht="14.95">
      <c t="s">
        <v>557</v>
      </c>
      <c>
        <v>2657</v>
      </c>
      <c>
        <v>40623</v>
      </c>
    </row>
    <row ht="14.95">
      <c t="s">
        <v>299</v>
      </c>
      <c>
        <v>2657</v>
      </c>
      <c>
        <v>43191</v>
      </c>
    </row>
    <row ht="14.95">
      <c t="s">
        <v>40</v>
      </c>
      <c>
        <v>2657</v>
      </c>
      <c>
        <v>43902</v>
      </c>
    </row>
    <row ht="14.95">
      <c t="s">
        <v>333</v>
      </c>
      <c>
        <v>26570</v>
      </c>
      <c>
        <v>45773</v>
      </c>
    </row>
    <row ht="14.95">
      <c t="s">
        <v>75</v>
      </c>
      <c>
        <v>26570</v>
      </c>
      <c>
        <v>48446</v>
      </c>
    </row>
    <row ht="14.95">
      <c t="s">
        <v>407</v>
      </c>
      <c>
        <v>26570</v>
      </c>
      <c>
        <v>52347</v>
      </c>
    </row>
    <row ht="14.95">
      <c t="s">
        <v>116</v>
      </c>
      <c>
        <v>26570</v>
      </c>
      <c>
        <v>59688</v>
      </c>
    </row>
    <row ht="14.95">
      <c t="s">
        <v>256</v>
      </c>
      <c>
        <v>26570</v>
      </c>
      <c>
        <v>65041</v>
      </c>
    </row>
    <row ht="14.95">
      <c t="s">
        <v>590</v>
      </c>
      <c>
        <v>26570</v>
      </c>
      <c>
        <v>67879</v>
      </c>
    </row>
    <row ht="14.95">
      <c t="s">
        <v>334</v>
      </c>
      <c>
        <v>26570</v>
      </c>
      <c>
        <v>70589</v>
      </c>
    </row>
    <row ht="14.95">
      <c t="s">
        <v>76</v>
      </c>
      <c>
        <v>26570</v>
      </c>
      <c>
        <v>73630</v>
      </c>
    </row>
    <row ht="14.95">
      <c t="s">
        <v>408</v>
      </c>
      <c>
        <v>26570</v>
      </c>
      <c>
        <v>77039</v>
      </c>
    </row>
    <row ht="14.95">
      <c t="s">
        <v>335</v>
      </c>
      <c>
        <v>317</v>
      </c>
      <c>
        <v>3578</v>
      </c>
    </row>
    <row ht="14.95">
      <c t="s">
        <v>77</v>
      </c>
      <c>
        <v>317</v>
      </c>
      <c>
        <v>11082</v>
      </c>
    </row>
    <row ht="14.95">
      <c t="s">
        <v>409</v>
      </c>
      <c>
        <v>317</v>
      </c>
      <c>
        <v>15978</v>
      </c>
    </row>
    <row ht="14.95">
      <c t="s">
        <v>78</v>
      </c>
      <c>
        <v>317</v>
      </c>
      <c>
        <v>18539</v>
      </c>
    </row>
    <row ht="14.95">
      <c t="s">
        <v>229</v>
      </c>
      <c>
        <v>2657</v>
      </c>
      <c>
        <v>22456</v>
      </c>
    </row>
    <row ht="14.95">
      <c t="s">
        <v>558</v>
      </c>
      <c>
        <v>2657</v>
      </c>
      <c>
        <v>24510</v>
      </c>
    </row>
    <row ht="14.95">
      <c t="s">
        <v>300</v>
      </c>
      <c>
        <v>2657</v>
      </c>
      <c>
        <v>28311</v>
      </c>
    </row>
    <row ht="14.95">
      <c t="s">
        <v>41</v>
      </c>
      <c>
        <v>2657</v>
      </c>
      <c>
        <v>41334</v>
      </c>
    </row>
    <row ht="14.95">
      <c t="s">
        <v>373</v>
      </c>
      <c>
        <v>2657</v>
      </c>
      <c>
        <v>42300</v>
      </c>
    </row>
    <row ht="14.95">
      <c t="s">
        <v>117</v>
      </c>
      <c>
        <v>2657</v>
      </c>
      <c>
        <v>43961</v>
      </c>
    </row>
    <row ht="14.95">
      <c t="s">
        <v>443</v>
      </c>
      <c>
        <v>26570</v>
      </c>
      <c>
        <v>45749</v>
      </c>
    </row>
    <row ht="14.95">
      <c t="s">
        <v>189</v>
      </c>
      <c>
        <v>26570</v>
      </c>
      <c>
        <v>50687</v>
      </c>
    </row>
    <row ht="14.95">
      <c t="s">
        <v>517</v>
      </c>
      <c>
        <v>26570</v>
      </c>
      <c>
        <v>52530</v>
      </c>
    </row>
    <row ht="14.95">
      <c t="s">
        <v>190</v>
      </c>
      <c>
        <v>26570</v>
      </c>
      <c>
        <v>59892</v>
      </c>
    </row>
    <row ht="14.95">
      <c t="s">
        <v>336</v>
      </c>
      <c>
        <v>26570</v>
      </c>
      <c>
        <v>65584</v>
      </c>
    </row>
    <row ht="14.95">
      <c t="s">
        <v>79</v>
      </c>
      <c>
        <v>26570</v>
      </c>
      <c>
        <v>68067</v>
      </c>
    </row>
    <row ht="14.95">
      <c t="s">
        <v>410</v>
      </c>
      <c>
        <v>26570</v>
      </c>
      <c>
        <v>70867</v>
      </c>
    </row>
    <row ht="14.95">
      <c t="s">
        <v>154</v>
      </c>
      <c>
        <v>26570</v>
      </c>
      <c>
        <v>73933</v>
      </c>
    </row>
    <row ht="14.95">
      <c t="s">
        <v>488</v>
      </c>
      <c>
        <v>26570</v>
      </c>
      <c>
        <v>78096</v>
      </c>
    </row>
    <row ht="14.95">
      <c t="s">
        <v>411</v>
      </c>
      <c>
        <v>317</v>
      </c>
      <c>
        <v>4941</v>
      </c>
    </row>
    <row ht="14.95">
      <c t="s">
        <v>155</v>
      </c>
      <c>
        <v>317</v>
      </c>
      <c>
        <v>11221</v>
      </c>
    </row>
    <row ht="14.95">
      <c t="s">
        <v>489</v>
      </c>
      <c>
        <v>317</v>
      </c>
      <c>
        <v>16779</v>
      </c>
    </row>
    <row ht="14.95">
      <c t="s">
        <v>156</v>
      </c>
      <c>
        <v>317</v>
      </c>
      <c>
        <v>18673</v>
      </c>
    </row>
    <row ht="14.95">
      <c t="s">
        <v>301</v>
      </c>
      <c>
        <v>2657</v>
      </c>
      <c>
        <v>21885</v>
      </c>
    </row>
    <row ht="14.95">
      <c t="s">
        <v>42</v>
      </c>
      <c>
        <v>2657</v>
      </c>
      <c>
        <v>25315</v>
      </c>
    </row>
    <row ht="14.95">
      <c t="s">
        <v>374</v>
      </c>
      <c>
        <v>2657</v>
      </c>
      <c>
        <v>28319</v>
      </c>
    </row>
    <row ht="14.95">
      <c t="s">
        <v>118</v>
      </c>
      <c>
        <v>2657</v>
      </c>
      <c>
        <v>40935</v>
      </c>
    </row>
    <row ht="14.95">
      <c t="s">
        <v>444</v>
      </c>
      <c>
        <v>2657</v>
      </c>
      <c>
        <v>42767</v>
      </c>
    </row>
    <row ht="14.95">
      <c t="s">
        <v>191</v>
      </c>
      <c>
        <v>2657</v>
      </c>
      <c>
        <v>44595</v>
      </c>
    </row>
    <row ht="14.95">
      <c t="s">
        <v>518</v>
      </c>
      <c>
        <v>26570</v>
      </c>
      <c>
        <v>46164</v>
      </c>
    </row>
    <row ht="14.95">
      <c t="s">
        <v>257</v>
      </c>
      <c>
        <v>26570</v>
      </c>
      <c>
        <v>49306</v>
      </c>
    </row>
    <row ht="14.95">
      <c t="s">
        <v>591</v>
      </c>
      <c>
        <v>26570</v>
      </c>
      <c>
        <v>53245</v>
      </c>
    </row>
    <row ht="14.95">
      <c t="s">
        <v>258</v>
      </c>
      <c>
        <v>26570</v>
      </c>
      <c>
        <v>62305</v>
      </c>
    </row>
    <row ht="14.95">
      <c t="s">
        <v>412</v>
      </c>
      <c>
        <v>26570</v>
      </c>
      <c>
        <v>65167</v>
      </c>
    </row>
    <row ht="14.95">
      <c t="s">
        <v>157</v>
      </c>
      <c>
        <v>26570</v>
      </c>
      <c>
        <v>67505</v>
      </c>
    </row>
    <row ht="14.95">
      <c t="s">
        <v>490</v>
      </c>
      <c>
        <v>26570</v>
      </c>
      <c>
        <v>70402</v>
      </c>
    </row>
    <row ht="14.95">
      <c t="s">
        <v>230</v>
      </c>
      <c>
        <v>26570</v>
      </c>
      <c>
        <v>74594</v>
      </c>
    </row>
    <row ht="14.95">
      <c t="s">
        <v>559</v>
      </c>
      <c>
        <v>26570</v>
      </c>
      <c>
        <v>77879</v>
      </c>
    </row>
    <row r="416"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  <row ht="14.95">
      <c s="40"/>
      <c s="39"/>
      <c s="39"/>
    </row>
  </sheetData>
  <pageMargins left="0.7" right="0.7" top="0.787401575" bottom="0.7874015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Z52"/>
  <sheetViews>
    <sheetView topLeftCell="A50" workbookViewId="0">
      <selection activeCell="C53" sqref="C53"/>
    </sheetView>
  </sheetViews>
  <sheetFormatPr defaultColWidth="9.140625" defaultRowHeight="13.6"/>
  <cols>
    <col min="1" max="1" width="13.7109375" style="38" customWidth="1"/>
    <col min="2" max="2" width="40.85546875" style="38" customWidth="1"/>
    <col min="3" max="3" width="28.140625" style="38" customWidth="1"/>
    <col min="4" max="4" width="16.28515625" style="38" customWidth="1"/>
    <col min="5" max="5" width="19.28515625" style="38" customWidth="1"/>
    <col min="6" max="6" width="11.140625" style="38" customWidth="1"/>
    <col min="7" max="7" width="9.140625" style="38"/>
    <col min="8" max="8" width="17.28515625" style="38" customWidth="1"/>
    <col min="9" max="9" width="19.7109375" style="38" customWidth="1"/>
    <col min="10" max="12" width="12.28515625" style="38" customWidth="1"/>
    <col min="13" max="13" width="16" style="38" bestFit="1" customWidth="1"/>
    <col min="14" max="14" width="14.28515625" style="38" bestFit="1" customWidth="1"/>
    <col min="15" max="15" width="18.28515625" style="38" bestFit="1" customWidth="1"/>
    <col min="16" max="25" width="9.140625" style="38"/>
    <col min="26" max="26" width="9.140625" style="38" hidden="1" customWidth="1"/>
    <col min="27" max="16384" width="9.140625" style="38"/>
  </cols>
  <sheetData>
    <row>
      <c s="69"/>
      <c r="H1" s="48">
        <v>129806172700000000</v>
      </c>
      <c r="Z1" s="45" t="b">
        <f>0=1</f>
        <v>0</v>
      </c>
    </row>
    <row>
      <c r="Z2" s="45" t="b">
        <f>1=1</f>
        <v>1</v>
      </c>
    </row>
    <row>
      <c r="Z3" s="45"/>
    </row>
    <row>
      <c r="I4" s="38" t="s">
        <v>194</v>
      </c>
      <c s="70" t="s">
        <v>413</v>
      </c>
      <c s="10"/>
      <c s="10"/>
      <c s="10"/>
      <c s="10"/>
      <c s="10"/>
    </row>
    <row>
      <c r="J5" s="31" t="s">
        <v>158</v>
      </c>
      <c s="15" t="s">
        <v>303</v>
      </c>
      <c s="15" t="s">
        <v>375</v>
      </c>
      <c s="31" t="s">
        <v>560</v>
      </c>
      <c s="76" t="s">
        <v>446</v>
      </c>
      <c s="15" t="s">
        <v>0</v>
      </c>
    </row>
    <row>
      <c r="B6" s="37" t="s">
        <v>447</v>
      </c>
      <c s="13" t="s">
        <v>491</v>
      </c>
      <c s="41" t="s">
        <v>44</v>
      </c>
      <c s="5" t="s">
        <v>304</v>
      </c>
    </row>
    <row>
      <c r="C7" s="23"/>
      <c s="30" t="s">
        <v>45</v>
      </c>
      <c s="5" t="s">
        <v>338</v>
      </c>
    </row>
    <row>
      <c r="C8" s="30" t="s">
        <v>1</v>
      </c>
      <c s="23"/>
    </row>
    <row>
      <c r="C9" s="23"/>
      <c s="13" t="s">
        <v>159</v>
      </c>
      <c s="59"/>
    </row>
    <row>
      <c r="C10" s="13" t="s">
        <v>259</v>
      </c>
      <c s="63" t="s">
        <v>376</v>
      </c>
      <c s="5" t="s">
        <v>80</v>
      </c>
    </row>
    <row>
      <c r="B11" s="37" t="s">
        <v>305</v>
      </c>
      <c s="44" t="s">
        <v>260</v>
      </c>
      <c s="73">
        <v>60398</v>
      </c>
      <c s="5" t="s">
        <v>160</v>
      </c>
    </row>
    <row>
      <c r="B12" s="37"/>
      <c s="65"/>
      <c s="71"/>
      <c s="55" t="s">
        <v>414</v>
      </c>
    </row>
    <row>
      <c r="B13" s="37" t="s">
        <v>261</v>
      </c>
      <c s="46" t="s">
        <v>119</v>
      </c>
      <c s="47">
        <v>1212</v>
      </c>
      <c s="38" t="b">
        <v>0</v>
      </c>
      <c s="5" t="s">
        <v>377</v>
      </c>
    </row>
    <row ht="12.75" hidden="1">
      <c r="B14" s="37"/>
      <c s="46"/>
      <c s="52"/>
      <c s="38" t="b">
        <v>0</v>
      </c>
    </row>
    <row>
      <c r="B15" s="37" t="s">
        <v>492</v>
      </c>
      <c s="38" t="s">
        <v>519</v>
      </c>
      <c s="67">
        <v>1212</v>
      </c>
      <c s="38" t="b">
        <v>0</v>
      </c>
      <c s="5" t="s">
        <v>120</v>
      </c>
    </row>
    <row ht="12.75" hidden="1">
      <c r="B16" s="37"/>
      <c r="D16" s="25"/>
      <c s="38" t="b">
        <v>0</v>
      </c>
      <c s="5"/>
    </row>
    <row>
      <c r="B17" s="37"/>
      <c s="38" t="s">
        <v>161</v>
      </c>
      <c s="74">
        <v>3434</v>
      </c>
      <c s="38" t="b">
        <v>0</v>
      </c>
      <c s="5" t="s">
        <v>378</v>
      </c>
    </row>
    <row>
      <c r="B18" s="37"/>
      <c r="D18" s="25"/>
      <c s="38" t="b">
        <v>0</v>
      </c>
      <c s="5"/>
    </row>
    <row>
      <c r="B19" s="37"/>
      <c s="38" t="s">
        <v>2</v>
      </c>
      <c s="56">
        <v>3434</v>
      </c>
      <c s="38" t="b">
        <v>0</v>
      </c>
      <c s="5" t="s">
        <v>448</v>
      </c>
    </row>
    <row>
      <c r="B20" s="37"/>
      <c r="D20" s="25"/>
      <c s="38" t="b">
        <v>0</v>
      </c>
      <c s="5"/>
    </row>
    <row>
      <c r="B21" s="37"/>
      <c s="38" t="s">
        <v>449</v>
      </c>
      <c s="75">
        <v>5656</v>
      </c>
      <c s="38" t="b">
        <v>0</v>
      </c>
      <c s="5" t="s">
        <v>561</v>
      </c>
    </row>
    <row>
      <c r="B22" s="37"/>
      <c r="E22" s="5"/>
      <c r="I22" s="58"/>
    </row>
    <row>
      <c r="B23" s="32" t="s">
        <v>3</v>
      </c>
      <c s="32"/>
    </row>
    <row>
      <c r="B24" s="4" t="s">
        <v>306</v>
      </c>
      <c s="4" t="s">
        <v>162</v>
      </c>
      <c s="4" t="s">
        <v>46</v>
      </c>
      <c s="4" t="s">
        <v>450</v>
      </c>
      <c s="4"/>
      <c s="4"/>
      <c s="4" t="s">
        <v>562</v>
      </c>
    </row>
    <row>
      <c r="C25" s="77" t="s">
        <v>565</v>
      </c>
      <c s="60" t="s">
        <v>122</v>
      </c>
      <c s="17">
        <v>1234.5599999999999</v>
      </c>
      <c s="5"/>
    </row>
    <row>
      <c r="C26" s="77" t="s">
        <v>565</v>
      </c>
      <c s="60" t="s">
        <v>122</v>
      </c>
      <c s="17">
        <v>1234.5599999999999</v>
      </c>
      <c s="5"/>
    </row>
    <row ht="37.45">
      <c r="C27" s="77" t="s">
        <v>565</v>
      </c>
      <c s="26" t="s">
        <v>122</v>
      </c>
      <c s="33">
        <v>1234.5599999999999</v>
      </c>
    </row>
    <row ht="37.45">
      <c r="C28" s="29" t="s">
        <v>565</v>
      </c>
      <c s="26" t="s">
        <v>379</v>
      </c>
      <c s="33">
        <v>1234.5599999999999</v>
      </c>
    </row>
    <row ht="37.45">
      <c r="C29" s="29" t="s">
        <v>565</v>
      </c>
      <c s="18" t="s">
        <v>232</v>
      </c>
      <c s="33">
        <v>1234.5599999999999</v>
      </c>
    </row>
    <row ht="37.45">
      <c r="C30" s="29" t="s">
        <v>565</v>
      </c>
      <c s="64" t="s">
        <v>163</v>
      </c>
      <c s="33">
        <v>1234.5599999999999</v>
      </c>
    </row>
    <row ht="37.45">
      <c r="C31" s="29" t="s">
        <v>565</v>
      </c>
      <c s="35" t="s">
        <v>454</v>
      </c>
      <c s="33">
        <v>1234.5599999999999</v>
      </c>
    </row>
    <row ht="37.45">
      <c r="C32" s="29" t="s">
        <v>565</v>
      </c>
      <c s="35" t="s">
        <v>198</v>
      </c>
      <c s="33">
        <v>1234.5599999999999</v>
      </c>
    </row>
    <row>
      <c r="C33" s="29" t="s">
        <v>309</v>
      </c>
      <c s="43" t="s">
        <v>307</v>
      </c>
      <c s="33">
        <v>1234.5599999999999</v>
      </c>
    </row>
    <row>
      <c r="C34" s="29" t="s">
        <v>309</v>
      </c>
      <c s="62" t="s">
        <v>569</v>
      </c>
      <c s="28">
        <v>1234.5599999999999</v>
      </c>
    </row>
    <row ht="37.45">
      <c r="C35" s="29" t="s">
        <v>565</v>
      </c>
      <c s="35" t="s">
        <v>525</v>
      </c>
      <c s="33">
        <v>1234.5599999999999</v>
      </c>
    </row>
    <row ht="37.45">
      <c r="C36" s="29" t="s">
        <v>565</v>
      </c>
      <c s="35" t="s">
        <v>86</v>
      </c>
      <c s="34">
        <v>1234.5599999999999</v>
      </c>
    </row>
    <row ht="37.45">
      <c r="C37" s="29" t="s">
        <v>565</v>
      </c>
      <c s="26" t="s">
        <v>265</v>
      </c>
      <c s="17">
        <v>1234.5599999999999</v>
      </c>
    </row>
    <row ht="37.45">
      <c r="C38" s="29" t="s">
        <v>565</v>
      </c>
      <c s="26" t="s">
        <v>526</v>
      </c>
      <c s="17">
        <v>1234.5599999999999</v>
      </c>
    </row>
    <row ht="37.45">
      <c r="C39" s="29" t="s">
        <v>565</v>
      </c>
      <c s="26" t="s">
        <v>6</v>
      </c>
      <c s="17">
        <v>1234.5599999999999</v>
      </c>
    </row>
    <row ht="37.45">
      <c r="C40" s="29" t="s">
        <v>565</v>
      </c>
      <c s="26" t="s">
        <v>266</v>
      </c>
      <c s="28">
        <v>1234.5599999999999</v>
      </c>
    </row>
    <row ht="37.45">
      <c r="C41" s="29" t="s">
        <v>565</v>
      </c>
      <c s="26" t="s">
        <v>341</v>
      </c>
      <c s="28">
        <v>1234.5599999999999</v>
      </c>
    </row>
    <row ht="37.45">
      <c r="C42" s="29" t="s">
        <v>565</v>
      </c>
      <c s="26" t="s">
        <v>50</v>
      </c>
      <c s="17">
        <v>1234.5599999999999</v>
      </c>
    </row>
    <row ht="37.45">
      <c r="C43" s="29" t="s">
        <v>565</v>
      </c>
      <c s="26" t="s">
        <v>344</v>
      </c>
      <c s="34">
        <v>1234.5599999999999</v>
      </c>
    </row>
    <row ht="37.45">
      <c r="C44" s="29" t="s">
        <v>565</v>
      </c>
      <c s="18" t="s">
        <v>91</v>
      </c>
      <c s="34">
        <v>1234.5599999999999</v>
      </c>
    </row>
    <row ht="37.45">
      <c r="C45" s="38" t="s">
        <v>565</v>
      </c>
      <c s="18" t="s">
        <v>345</v>
      </c>
      <c s="38">
        <v>1234.5599999999999</v>
      </c>
    </row>
    <row ht="37.45">
      <c r="C46" s="38" t="s">
        <v>565</v>
      </c>
      <c s="18" t="s">
        <v>499</v>
      </c>
      <c s="38">
        <v>1234.5599999999999</v>
      </c>
    </row>
    <row ht="37.45">
      <c r="C47" s="38" t="s">
        <v>565</v>
      </c>
      <c s="26" t="s">
        <v>238</v>
      </c>
      <c s="38">
        <v>1234.5599999999999</v>
      </c>
    </row>
    <row ht="37.45">
      <c r="C48" s="29" t="s">
        <v>565</v>
      </c>
      <c s="18" t="s">
        <v>238</v>
      </c>
      <c s="38">
        <v>1234.5599999999999</v>
      </c>
    </row>
    <row ht="37.45">
      <c r="C49" s="29" t="s">
        <v>565</v>
      </c>
      <c s="18" t="s">
        <v>572</v>
      </c>
      <c s="38">
        <v>1235.5599999999999</v>
      </c>
    </row>
    <row ht="37.45">
      <c r="C50" s="38" t="s">
        <v>565</v>
      </c>
      <c s="57" t="s">
        <v>239</v>
      </c>
      <c s="38">
        <v>1235.5599999999999</v>
      </c>
    </row>
    <row ht="37.45">
      <c r="C51" s="38" t="s">
        <v>565</v>
      </c>
      <c s="57" t="s">
        <v>314</v>
      </c>
      <c s="38">
        <v>1235.5599999999999</v>
      </c>
    </row>
    <row ht="37.45">
      <c r="C52" s="38" t="s">
        <v>565</v>
      </c>
      <c s="57" t="s">
        <v>55</v>
      </c>
      <c s="38">
        <v>1235.5599999999999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
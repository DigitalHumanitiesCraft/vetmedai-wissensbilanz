
<file path=[Content_Types].xml><?xml version="1.0" encoding="utf-8"?>
<Types xmlns="http://schemas.openxmlformats.org/package/2006/content-types">
  <Default Extension="rels" ContentType="application/vnd.openxmlformats-package.relationships+xml"/>
  <Override PartName="/xl/media/image1.png" ContentType="image/png"/>
  <Override PartName="/xl/media/image2.png" ContentType="image/pn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8.3.25.102"/>
  <workbookPr defaultThemeVersion="124226"/>
  <bookViews>
    <workbookView xWindow="0" yWindow="0" windowWidth="10725" windowHeight="8370"/>
  </bookViews>
  <sheets>
    <sheet name="Tab" sheetId="1" r:id="rId1"/>
    <sheet name="XLCubedFormats" sheetId="2" state="hidden" r:id="rId2"/>
  </sheets>
  <definedNames>
    <definedName name="_xlnm.Print_Area" localSheetId="0">Tab!$A$1:$I$93</definedName>
    <definedName name="_xlnm.Print_Titles" localSheetId="0">Tab!$24:$26</definedName>
    <definedName name="XL3DisableCameraObjects" hidden="1">XLCubedFormats!A1</definedName>
    <definedName name="XL3ObjLocationd29ed4f0_51a2_4776_a7ea_0d3cd0ce97a0">Tab!$A$10</definedName>
  </definedNames>
  <calcPr calcId="40001"/>
</workbook>
</file>

<file path=xl/sharedStrings.xml><?xml version="1.0" encoding="utf-8"?>
<sst xmlns="http://schemas.openxmlformats.org/spreadsheetml/2006/main" uniqueCount="155">
  <si>
    <t>(UA, UB, UC, UD, UE, UF, UG, UH, UI, UJ, UK, UL, UM, UN, UO, UQ, UR, US, UT, UU, UV, UW, UZ) - (~)</t>
  </si>
  <si>
    <t>Universität</t>
  </si>
  <si>
    <t>0811 Pflanzenbau und Tierzucht</t>
  </si>
  <si>
    <t>0722 Werkstoffe (Glas, Papier, Kunststoff und Holz)</t>
  </si>
  <si>
    <t>Frauen</t>
  </si>
  <si>
    <t>Slicer Button Background</t>
  </si>
  <si>
    <t>Grid Title</t>
  </si>
  <si>
    <t>Oth Written Member</t>
  </si>
  <si>
    <t>Fill in Grid Name, Dimension or Both</t>
  </si>
  <si>
    <t xml:space="preserve">Ordentliche Studien </t>
  </si>
  <si>
    <t>[ALLG Wertart].[Wertart]</t>
  </si>
  <si>
    <t>[STU Studium].[ISCED2013 Ebene 3 #Langtext#]</t>
  </si>
  <si>
    <t>Semester und Datenstichtag</t>
  </si>
  <si>
    <t>Ordentliche Studien im ersten Semester nach internationalen Gruppen von Studien</t>
  </si>
  <si>
    <t>(Members of Studienfach (Fachcode)) - (Erweiterungsstudium, Zweitfach)</t>
  </si>
  <si>
    <t>Staatengruppe (Ö, EU, andere)</t>
  </si>
  <si>
    <t>Absolutwert</t>
  </si>
  <si>
    <t>0222 Geschichte und Archäologie</t>
  </si>
  <si>
    <t>0200 Geisteswissenschaften und Künste nicht näher definiert</t>
  </si>
  <si>
    <t>All Marital Status</t>
  </si>
  <si>
    <t>Male</t>
  </si>
  <si>
    <t>Member1 Name</t>
  </si>
  <si>
    <t>0410 Wirtschaft und Verwaltung nicht näher definiert</t>
  </si>
  <si>
    <t>Studien Universitäten</t>
  </si>
  <si>
    <t>ord. Studium</t>
  </si>
  <si>
    <t>Begonnene Studien</t>
  </si>
  <si>
    <t>0715 Maschinenbau und Metallverarbeitung</t>
  </si>
  <si>
    <t>0714 Elektronik und Automation</t>
  </si>
  <si>
    <t>0388 Int.Pr. mit Schwerp. Sozialwiss., Journalism. u. Informationsw.</t>
  </si>
  <si>
    <t>0313 Psychologie</t>
  </si>
  <si>
    <t>&lt;-- default Column Member Format</t>
  </si>
  <si>
    <t>[STU Studium].[ISCED2013 Ebene 3 #Code Langtext#]</t>
  </si>
  <si>
    <t>Gesamt</t>
  </si>
  <si>
    <t>1015 Reisebüros, Tourismus und Freizeitindustrie</t>
  </si>
  <si>
    <t>0841 Tiermedizin</t>
  </si>
  <si>
    <t>0311 Volkswirtschaftslehre</t>
  </si>
  <si>
    <t>0111 Erziehungswissenschaft</t>
  </si>
  <si>
    <t>Alternate Rows</t>
  </si>
  <si>
    <t>&lt;--  writeable cell format</t>
  </si>
  <si>
    <t xml:space="preserve"> </t>
  </si>
  <si>
    <t>9999 Feld unbekannt</t>
  </si>
  <si>
    <t>1014 Sport</t>
  </si>
  <si>
    <t>0732 Baugewerbe, Hoch- und Tiefbau</t>
  </si>
  <si>
    <t>0712 Umweltschutztechnologien</t>
  </si>
  <si>
    <t>0414 Marketing und Werbung</t>
  </si>
  <si>
    <t>Slicer Title</t>
  </si>
  <si>
    <t>Calendar Period</t>
  </si>
  <si>
    <t>&lt;-- default cell format</t>
  </si>
  <si>
    <t>Written Member</t>
  </si>
  <si>
    <t>Dimension/Column</t>
  </si>
  <si>
    <t>4) Prozentangaben werden standardmäßig mit einer Kommastelle angezeigt</t>
  </si>
  <si>
    <t>Dadurch sind Studien auf ganze Zahlen zu runden und es kann zu Abweichungen zwischen der Gesamtsumme und den addierten Detailergebnissen kommen.</t>
  </si>
  <si>
    <t>0911 Zahnmedizin</t>
  </si>
  <si>
    <t>0613 Software- und Applikationsentwicklung und -analyse</t>
  </si>
  <si>
    <t>0542 Statistik</t>
  </si>
  <si>
    <t>0533 Physik</t>
  </si>
  <si>
    <t>0114 Ausbildung von Lehrkräften mit Fachspezialisierung</t>
  </si>
  <si>
    <t>Männer</t>
  </si>
  <si>
    <t>Slice Name (Optional)</t>
  </si>
  <si>
    <t>0913 Krankenpflege und Geburtshilfe</t>
  </si>
  <si>
    <t>0731 Architektur und Städteplanung</t>
  </si>
  <si>
    <t>0721 Nahrungsmittel</t>
  </si>
  <si>
    <t>0688 Int. Pr. mit Schwerpunkt Informatik und Kommunikationstechnologie</t>
  </si>
  <si>
    <t>0412 Finanz-, Bank- und Versicherungswesen</t>
  </si>
  <si>
    <t>Studienjahr 2024/25</t>
  </si>
  <si>
    <t>ALLG Semester.Studienjahr (Langbezeichnung)</t>
  </si>
  <si>
    <t>0988 Int.Pr. mit Schwerpunkt Gesundheit und Sozialwesen</t>
  </si>
  <si>
    <t>0916 Pharmazie</t>
  </si>
  <si>
    <t>0512 Biochemie</t>
  </si>
  <si>
    <t>0413 Management und Verwaltung</t>
  </si>
  <si>
    <t>0411 Steuer- und Rechnungswesen</t>
  </si>
  <si>
    <t>0215 Musik und darstellende Kunst</t>
  </si>
  <si>
    <t>Customer</t>
  </si>
  <si>
    <t>-All Customer</t>
  </si>
  <si>
    <t>Default Alternate Row Member Format --&gt;</t>
  </si>
  <si>
    <t>Studien von Erstzugelassenen</t>
  </si>
  <si>
    <t>Studientyp</t>
  </si>
  <si>
    <t>Bundesland Universität</t>
  </si>
  <si>
    <t>0724 Bergbau und Gewinnung von Steinen und Erden</t>
  </si>
  <si>
    <t>0532 Geowissenschaften</t>
  </si>
  <si>
    <t>0521 Umweltwissenschaften</t>
  </si>
  <si>
    <t>0314 Soziologie und Kulturwissenschaften</t>
  </si>
  <si>
    <t>Slicer Item</t>
  </si>
  <si>
    <t>&lt;-- default Slicer Member Format</t>
  </si>
  <si>
    <t>Default Row Member Format --&gt;</t>
  </si>
  <si>
    <t>Grid/Table Name</t>
  </si>
  <si>
    <t>[Measures]</t>
  </si>
  <si>
    <t>ISCED2013 3.Ebene (Code, Langtext)</t>
  </si>
  <si>
    <t>0917 Traditionelle und alternative Heilmethoden und Therapien</t>
  </si>
  <si>
    <t>0821 Forstwirtschaft</t>
  </si>
  <si>
    <t>0713 Elektrizität und Energie</t>
  </si>
  <si>
    <t>0588 Int. Pr. mit Schwerpunkt Naturwiss., Mathematik und Statistik</t>
  </si>
  <si>
    <t>0488 Int. Pr. mit Schwerpunkt Wirtschaft, Verwaltung und Recht</t>
  </si>
  <si>
    <t>&lt;-- writeable Slicer Member Format</t>
  </si>
  <si>
    <t>Slice Format 1</t>
  </si>
  <si>
    <t>&lt;-- Gesamtzeile</t>
  </si>
  <si>
    <t>3) Formatierung der Gesamtspalte und -zeile (siehe E25:E26)</t>
  </si>
  <si>
    <t>(ohne Erweiterungsstudien; bei kombinationspflichtigen Studien bis STJ 2015/16 nur Erstfach gezählt)</t>
  </si>
  <si>
    <t>Studienfach (Fachcode)</t>
  </si>
  <si>
    <t>Frauen-/Männeranteil in %</t>
  </si>
  <si>
    <t>0612 Datenbanken, Netzwerkdesign und -administration</t>
  </si>
  <si>
    <t>0511 Biologie</t>
  </si>
  <si>
    <t>0312 Politikwissenschaft und politische Bildung</t>
  </si>
  <si>
    <t>0288 Interdisz. Programme mit Schwerpunkt Geisteswiss. und Künste</t>
  </si>
  <si>
    <t>Slicer Button</t>
  </si>
  <si>
    <t>+2009</t>
  </si>
  <si>
    <t>&lt;-- default alternate row cell format</t>
  </si>
  <si>
    <t>&lt;--  written cell format</t>
  </si>
  <si>
    <t>Studienart</t>
  </si>
  <si>
    <t>0788 Int. Pr. mit Schwerpunkt Ingenieurw., verarb. Gew. u. Baugewerbe</t>
  </si>
  <si>
    <t>0619 Informatik und Kommunikationstechnologie nicht andernorts klass.</t>
  </si>
  <si>
    <t>0541 Mathematik</t>
  </si>
  <si>
    <t>0231 Spracherwerb</t>
  </si>
  <si>
    <t>0213 Bildende Kunst</t>
  </si>
  <si>
    <t>Display Formats For:</t>
  </si>
  <si>
    <t>Enabled?</t>
  </si>
  <si>
    <t>&lt;-- Gesamtspalte</t>
  </si>
  <si>
    <t>Datenprüfung und -aufbereitung: bmfwf, Abt. I/10</t>
  </si>
  <si>
    <t>Universität-Ausrichtung</t>
  </si>
  <si>
    <t>ISCED2013 2.Ebene (Code, Langtext)</t>
  </si>
  <si>
    <t>1088 Interdisziplinäre Programme mit Schwerpunkt Dienstleistungen</t>
  </si>
  <si>
    <t>0531 Chemie</t>
  </si>
  <si>
    <t>0232 Literatur und Linguistik</t>
  </si>
  <si>
    <t>0221 Religion und Theologie</t>
  </si>
  <si>
    <t>Slicer Button Hover</t>
  </si>
  <si>
    <t>Label Format--&gt;</t>
  </si>
  <si>
    <t>&lt;--  written cell by another user cell format</t>
  </si>
  <si>
    <t>Summary Written Member</t>
  </si>
  <si>
    <t>Data Format</t>
  </si>
  <si>
    <t>1) Spaltenüberschrift mittels Menüpunkt Daten/Gruppieren/Gruppieren ausblenden</t>
  </si>
  <si>
    <t>[SU Studierende].[Geschlecht]</t>
  </si>
  <si>
    <t>Universität (Codex)</t>
  </si>
  <si>
    <t>0912 Humanmedizin</t>
  </si>
  <si>
    <t>0522 Natürliche Lebensräume und Wildtiere</t>
  </si>
  <si>
    <t>0421 Recht</t>
  </si>
  <si>
    <t>0223 Philosophie und Ethik</t>
  </si>
  <si>
    <t>Marital Status</t>
  </si>
  <si>
    <t>Default Writeable Member Format --&gt;</t>
  </si>
  <si>
    <t>Slice Format 2</t>
  </si>
  <si>
    <t>Hinweis: Aufgrund der semesterweisen Einspielung von vorläufigen und endgültigen Daten kann im aktuellsten Studienjahr nur der Datenstand des (vorläufigen) Wintersemesters bzw. des endgültigen Wintersemesters und des vorläufigen Sommersemesters verfügbar sein. Unter der Auswahlbox „Semester und Datenstichtag“ ist ersichtlich, welche Semester zu welchem Datenstand verfügbar sind.</t>
  </si>
  <si>
    <t>Quelle: Datenmeldungen der Universitäten auf Basis UHSBV zum jeweiligen Stichtag</t>
  </si>
  <si>
    <t>0888 Int.Pr. m. Schwerp. Landw., Forstw., Fischerei u. Tiermedizin</t>
  </si>
  <si>
    <t>0812 Gartenbau</t>
  </si>
  <si>
    <t>0711 Chemie und Verfahrenstechnik</t>
  </si>
  <si>
    <t>0321 Journalismus und Berichterstattung</t>
  </si>
  <si>
    <t>Writeable Member</t>
  </si>
  <si>
    <t>0211 Audiovisuelle Techniken und Medienproduktion</t>
  </si>
  <si>
    <t>ISCED2013 1.Ebene (Code, Langtext)</t>
  </si>
  <si>
    <t>0212 Mode, Innenarchitektur und industrielles Design</t>
  </si>
  <si>
    <t>Slicer Button Selected</t>
  </si>
  <si>
    <t>&lt;--  summary written cell</t>
  </si>
  <si>
    <t>Formatierungsrichtlinien</t>
  </si>
  <si>
    <t>2) Wenn möglich die nicht hierarchische Darstellung eines Slicers wählen (Slicer Type)</t>
  </si>
  <si>
    <t>5) Formatierung von Zahlen prüfen (Ganzzahl oder Zahl mit einer Kommastelle)</t>
  </si>
  <si>
    <t>Anmerkung: Ab dem WS 2016 erfolgt die zähltechnische Abbildung der Studien auf Basis des Verteilungsschlüssels gemäß § 22 Abs. 2 und Abs. 5 bis 7 UHSBV.</t>
  </si>
</sst>
</file>

<file path=xl/styles.xml><?xml version="1.0" encoding="utf-8"?>
<styleSheet xmlns="http://schemas.openxmlformats.org/spreadsheetml/2006/main">
  <numFmts count="2">
    <numFmt numFmtId="164" formatCode="0.0%"/>
    <numFmt numFmtId="165" formatCode=";;;"/>
  </numFmts>
  <fonts count="36">
    <font>
      <sz val="11"/>
      <color theme="1"/>
      <name val="Calibri"/>
      <family val="2"/>
      <scheme val="minor"/>
    </font>
    <font>
      <sz val="11"/>
      <color indexed="8"/>
      <name val="Calibri"/>
      <family val="2"/>
    </font>
    <font>
      <sz val="11"/>
      <name val="Calibri"/>
      <family val="2"/>
      <scheme val="minor"/>
    </font>
    <font>
      <b/>
      <sz val="11"/>
      <name val="Calibri"/>
      <family val="2"/>
      <scheme val="minor"/>
    </font>
    <font>
      <sz val="10"/>
      <color rgb="FF000000"/>
      <name val="Tahoma"/>
      <family val="2"/>
    </font>
    <font>
      <b/>
      <sz val="10"/>
      <name val="Tahoma"/>
      <family val="2"/>
    </font>
    <font>
      <b/>
      <sz val="8"/>
      <color indexed="23"/>
      <name val="Tahoma"/>
      <family val="2"/>
    </font>
    <font>
      <sz val="11"/>
      <color rgb="FF000000"/>
      <name val="Tahoma"/>
      <family val="2"/>
    </font>
    <font>
      <sz val="10"/>
      <color rgb="FF262626"/>
      <name val="Tahoma"/>
      <family val="2"/>
    </font>
    <font>
      <sz val="9"/>
      <name val="Tahoma"/>
      <family val="2"/>
    </font>
    <font>
      <b/>
      <sz val="11"/>
      <color rgb="FF000000"/>
      <name val="Tahoma"/>
      <family val="2"/>
    </font>
    <font>
      <sz val="10"/>
      <color theme="1" tint="0.0499893185216834"/>
      <name val="Tahoma"/>
      <family val="2"/>
    </font>
    <font>
      <sz val="10"/>
      <name val="Tahoma"/>
      <family val="2"/>
    </font>
    <font>
      <sz val="8"/>
      <name val="Tahoma"/>
      <family val="2"/>
    </font>
    <font>
      <sz val="10"/>
      <color theme="1" tint="0.34998626667073579"/>
      <name val="Tahoma"/>
      <family val="2"/>
    </font>
    <font>
      <sz val="10"/>
      <color theme="1" tint="0.14996795556505021"/>
      <name val="Tahoma"/>
      <family val="2"/>
    </font>
    <font>
      <sz val="10"/>
      <color rgb="FF595959"/>
      <name val="Tahoma"/>
      <family val="2"/>
    </font>
    <font>
      <b/>
      <sz val="11"/>
      <color theme="1"/>
      <name val="Calibri"/>
      <family val="2"/>
      <scheme val="minor"/>
    </font>
    <font>
      <sz val="10"/>
      <color theme="1"/>
      <name val="Calibri"/>
      <family val="2"/>
      <scheme val="minor"/>
    </font>
    <font>
      <b/>
      <sz val="8"/>
      <color rgb="FFFF0000"/>
      <name val="Tahoma"/>
      <family val="2"/>
    </font>
    <font>
      <sz val="10"/>
      <color rgb="FFFF0000"/>
      <name val="Tahoma"/>
      <family val="2"/>
    </font>
    <font>
      <sz val="11"/>
      <color theme="0"/>
      <name val="Calibri"/>
      <family val="2"/>
      <scheme val="minor"/>
    </font>
    <font>
      <b/>
      <sz val="11"/>
      <color theme="3"/>
      <name val="Calibri"/>
      <family val="2"/>
      <scheme val="minor"/>
    </font>
    <font>
      <b/>
      <sz val="18"/>
      <color theme="3"/>
      <name val="Cambria"/>
      <family val="2"/>
      <scheme val="major"/>
    </font>
    <font>
      <sz val="11"/>
      <color rgb="FFFA7D00"/>
      <name val="Calibri"/>
      <family val="2"/>
      <scheme val="minor"/>
    </font>
    <font>
      <b/>
      <sz val="13"/>
      <color theme="3"/>
      <name val="Calibri"/>
      <family val="2"/>
      <scheme val="minor"/>
    </font>
    <font>
      <b/>
      <sz val="11"/>
      <color rgb="FFFA7D00"/>
      <name val="Calibri"/>
      <family val="2"/>
      <scheme val="minor"/>
    </font>
    <font>
      <sz val="11"/>
      <color rgb="FFFF0000"/>
      <name val="Calibri"/>
      <family val="2"/>
      <scheme val="minor"/>
    </font>
    <font>
      <b/>
      <sz val="11"/>
      <color rgb="FF3F3F3F"/>
      <name val="Calibri"/>
      <family val="2"/>
      <scheme val="minor"/>
    </font>
    <font>
      <sz val="11"/>
      <color rgb="FF3F3F76"/>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b/>
      <sz val="11"/>
      <color theme="0"/>
      <name val="Calibri"/>
      <family val="2"/>
      <scheme val="minor"/>
    </font>
    <font>
      <i/>
      <sz val="11"/>
      <color rgb="FF7F7F7F"/>
      <name val="Calibri"/>
      <family val="2"/>
      <scheme val="minor"/>
    </font>
    <font>
      <sz val="11"/>
      <color rgb="FF9C0006"/>
      <name val="Calibri"/>
      <family val="2"/>
      <scheme val="minor"/>
    </font>
  </fonts>
  <fills count="14">
    <fill>
      <patternFill patternType="none"/>
    </fill>
    <fill>
      <patternFill patternType="gray125"/>
    </fill>
    <fill>
      <patternFill patternType="solid">
        <fgColor indexed="22"/>
        <bgColor indexed="64"/>
      </patternFill>
    </fill>
    <fill>
      <patternFill patternType="solid">
        <fgColor rgb="FFD9D9D9"/>
        <bgColor rgb="FFFFFFFF"/>
      </patternFill>
    </fill>
    <fill>
      <patternFill patternType="solid">
        <fgColor theme="3" tint="0.79995117038483843"/>
        <bgColor indexed="64"/>
      </patternFill>
    </fill>
    <fill>
      <patternFill patternType="solid">
        <fgColor rgb="FFC0C0C0"/>
        <bgColor rgb="FFFFFFFF"/>
      </patternFill>
    </fill>
    <fill>
      <patternFill patternType="solid">
        <fgColor rgb="FFC6D9F1"/>
        <bgColor rgb="FFFFFFFF"/>
      </patternFill>
    </fill>
    <fill>
      <patternFill patternType="solid">
        <fgColor rgb="FFDDDDDD"/>
        <bgColor rgb="FFFFFFFF"/>
      </patternFill>
    </fill>
    <fill>
      <patternFill patternType="solid">
        <fgColor rgb="FFD9D9D9"/>
        <bgColor indexed="64"/>
      </patternFill>
    </fill>
    <fill>
      <patternFill patternType="solid">
        <fgColor indexed="43"/>
        <bgColor indexed="64"/>
      </patternFill>
    </fill>
    <fill>
      <patternFill patternType="solid">
        <fgColor rgb="FFDDDDDD"/>
        <bgColor indexed="64"/>
      </patternFill>
    </fill>
    <fill>
      <patternFill patternType="solid">
        <fgColor indexed="40"/>
        <bgColor indexed="64"/>
      </patternFill>
    </fill>
    <fill>
      <patternFill patternType="solid">
        <fgColor rgb="FFC0C0C0"/>
        <bgColor indexed="64"/>
      </patternFill>
    </fill>
    <fill>
      <patternFill patternType="solid">
        <fgColor indexed="42"/>
        <bgColor indexed="64"/>
      </patternFill>
    </fill>
  </fills>
  <borders count="8">
    <border>
      <left/>
      <right/>
      <top/>
      <bottom/>
      <diagonal/>
    </border>
    <border>
      <left style="hair">
        <color rgb="FFC0C0C0"/>
      </left>
      <right style="hair">
        <color rgb="FFC0C0C0"/>
      </right>
      <top style="hair">
        <color rgb="FFC0C0C0"/>
      </top>
      <bottom style="hair">
        <color rgb="FFC0C0C0"/>
      </bottom>
      <diagonal/>
    </border>
    <border>
      <left style="hair">
        <color rgb="FFC0C0C0"/>
      </left>
      <right/>
      <top style="hair">
        <color rgb="FFC0C0C0"/>
      </top>
      <bottom/>
      <diagonal/>
    </border>
    <border>
      <left/>
      <right style="hair">
        <color rgb="FFC0C0C0"/>
      </right>
      <top/>
      <bottom/>
      <diagonal/>
    </border>
    <border>
      <left style="hair">
        <color indexed="22"/>
      </left>
      <right style="hair">
        <color indexed="22"/>
      </right>
      <top style="hair">
        <color indexed="22"/>
      </top>
      <bottom style="hair">
        <color indexed="22"/>
      </bottom>
      <diagonal/>
    </border>
    <border>
      <left style="thin">
        <color indexed="23"/>
      </left>
      <right/>
      <top/>
      <bottom/>
      <diagonal/>
    </border>
    <border>
      <left style="hair">
        <color rgb="FFC0C0C0"/>
      </left>
      <right style="hair">
        <color rgb="FFC0C0C0"/>
      </right>
      <top style="hair">
        <color rgb="FFC0C0C0"/>
      </top>
      <bottom/>
      <diagonal/>
    </border>
    <border>
      <left style="hair">
        <color rgb="FFC0C0C0"/>
      </left>
      <right/>
      <top style="hair">
        <color rgb="FFC0C0C0"/>
      </top>
      <bottom style="hair">
        <color rgb="FFC0C0C0"/>
      </bottom>
      <diagonal/>
    </border>
  </borders>
  <cellStyleXfs count="2">
    <xf numFmtId="0" fontId="0" fillId="0" borderId="0"/>
    <xf numFmtId="0" fontId="1" fillId="0" borderId="0"/>
  </cellStyleXfs>
  <cellXfs count="78">
    <xf numFmtId="0" fontId="0" fillId="0" borderId="0" xfId="0"/>
    <xf numFmtId="0" fontId="2" fillId="0" borderId="0" xfId="0" applyFont="1" applyFill="1" applyBorder="1"/>
    <xf numFmtId="3" fontId="3" fillId="0" borderId="0" xfId="0" applyNumberFormat="1" applyFont="1" applyFill="1" applyBorder="1"/>
    <xf numFmtId="0" fontId="4" fillId="0" borderId="0" xfId="0" quotePrefix="1" applyFont="1" applyFill="1" applyAlignment="1">
      <alignment horizontal="left" vertical="top" wrapText="1"/>
    </xf>
    <xf numFmtId="0" fontId="5" fillId="0" borderId="0" xfId="0" applyFont="1"/>
    <xf numFmtId="0" fontId="6" fillId="0" borderId="0" xfId="0" applyFont="1"/>
    <xf numFmtId="0" fontId="4" fillId="0" borderId="0" xfId="0" applyFont="1" applyFill="1" applyAlignment="1">
      <alignment vertical="top"/>
    </xf>
    <xf numFmtId="0" fontId="4" fillId="0" borderId="0" xfId="0" applyFont="1" applyFill="1" applyAlignment="1"/>
    <xf numFmtId="0" fontId="7" fillId="0" borderId="0" xfId="0" applyFont="1" applyFill="1" applyAlignment="1">
      <alignment vertical="center"/>
    </xf>
    <xf numFmtId="0" fontId="8" fillId="0" borderId="1" xfId="0" quotePrefix="1" applyFont="1" applyFill="1" applyBorder="1" applyAlignment="1" applyProtection="1">
      <alignment horizontal="center"/>
    </xf>
    <xf numFmtId="0" fontId="9" fillId="2" borderId="0" xfId="1" applyFont="1" applyFill="1" applyBorder="1" applyAlignment="1">
      <alignment horizontal="center"/>
    </xf>
    <xf numFmtId="0" fontId="10" fillId="0" borderId="0" xfId="0" applyFont="1" applyFill="1" applyAlignment="1">
      <alignment vertical="top"/>
    </xf>
    <xf numFmtId="0" fontId="4" fillId="0" borderId="0" xfId="0" applyFont="1" applyFill="1" applyAlignment="1">
      <alignment horizontal="left" vertical="top"/>
    </xf>
    <xf numFmtId="0" fontId="8" fillId="0" borderId="1" xfId="0" applyFont="1" applyFill="1" applyBorder="1" applyAlignment="1" applyProtection="1">
      <alignment horizontal="right"/>
    </xf>
    <xf numFmtId="0" fontId="11" fillId="0" borderId="0" xfId="0" applyFont="1"/>
    <xf numFmtId="3" fontId="8" fillId="3" borderId="1" xfId="0" applyNumberFormat="1" applyFont="1" applyFill="1" applyBorder="1" applyAlignment="1" applyProtection="1">
      <alignment horizontal="right" vertical="center"/>
    </xf>
    <xf numFmtId="0" fontId="12" fillId="0" borderId="0" xfId="0" applyNumberFormat="1" applyFont="1" applyAlignment="1"/>
    <xf numFmtId="0" fontId="13" fillId="0" borderId="0" xfId="1" applyFont="1"/>
    <xf numFmtId="0" fontId="14" fillId="4" borderId="0" xfId="0" applyFont="1" applyFill="1" applyAlignment="1"/>
    <xf numFmtId="164" fontId="8" fillId="3" borderId="1" xfId="0" applyNumberFormat="1" applyFont="1" applyFill="1" applyBorder="1" applyAlignment="1" applyProtection="1">
      <alignment horizontal="right" vertical="center"/>
    </xf>
    <xf numFmtId="0" fontId="12" fillId="0" borderId="0" xfId="0" applyFont="1"/>
    <xf numFmtId="3" fontId="8" fillId="0" borderId="1" xfId="0" applyNumberFormat="1" applyFont="1" applyFill="1" applyBorder="1" applyAlignment="1" applyProtection="1">
      <alignment horizontal="right"/>
    </xf>
    <xf numFmtId="0" fontId="6" fillId="0" borderId="0" xfId="0" applyFont="1" applyAlignment="1">
      <alignment horizontal="right"/>
    </xf>
    <xf numFmtId="0" fontId="15" fillId="0" borderId="0" xfId="0" applyFont="1"/>
    <xf numFmtId="0" fontId="12" fillId="0" borderId="0" xfId="0" applyFont="1" applyAlignment="1">
      <alignment horizontal="center"/>
    </xf>
    <xf numFmtId="164" fontId="8" fillId="5" borderId="1" xfId="0" applyNumberFormat="1" applyFont="1" applyFill="1" applyBorder="1" applyAlignment="1" applyProtection="1">
      <alignment horizontal="right"/>
    </xf>
    <xf numFmtId="164" fontId="8" fillId="5" borderId="1" xfId="0" quotePrefix="1" applyNumberFormat="1" applyFont="1" applyFill="1" applyBorder="1" applyAlignment="1" applyProtection="1">
      <alignment horizontal="center"/>
    </xf>
    <xf numFmtId="0" fontId="8" fillId="0" borderId="2" xfId="0" applyFont="1" applyBorder="1" applyAlignment="1" applyProtection="1">
      <alignment horizontal="right"/>
    </xf>
    <xf numFmtId="0" fontId="16" fillId="6" borderId="3" xfId="0" quotePrefix="1" applyFont="1" applyFill="1" applyBorder="1" applyAlignment="1" applyProtection="1"/>
    <xf numFmtId="0" fontId="13" fillId="4" borderId="0" xfId="1" applyFont="1" applyFill="1"/>
    <xf numFmtId="0" fontId="0" fillId="0" borderId="0" xfId="0" applyFill="1" applyAlignment="1"/>
    <xf numFmtId="0" fontId="12" fillId="0" borderId="0" xfId="0" applyNumberFormat="1" applyFont="1"/>
    <xf numFmtId="0" fontId="15" fillId="0" borderId="4" xfId="0" applyFont="1" applyFill="1" applyBorder="1" applyAlignment="1">
      <alignment vertical="center"/>
    </xf>
    <xf numFmtId="0" fontId="9" fillId="2" borderId="5" xfId="1" applyFont="1" applyFill="1" applyBorder="1" applyAlignment="1">
      <alignment horizontal="center"/>
    </xf>
    <xf numFmtId="0" fontId="5" fillId="0" borderId="0" xfId="0" applyFont="1" applyFill="1" applyBorder="1" applyAlignment="1">
      <alignment vertical="center"/>
    </xf>
    <xf numFmtId="0" fontId="4" fillId="0" borderId="0" xfId="0" quotePrefix="1" applyFont="1" applyFill="1" applyAlignment="1">
      <alignment vertical="top"/>
    </xf>
    <xf numFmtId="3" fontId="8" fillId="7" borderId="1" xfId="0" applyNumberFormat="1" applyFont="1" applyFill="1" applyBorder="1" applyAlignment="1" applyProtection="1">
      <alignment horizontal="right"/>
    </xf>
    <xf numFmtId="0" fontId="17" fillId="0" borderId="0" xfId="0" applyFont="1"/>
    <xf numFmtId="3" fontId="5" fillId="0" borderId="0" xfId="0" applyNumberFormat="1" applyFont="1" applyFill="1" applyAlignment="1"/>
    <xf numFmtId="2" fontId="12" fillId="0" borderId="0" xfId="0" applyNumberFormat="1" applyFont="1"/>
    <xf numFmtId="0" fontId="15" fillId="0" borderId="4" xfId="0" quotePrefix="1" applyFont="1" applyFill="1" applyBorder="1" applyAlignment="1">
      <alignment horizontal="right"/>
    </xf>
    <xf numFmtId="0" fontId="8" fillId="8" borderId="2" xfId="0" applyFont="1" applyFill="1" applyBorder="1" applyAlignment="1" applyProtection="1">
      <alignment vertical="center"/>
    </xf>
    <xf numFmtId="0" fontId="12" fillId="9" borderId="0" xfId="0" applyNumberFormat="1" applyFont="1" applyFill="1" applyAlignment="1"/>
    <xf numFmtId="0" fontId="6" fillId="0" borderId="0" xfId="0" applyFont="1" applyAlignment="1">
      <alignment horizontal="center"/>
    </xf>
    <xf numFmtId="0" fontId="8" fillId="10" borderId="6" xfId="0" applyFont="1" applyFill="1" applyBorder="1" applyAlignment="1" applyProtection="1">
      <alignment horizontal="right"/>
    </xf>
    <xf numFmtId="0" fontId="13" fillId="9" borderId="0" xfId="1" applyFont="1" applyFill="1"/>
    <xf numFmtId="0" fontId="18" fillId="0" borderId="0" xfId="0" applyFont="1" applyFill="1" applyAlignment="1"/>
    <xf numFmtId="0" fontId="8" fillId="7" borderId="1" xfId="0" applyFont="1" applyFill="1" applyBorder="1" applyAlignment="1" applyProtection="1">
      <alignment horizontal="right"/>
    </xf>
    <xf numFmtId="0" fontId="8" fillId="8" borderId="7" xfId="0" applyFont="1" applyFill="1" applyBorder="1" applyAlignment="1" applyProtection="1">
      <alignment vertical="center"/>
    </xf>
    <xf numFmtId="0" fontId="19" fillId="0" borderId="0" xfId="0" applyFont="1"/>
    <xf numFmtId="3" fontId="12" fillId="11" borderId="0" xfId="0" applyNumberFormat="1" applyFont="1" applyFill="1" applyAlignment="1"/>
    <xf numFmtId="0" fontId="8" fillId="0" borderId="1" xfId="0" quotePrefix="1" applyFont="1" applyBorder="1" applyAlignment="1" applyProtection="1"/>
    <xf numFmtId="0" fontId="4" fillId="0" borderId="0" xfId="0" quotePrefix="1" applyFont="1" applyFill="1" applyAlignment="1">
      <alignment horizontal="left" vertical="top"/>
    </xf>
    <xf numFmtId="0" fontId="15" fillId="0" borderId="4" xfId="0" quotePrefix="1" applyFont="1" applyFill="1" applyBorder="1" applyAlignment="1"/>
    <xf numFmtId="0" fontId="17" fillId="0" borderId="0" xfId="0" applyFont="1" applyFill="1" applyAlignment="1"/>
    <xf numFmtId="0" fontId="4" fillId="0" borderId="0" xfId="0" applyFont="1" applyFill="1" applyAlignment="1">
      <alignment horizontal="left" vertical="top" wrapText="1"/>
    </xf>
    <xf numFmtId="0" fontId="8" fillId="10" borderId="2" xfId="0" applyFont="1" applyFill="1" applyBorder="1" applyAlignment="1" applyProtection="1">
      <alignment horizontal="right"/>
    </xf>
    <xf numFmtId="0" fontId="12" fillId="9" borderId="0" xfId="0" applyFont="1" applyFill="1"/>
    <xf numFmtId="164" fontId="8" fillId="12" borderId="2" xfId="0" applyNumberFormat="1" applyFont="1" applyFill="1" applyBorder="1" applyAlignment="1" applyProtection="1">
      <alignment horizontal="center"/>
    </xf>
    <xf numFmtId="0" fontId="12" fillId="0" borderId="0" xfId="0" quotePrefix="1" applyFont="1" applyFill="1"/>
    <xf numFmtId="3" fontId="12" fillId="13" borderId="0" xfId="0" applyNumberFormat="1" applyFont="1" applyFill="1" applyAlignment="1"/>
    <xf numFmtId="0" fontId="8" fillId="8" borderId="6" xfId="0" applyFont="1" applyFill="1" applyBorder="1" applyAlignment="1" applyProtection="1">
      <alignment vertical="center"/>
    </xf>
    <xf numFmtId="0" fontId="12" fillId="0" borderId="0" xfId="0" applyFont="1" applyFill="1" applyBorder="1" applyAlignment="1">
      <alignment vertical="center"/>
    </xf>
    <xf numFmtId="0" fontId="8" fillId="0" borderId="1" xfId="0" applyFont="1" applyFill="1" applyBorder="1" applyAlignment="1" applyProtection="1">
      <alignment vertical="center"/>
    </xf>
    <xf numFmtId="0" fontId="17" fillId="0" borderId="0" xfId="0" applyFont="1" applyAlignment="1">
      <alignment horizontal="left"/>
    </xf>
    <xf numFmtId="0" fontId="0" fillId="0" borderId="0" xfId="0" applyFont="1"/>
    <xf numFmtId="0" fontId="4" fillId="0" borderId="0" xfId="0" quotePrefix="1" applyFont="1" applyFill="1" applyAlignment="1"/>
    <xf numFmtId="164" fontId="8" fillId="12" borderId="2" xfId="0" applyNumberFormat="1" applyFont="1" applyFill="1" applyBorder="1" applyAlignment="1" applyProtection="1">
      <alignment horizontal="right"/>
    </xf>
    <xf numFmtId="0" fontId="8" fillId="8" borderId="1" xfId="0" applyFont="1" applyFill="1" applyBorder="1" applyAlignment="1" applyProtection="1">
      <alignment vertical="center"/>
    </xf>
    <xf numFmtId="0" fontId="12" fillId="0" borderId="0" xfId="0" applyNumberFormat="1" applyFont="1" applyFill="1" applyBorder="1" applyAlignment="1"/>
    <xf numFmtId="0" fontId="8" fillId="3" borderId="1" xfId="0" applyFont="1" applyFill="1" applyBorder="1" applyAlignment="1" applyProtection="1">
      <alignment vertical="center"/>
    </xf>
    <xf numFmtId="3" fontId="12" fillId="9" borderId="0" xfId="0" applyNumberFormat="1" applyFont="1" applyFill="1" applyAlignment="1"/>
    <xf numFmtId="165" fontId="12" fillId="0" borderId="0" xfId="0" applyNumberFormat="1" applyFont="1"/>
    <xf numFmtId="3" fontId="15" fillId="0" borderId="4" xfId="0" applyNumberFormat="1" applyFont="1" applyFill="1" applyBorder="1" applyAlignment="1"/>
    <xf numFmtId="0" fontId="20" fillId="0" borderId="0" xfId="0" applyFont="1"/>
    <xf numFmtId="3" fontId="12" fillId="0" borderId="0" xfId="0" applyNumberFormat="1" applyFont="1" applyAlignment="1"/>
    <xf numFmtId="0" fontId="8" fillId="0" borderId="2" xfId="0" applyFont="1" applyBorder="1" applyAlignment="1" applyProtection="1">
      <alignment horizontal="center"/>
    </xf>
    <xf numFmtId="0" fontId="12" fillId="0" borderId="0" xfId="0" quotePrefix="1" applyFont="1"/>
  </cellXfs>
  <cellStyles count="2">
    <cellStyle name="Normal" xfId="0" builtinId="0"/>
    <cellStyle name="Normal_Sheet1" xfId="1"/>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s>
</file>

<file path=xl/drawings/drawing1.xml><?xml version="1.0" encoding="utf-8"?>
<xdr:wsDr xmlns:a="http://schemas.openxmlformats.org/drawingml/2006/main" xmlns:xdr="http://schemas.openxmlformats.org/drawingml/2006/spreadsheetDrawing">
  <xdr:twoCellAnchor editAs="oneCell">
    <xdr:from>
      <xdr:col>0</xdr:col>
      <xdr:colOff>4593933</xdr:colOff>
      <xdr:row>9</xdr:row>
      <xdr:rowOff>190500</xdr:rowOff>
    </xdr:from>
    <xdr:to>
      <xdr:col>5</xdr:col>
      <xdr:colOff>208282</xdr:colOff>
      <xdr:row>11</xdr:row>
      <xdr:rowOff>0</xdr:rowOff>
    </xdr:to>
    <xdr:pic>
      <xdr:nvPicPr>
        <xdr:cNvPr id="3" name="Picture 2"/>
        <xdr:cNvPicPr>
          <a:picLocks/>
        </xdr:cNvPicPr>
      </xdr:nvPicPr>
      <xdr:blipFill>
        <a:blip xmlns:r="http://schemas.openxmlformats.org/officeDocument/2006/relationships" r:embed="rId1"/>
        <a:stretch>
          <a:fillRect/>
        </a:stretch>
      </xdr:blipFill>
      <xdr:spPr>
        <a:xfrm>
          <a:off x="4593933" y="2215515"/>
          <a:ext cx="3697028" cy="190500"/>
        </a:xfrm>
        <a:prstGeom prst="rect">
          <a:avLst/>
        </a:prstGeom>
        <a:noFill/>
        <a:ln w="0">
          <a:noFill/>
        </a:ln>
      </xdr:spPr>
    </xdr:pic>
    <xdr:clientData/>
  </xdr:twoCellAnchor>
  <xdr:twoCellAnchor editAs="oneCell">
    <xdr:from>
      <xdr:col>0</xdr:col>
      <xdr:colOff>4593933</xdr:colOff>
      <xdr:row>10</xdr:row>
      <xdr:rowOff>190500</xdr:rowOff>
    </xdr:from>
    <xdr:to>
      <xdr:col>5</xdr:col>
      <xdr:colOff>208282</xdr:colOff>
      <xdr:row>12</xdr:row>
      <xdr:rowOff>0</xdr:rowOff>
    </xdr:to>
    <xdr:pic>
      <xdr:nvPicPr>
        <xdr:cNvPr id="4" name="Picture 3"/>
        <xdr:cNvPicPr>
          <a:picLocks/>
        </xdr:cNvPicPr>
      </xdr:nvPicPr>
      <xdr:blipFill>
        <a:blip xmlns:r="http://schemas.openxmlformats.org/officeDocument/2006/relationships" r:embed="rId1"/>
        <a:stretch>
          <a:fillRect/>
        </a:stretch>
      </xdr:blipFill>
      <xdr:spPr>
        <a:xfrm>
          <a:off x="4593933" y="2406015"/>
          <a:ext cx="3697028" cy="190500"/>
        </a:xfrm>
        <a:prstGeom prst="rect">
          <a:avLst/>
        </a:prstGeom>
        <a:noFill/>
        <a:ln w="0">
          <a:noFill/>
        </a:ln>
      </xdr:spPr>
    </xdr:pic>
    <xdr:clientData/>
  </xdr:twoCellAnchor>
  <xdr:twoCellAnchor editAs="oneCell">
    <xdr:from>
      <xdr:col>0</xdr:col>
      <xdr:colOff>4593933</xdr:colOff>
      <xdr:row>13</xdr:row>
      <xdr:rowOff>190500</xdr:rowOff>
    </xdr:from>
    <xdr:to>
      <xdr:col>5</xdr:col>
      <xdr:colOff>208282</xdr:colOff>
      <xdr:row>15</xdr:row>
      <xdr:rowOff>0</xdr:rowOff>
    </xdr:to>
    <xdr:pic>
      <xdr:nvPicPr>
        <xdr:cNvPr id="5" name="Picture 4"/>
        <xdr:cNvPicPr>
          <a:picLocks/>
        </xdr:cNvPicPr>
      </xdr:nvPicPr>
      <xdr:blipFill>
        <a:blip xmlns:r="http://schemas.openxmlformats.org/officeDocument/2006/relationships" r:embed="rId1"/>
        <a:stretch>
          <a:fillRect/>
        </a:stretch>
      </xdr:blipFill>
      <xdr:spPr>
        <a:xfrm>
          <a:off x="4593933" y="2977515"/>
          <a:ext cx="3697028" cy="190500"/>
        </a:xfrm>
        <a:prstGeom prst="rect">
          <a:avLst/>
        </a:prstGeom>
        <a:noFill/>
        <a:ln w="0">
          <a:noFill/>
        </a:ln>
      </xdr:spPr>
    </xdr:pic>
    <xdr:clientData/>
  </xdr:twoCellAnchor>
  <xdr:twoCellAnchor editAs="oneCell">
    <xdr:from>
      <xdr:col>0</xdr:col>
      <xdr:colOff>4593933</xdr:colOff>
      <xdr:row>14</xdr:row>
      <xdr:rowOff>190500</xdr:rowOff>
    </xdr:from>
    <xdr:to>
      <xdr:col>5</xdr:col>
      <xdr:colOff>208282</xdr:colOff>
      <xdr:row>16</xdr:row>
      <xdr:rowOff>0</xdr:rowOff>
    </xdr:to>
    <xdr:pic>
      <xdr:nvPicPr>
        <xdr:cNvPr id="6" name="Picture 5"/>
        <xdr:cNvPicPr>
          <a:picLocks/>
        </xdr:cNvPicPr>
      </xdr:nvPicPr>
      <xdr:blipFill>
        <a:blip xmlns:r="http://schemas.openxmlformats.org/officeDocument/2006/relationships" r:embed="rId1"/>
        <a:stretch>
          <a:fillRect/>
        </a:stretch>
      </xdr:blipFill>
      <xdr:spPr>
        <a:xfrm>
          <a:off x="4593933" y="3168015"/>
          <a:ext cx="3697028" cy="190500"/>
        </a:xfrm>
        <a:prstGeom prst="rect">
          <a:avLst/>
        </a:prstGeom>
        <a:noFill/>
        <a:ln w="0">
          <a:noFill/>
        </a:ln>
      </xdr:spPr>
    </xdr:pic>
    <xdr:clientData/>
  </xdr:twoCellAnchor>
  <xdr:twoCellAnchor editAs="oneCell">
    <xdr:from>
      <xdr:col>0</xdr:col>
      <xdr:colOff>4593933</xdr:colOff>
      <xdr:row>16</xdr:row>
      <xdr:rowOff>0</xdr:rowOff>
    </xdr:from>
    <xdr:to>
      <xdr:col>5</xdr:col>
      <xdr:colOff>208282</xdr:colOff>
      <xdr:row>17</xdr:row>
      <xdr:rowOff>0</xdr:rowOff>
    </xdr:to>
    <xdr:pic>
      <xdr:nvPicPr>
        <xdr:cNvPr id="7" name="Picture 6"/>
        <xdr:cNvPicPr>
          <a:picLocks/>
        </xdr:cNvPicPr>
      </xdr:nvPicPr>
      <xdr:blipFill>
        <a:blip xmlns:r="http://schemas.openxmlformats.org/officeDocument/2006/relationships" r:embed="rId1"/>
        <a:stretch>
          <a:fillRect/>
        </a:stretch>
      </xdr:blipFill>
      <xdr:spPr>
        <a:xfrm>
          <a:off x="4593933" y="3358515"/>
          <a:ext cx="3697028" cy="190500"/>
        </a:xfrm>
        <a:prstGeom prst="rect">
          <a:avLst/>
        </a:prstGeom>
        <a:noFill/>
        <a:ln w="0">
          <a:noFill/>
        </a:ln>
      </xdr:spPr>
    </xdr:pic>
    <xdr:clientData/>
  </xdr:twoCellAnchor>
  <xdr:twoCellAnchor editAs="oneCell">
    <xdr:from>
      <xdr:col>0</xdr:col>
      <xdr:colOff>4593933</xdr:colOff>
      <xdr:row>17</xdr:row>
      <xdr:rowOff>0</xdr:rowOff>
    </xdr:from>
    <xdr:to>
      <xdr:col>5</xdr:col>
      <xdr:colOff>208282</xdr:colOff>
      <xdr:row>18</xdr:row>
      <xdr:rowOff>0</xdr:rowOff>
    </xdr:to>
    <xdr:pic>
      <xdr:nvPicPr>
        <xdr:cNvPr id="8" name="Picture 7"/>
        <xdr:cNvPicPr>
          <a:picLocks/>
        </xdr:cNvPicPr>
      </xdr:nvPicPr>
      <xdr:blipFill>
        <a:blip xmlns:r="http://schemas.openxmlformats.org/officeDocument/2006/relationships" r:embed="rId1"/>
        <a:stretch>
          <a:fillRect/>
        </a:stretch>
      </xdr:blipFill>
      <xdr:spPr>
        <a:xfrm>
          <a:off x="4593933" y="3549015"/>
          <a:ext cx="3697028" cy="190500"/>
        </a:xfrm>
        <a:prstGeom prst="rect">
          <a:avLst/>
        </a:prstGeom>
        <a:noFill/>
        <a:ln w="0">
          <a:noFill/>
        </a:ln>
      </xdr:spPr>
    </xdr:pic>
    <xdr:clientData/>
  </xdr:twoCellAnchor>
  <xdr:twoCellAnchor editAs="oneCell">
    <xdr:from>
      <xdr:col>0</xdr:col>
      <xdr:colOff>4593933</xdr:colOff>
      <xdr:row>11</xdr:row>
      <xdr:rowOff>190500</xdr:rowOff>
    </xdr:from>
    <xdr:to>
      <xdr:col>5</xdr:col>
      <xdr:colOff>208282</xdr:colOff>
      <xdr:row>13</xdr:row>
      <xdr:rowOff>0</xdr:rowOff>
    </xdr:to>
    <xdr:pic>
      <xdr:nvPicPr>
        <xdr:cNvPr id="9" name="Picture 8"/>
        <xdr:cNvPicPr>
          <a:picLocks/>
        </xdr:cNvPicPr>
      </xdr:nvPicPr>
      <xdr:blipFill>
        <a:blip xmlns:r="http://schemas.openxmlformats.org/officeDocument/2006/relationships" r:embed="rId1"/>
        <a:stretch>
          <a:fillRect/>
        </a:stretch>
      </xdr:blipFill>
      <xdr:spPr>
        <a:xfrm>
          <a:off x="4593933" y="2596515"/>
          <a:ext cx="3697028" cy="190500"/>
        </a:xfrm>
        <a:prstGeom prst="rect">
          <a:avLst/>
        </a:prstGeom>
        <a:noFill/>
        <a:ln w="0">
          <a:noFill/>
        </a:ln>
      </xdr:spPr>
    </xdr:pic>
    <xdr:clientData/>
  </xdr:twoCellAnchor>
  <xdr:twoCellAnchor editAs="oneCell">
    <xdr:from>
      <xdr:col>0</xdr:col>
      <xdr:colOff>4593933</xdr:colOff>
      <xdr:row>12</xdr:row>
      <xdr:rowOff>190500</xdr:rowOff>
    </xdr:from>
    <xdr:to>
      <xdr:col>5</xdr:col>
      <xdr:colOff>208282</xdr:colOff>
      <xdr:row>14</xdr:row>
      <xdr:rowOff>0</xdr:rowOff>
    </xdr:to>
    <xdr:pic>
      <xdr:nvPicPr>
        <xdr:cNvPr id="10" name="Picture 9"/>
        <xdr:cNvPicPr>
          <a:picLocks/>
        </xdr:cNvPicPr>
      </xdr:nvPicPr>
      <xdr:blipFill>
        <a:blip xmlns:r="http://schemas.openxmlformats.org/officeDocument/2006/relationships" r:embed="rId1"/>
        <a:stretch>
          <a:fillRect/>
        </a:stretch>
      </xdr:blipFill>
      <xdr:spPr>
        <a:xfrm>
          <a:off x="4593933" y="2787015"/>
          <a:ext cx="3697028" cy="190500"/>
        </a:xfrm>
        <a:prstGeom prst="rect">
          <a:avLst/>
        </a:prstGeom>
        <a:noFill/>
        <a:ln w="0">
          <a:noFill/>
        </a:ln>
      </xdr:spPr>
    </xdr:pic>
    <xdr:clientData/>
  </xdr:twoCellAnchor>
  <xdr:twoCellAnchor editAs="oneCell">
    <xdr:from>
      <xdr:col>0</xdr:col>
      <xdr:colOff>4593933</xdr:colOff>
      <xdr:row>8</xdr:row>
      <xdr:rowOff>189865</xdr:rowOff>
    </xdr:from>
    <xdr:to>
      <xdr:col>5</xdr:col>
      <xdr:colOff>208282</xdr:colOff>
      <xdr:row>10</xdr:row>
      <xdr:rowOff>0</xdr:rowOff>
    </xdr:to>
    <xdr:pic>
      <xdr:nvPicPr>
        <xdr:cNvPr id="11" name="Picture 10"/>
        <xdr:cNvPicPr>
          <a:picLocks/>
        </xdr:cNvPicPr>
      </xdr:nvPicPr>
      <xdr:blipFill>
        <a:blip xmlns:r="http://schemas.openxmlformats.org/officeDocument/2006/relationships" r:embed="rId2"/>
        <a:stretch>
          <a:fillRect/>
        </a:stretch>
      </xdr:blipFill>
      <xdr:spPr>
        <a:xfrm>
          <a:off x="4593933" y="2025015"/>
          <a:ext cx="3697028" cy="190500"/>
        </a:xfrm>
        <a:prstGeom prst="rect">
          <a:avLst/>
        </a:prstGeom>
        <a:noFill/>
        <a:ln w="0">
          <a:noFill/>
        </a:ln>
      </xdr:spPr>
    </xdr:pic>
    <xdr:clientData/>
  </xdr:twoCellAnchor>
</xdr:wsDr>
</file>

<file path=xl/drawings/drawing2.xml><?xml version="1.0" encoding="utf-8"?>
<xdr:wsDr xmlns:a="http://schemas.openxmlformats.org/drawingml/2006/main" xmlns:xdr="http://schemas.openxmlformats.org/drawingml/2006/spreadsheetDrawing">
  <xdr:twoCellAnchor editAs="absolute">
    <xdr:from>
      <xdr:col>9</xdr:col>
      <xdr:colOff>114300</xdr:colOff>
      <xdr:row>3</xdr:row>
      <xdr:rowOff>109220</xdr:rowOff>
    </xdr:from>
    <xdr:to>
      <xdr:col>10</xdr:col>
      <xdr:colOff>305497</xdr:colOff>
      <xdr:row>7</xdr:row>
      <xdr:rowOff>104140</xdr:rowOff>
    </xdr:to>
    <xdr:sp macro="" textlink="">
      <xdr:nvSpPr>
        <xdr:cNvPr id="2" name="Comment 1" hidden="1"/>
        <xdr:cNvSpPr txBox="1"/>
      </xdr:nvSpPr>
      <xdr:spPr>
        <a:xfrm>
          <a:off x="12905418" y="627380"/>
          <a:ext cx="1097280" cy="685800"/>
        </a:xfrm>
        <a:prstGeom prst="rect">
          <a:avLst/>
        </a:prstGeom>
        <a:solidFill>
          <a:srgbClr val="FFFFE1"/>
        </a:solidFill>
        <a:ln w="9525">
          <a:solidFill>
            <a:srgbClr val="000000"/>
          </a:solidFill>
        </a:ln>
      </xdr:spPr>
      <xdr:txBody>
        <a:bodyPr rtlCol="0"/>
        <a:lstStyle/>
        <a:p>
          <a:pPr algn="l"/>
          <a:r>
            <a:rPr/>
            <a:t>XLCubed:</a:t>
          </a:r>
        </a:p>
        <a:p>
          <a:pPr algn="l"/>
          <a:r>
            <a:rPr/>
            <a:t>Blank name gives the default format.</a:t>
          </a:r>
        </a:p>
        <a:p>
          <a:pPr algn="l"/>
          <a:r>
            <a:rPr/>
            <a:t>Specify slicer name for slicer specific formats</a:t>
          </a:r>
        </a:p>
      </xdr:txBody>
    </xdr:sp>
    <xdr:clientData/>
  </xdr:twoCellAnchor>
  <xdr:twoCellAnchor editAs="absolute">
    <xdr:from>
      <xdr:col>10</xdr:col>
      <xdr:colOff>114300</xdr:colOff>
      <xdr:row>3</xdr:row>
      <xdr:rowOff>109220</xdr:rowOff>
    </xdr:from>
    <xdr:to>
      <xdr:col>11</xdr:col>
      <xdr:colOff>305497</xdr:colOff>
      <xdr:row>7</xdr:row>
      <xdr:rowOff>104140</xdr:rowOff>
    </xdr:to>
    <xdr:sp macro="" textlink="">
      <xdr:nvSpPr>
        <xdr:cNvPr id="3" name="Comment 2" hidden="1"/>
        <xdr:cNvSpPr txBox="1"/>
      </xdr:nvSpPr>
      <xdr:spPr>
        <a:xfrm>
          <a:off x="13811500" y="627380"/>
          <a:ext cx="1097280" cy="685800"/>
        </a:xfrm>
        <a:prstGeom prst="rect">
          <a:avLst/>
        </a:prstGeom>
        <a:solidFill>
          <a:srgbClr val="FFFFE1"/>
        </a:solidFill>
        <a:ln w="9525">
          <a:solidFill>
            <a:srgbClr val="000000"/>
          </a:solidFill>
        </a:ln>
      </xdr:spPr>
      <xdr:txBody>
        <a:bodyPr rtlCol="0"/>
        <a:lstStyle/>
        <a:p>
          <a:pPr algn="l"/>
          <a:r>
            <a:rPr/>
            <a:t>Display format for slicer title</a:t>
          </a:r>
        </a:p>
        <a:p>
          <a:pPr algn="l"/>
          <a:endParaRPr/>
        </a:p>
        <a:p>
          <a:pPr algn="l"/>
          <a:endParaRPr/>
        </a:p>
      </xdr:txBody>
    </xdr:sp>
    <xdr:clientData/>
  </xdr:twoCellAnchor>
  <xdr:twoCellAnchor editAs="absolute">
    <xdr:from>
      <xdr:col>11</xdr:col>
      <xdr:colOff>114300</xdr:colOff>
      <xdr:row>3</xdr:row>
      <xdr:rowOff>109220</xdr:rowOff>
    </xdr:from>
    <xdr:to>
      <xdr:col>12</xdr:col>
      <xdr:colOff>305497</xdr:colOff>
      <xdr:row>7</xdr:row>
      <xdr:rowOff>104140</xdr:rowOff>
    </xdr:to>
    <xdr:sp macro="" textlink="">
      <xdr:nvSpPr>
        <xdr:cNvPr id="4" name="Comment 3" hidden="1"/>
        <xdr:cNvSpPr txBox="1"/>
      </xdr:nvSpPr>
      <xdr:spPr>
        <a:xfrm>
          <a:off x="14717583" y="627380"/>
          <a:ext cx="1097280" cy="685800"/>
        </a:xfrm>
        <a:prstGeom prst="rect">
          <a:avLst/>
        </a:prstGeom>
        <a:solidFill>
          <a:srgbClr val="FFFFE1"/>
        </a:solidFill>
        <a:ln w="9525">
          <a:solidFill>
            <a:srgbClr val="000000"/>
          </a:solidFill>
        </a:ln>
      </xdr:spPr>
      <xdr:txBody>
        <a:bodyPr rtlCol="0"/>
        <a:lstStyle/>
        <a:p>
          <a:pPr algn="l"/>
          <a:r>
            <a:rPr/>
            <a:t>Format for non-button slicer text</a:t>
          </a:r>
        </a:p>
        <a:p>
          <a:pPr algn="l"/>
          <a:endParaRPr/>
        </a:p>
      </xdr:txBody>
    </xdr:sp>
    <xdr:clientData/>
  </xdr:twoCellAnchor>
  <xdr:twoCellAnchor editAs="absolute">
    <xdr:from>
      <xdr:col>12</xdr:col>
      <xdr:colOff>114300</xdr:colOff>
      <xdr:row>3</xdr:row>
      <xdr:rowOff>109220</xdr:rowOff>
    </xdr:from>
    <xdr:to>
      <xdr:col>13</xdr:col>
      <xdr:colOff>44867</xdr:colOff>
      <xdr:row>7</xdr:row>
      <xdr:rowOff>104140</xdr:rowOff>
    </xdr:to>
    <xdr:sp macro="" textlink="">
      <xdr:nvSpPr>
        <xdr:cNvPr id="5" name="Comment 4" hidden="1"/>
        <xdr:cNvSpPr txBox="1"/>
      </xdr:nvSpPr>
      <xdr:spPr>
        <a:xfrm>
          <a:off x="15623665" y="627380"/>
          <a:ext cx="1097280" cy="685800"/>
        </a:xfrm>
        <a:prstGeom prst="rect">
          <a:avLst/>
        </a:prstGeom>
        <a:solidFill>
          <a:srgbClr val="FFFFE1"/>
        </a:solidFill>
        <a:ln w="9525">
          <a:solidFill>
            <a:srgbClr val="000000"/>
          </a:solidFill>
        </a:ln>
      </xdr:spPr>
      <xdr:txBody>
        <a:bodyPr rtlCol="0"/>
        <a:lstStyle/>
        <a:p>
          <a:pPr algn="l"/>
          <a:r>
            <a:rPr/>
            <a:t>Default format for slicer buttons</a:t>
          </a:r>
        </a:p>
      </xdr:txBody>
    </xdr:sp>
    <xdr:clientData/>
  </xdr:twoCellAnchor>
  <xdr:twoCellAnchor editAs="absolute">
    <xdr:from>
      <xdr:col>13</xdr:col>
      <xdr:colOff>114300</xdr:colOff>
      <xdr:row>3</xdr:row>
      <xdr:rowOff>109220</xdr:rowOff>
    </xdr:from>
    <xdr:to>
      <xdr:col>14</xdr:col>
      <xdr:colOff>169913</xdr:colOff>
      <xdr:row>7</xdr:row>
      <xdr:rowOff>104140</xdr:rowOff>
    </xdr:to>
    <xdr:sp macro="" textlink="">
      <xdr:nvSpPr>
        <xdr:cNvPr id="6" name="Comment 5" hidden="1"/>
        <xdr:cNvSpPr txBox="1"/>
      </xdr:nvSpPr>
      <xdr:spPr>
        <a:xfrm>
          <a:off x="16790379" y="627380"/>
          <a:ext cx="1097280" cy="685800"/>
        </a:xfrm>
        <a:prstGeom prst="rect">
          <a:avLst/>
        </a:prstGeom>
        <a:solidFill>
          <a:srgbClr val="FFFFE1"/>
        </a:solidFill>
        <a:ln w="9525">
          <a:solidFill>
            <a:srgbClr val="000000"/>
          </a:solidFill>
        </a:ln>
      </xdr:spPr>
      <xdr:txBody>
        <a:bodyPr rtlCol="0"/>
        <a:lstStyle/>
        <a:p>
          <a:pPr algn="l"/>
          <a:r>
            <a:rPr/>
            <a:t>Display format for selected button</a:t>
          </a:r>
        </a:p>
      </xdr:txBody>
    </xdr:sp>
    <xdr:clientData/>
  </xdr:twoCellAnchor>
  <xdr:twoCellAnchor editAs="absolute">
    <xdr:from>
      <xdr:col>14</xdr:col>
      <xdr:colOff>114300</xdr:colOff>
      <xdr:row>3</xdr:row>
      <xdr:rowOff>109220</xdr:rowOff>
    </xdr:from>
    <xdr:to>
      <xdr:col>14</xdr:col>
      <xdr:colOff>1211580</xdr:colOff>
      <xdr:row>7</xdr:row>
      <xdr:rowOff>104140</xdr:rowOff>
    </xdr:to>
    <xdr:sp macro="" textlink="">
      <xdr:nvSpPr>
        <xdr:cNvPr id="7" name="Comment 6" hidden="1"/>
        <xdr:cNvSpPr txBox="1"/>
      </xdr:nvSpPr>
      <xdr:spPr>
        <a:xfrm>
          <a:off x="17832046" y="627380"/>
          <a:ext cx="1097280" cy="685800"/>
        </a:xfrm>
        <a:prstGeom prst="rect">
          <a:avLst/>
        </a:prstGeom>
        <a:solidFill>
          <a:srgbClr val="FFFFE1"/>
        </a:solidFill>
        <a:ln w="9525">
          <a:solidFill>
            <a:srgbClr val="000000"/>
          </a:solidFill>
        </a:ln>
      </xdr:spPr>
      <xdr:txBody>
        <a:bodyPr rtlCol="0"/>
        <a:lstStyle/>
        <a:p>
          <a:pPr algn="l"/>
          <a:r>
            <a:rPr/>
            <a:t>Display format for button when hovered over</a:t>
          </a:r>
        </a:p>
        <a:p>
          <a:pPr algn="l"/>
          <a:endParaRPr/>
        </a:p>
      </xdr:txBody>
    </xdr:sp>
    <xdr:clientData/>
  </xdr:twoCellAnchor>
  <xdr:twoCellAnchor editAs="absolute">
    <xdr:from>
      <xdr:col>15</xdr:col>
      <xdr:colOff>114300</xdr:colOff>
      <xdr:row>3</xdr:row>
      <xdr:rowOff>109220</xdr:rowOff>
    </xdr:from>
    <xdr:to>
      <xdr:col>16</xdr:col>
      <xdr:colOff>545050</xdr:colOff>
      <xdr:row>7</xdr:row>
      <xdr:rowOff>104140</xdr:rowOff>
    </xdr:to>
    <xdr:sp macro="" textlink="">
      <xdr:nvSpPr>
        <xdr:cNvPr id="8" name="Comment 7" hidden="1"/>
        <xdr:cNvSpPr txBox="1"/>
      </xdr:nvSpPr>
      <xdr:spPr>
        <a:xfrm>
          <a:off x="19165392" y="627380"/>
          <a:ext cx="1097280" cy="685800"/>
        </a:xfrm>
        <a:prstGeom prst="rect">
          <a:avLst/>
        </a:prstGeom>
        <a:solidFill>
          <a:srgbClr val="FFFFE1"/>
        </a:solidFill>
        <a:ln w="9525">
          <a:solidFill>
            <a:srgbClr val="000000"/>
          </a:solidFill>
        </a:ln>
      </xdr:spPr>
      <xdr:txBody>
        <a:bodyPr rtlCol="0"/>
        <a:lstStyle/>
        <a:p>
          <a:pPr algn="l"/>
          <a:r>
            <a:rPr/>
            <a:t>Background between the slicer buttons.</a:t>
          </a:r>
        </a:p>
      </xdr:txBody>
    </xdr:sp>
    <xdr:clientData/>
  </xdr:twoCellAnchor>
  <xdr:twoCellAnchor editAs="absolute">
    <xdr:from>
      <xdr:col>4</xdr:col>
      <xdr:colOff>114300</xdr:colOff>
      <xdr:row>22</xdr:row>
      <xdr:rowOff>109220</xdr:rowOff>
    </xdr:from>
    <xdr:to>
      <xdr:col>4</xdr:col>
      <xdr:colOff>1211580</xdr:colOff>
      <xdr:row>26</xdr:row>
      <xdr:rowOff>104140</xdr:rowOff>
    </xdr:to>
    <xdr:sp macro="" textlink="">
      <xdr:nvSpPr>
        <xdr:cNvPr id="9" name="Comment 8" hidden="1"/>
        <xdr:cNvSpPr txBox="1"/>
      </xdr:nvSpPr>
      <xdr:spPr>
        <a:xfrm>
          <a:off x="7322513" y="3563620"/>
          <a:ext cx="1097280" cy="685800"/>
        </a:xfrm>
        <a:prstGeom prst="rect">
          <a:avLst/>
        </a:prstGeom>
        <a:solidFill>
          <a:srgbClr val="FFFFE1"/>
        </a:solidFill>
        <a:ln w="9525">
          <a:solidFill>
            <a:srgbClr val="000000"/>
          </a:solidFill>
        </a:ln>
      </xdr:spPr>
      <xdr:txBody>
        <a:bodyPr rtlCol="0"/>
        <a:lstStyle/>
        <a:p>
          <a:pPr algn="l"/>
          <a:r>
            <a:rPr/>
            <a:t>Can use wildcard character - '*'</a:t>
          </a:r>
        </a:p>
        <a:p>
          <a:pPr algn="l"/>
          <a:endParaRPr/>
        </a:p>
        <a:p>
          <a:pPr algn="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_rels/sheet2.xml.rels>&#65279;<?xml version="1.0" encoding="utf-8"?><Relationships xmlns="http://schemas.openxmlformats.org/package/2006/relationships"><Relationship Id="rId1" Type="http://schemas.openxmlformats.org/officeDocument/2006/relationships/drawing" Target="../drawings/drawing2.xml" /></Relationships>
</file>

<file path=xl/worksheets/sheet1.xml><?xml version="1.0" encoding="utf-8"?>
<worksheet xmlns:r="http://schemas.openxmlformats.org/officeDocument/2006/relationships" xmlns="http://schemas.openxmlformats.org/spreadsheetml/2006/main">
  <sheetPr>
    <pageSetUpPr fitToPage="1"/>
  </sheetPr>
  <dimension ref="A1:K640"/>
  <sheetViews>
    <sheetView tabSelected="1" workbookViewId="0"/>
  </sheetViews>
  <sheetFormatPr defaultColWidth="11.42578125" defaultRowHeight="14.95"/>
  <cols>
    <col min="1" max="1" width="63" style="65" customWidth="1"/>
    <col min="2" max="2" width="12.7109375" customWidth="1"/>
    <col min="3" max="7" width="11.7109375" customWidth="1"/>
    <col min="8" max="8" width="13.42578125" customWidth="1"/>
    <col min="9" max="10" width="11.7109375" customWidth="1"/>
    <col min="11" max="11" width="11.28515625" customWidth="1"/>
    <col min="12" max="12" width="9.85546875" customWidth="1"/>
    <col min="13" max="13" width="7.28515625" customWidth="1"/>
    <col min="14" max="14" width="11.28515625" customWidth="1"/>
    <col min="15" max="15" width="9.85546875" customWidth="1"/>
    <col min="16" max="16" width="7.28515625" customWidth="1"/>
    <col min="17" max="17" width="11.28515625" customWidth="1"/>
    <col min="18" max="18" width="7.28515625" customWidth="1"/>
    <col min="19" max="19" width="11.28515625" customWidth="1"/>
    <col min="20" max="20" width="9.85546875" customWidth="1"/>
    <col min="21" max="21" width="7.28515625" customWidth="1"/>
    <col min="22" max="22" width="11.28515625" customWidth="1"/>
    <col min="23" max="23" width="9.85546875" customWidth="1"/>
    <col min="24" max="24" width="7.28515625" customWidth="1"/>
    <col min="25" max="25" width="11.28515625" customWidth="1"/>
    <col min="26" max="26" width="17.140625" customWidth="1"/>
    <col min="27" max="27" width="6.7109375" customWidth="1"/>
    <col min="28" max="28" width="7.140625" customWidth="1"/>
    <col min="29" max="29" width="17.140625" customWidth="1"/>
    <col min="30" max="30" width="6.7109375" customWidth="1"/>
    <col min="31" max="31" width="7.140625" customWidth="1"/>
    <col min="32" max="32" width="17.140625" customWidth="1"/>
    <col min="33" max="33" width="6.7109375" customWidth="1"/>
    <col min="34" max="34" width="7.140625" customWidth="1"/>
  </cols>
  <sheetData>
    <row>
      <c s="8" t="s">
        <v>23</v>
      </c>
      <c s="8"/>
      <c s="8"/>
      <c s="8"/>
      <c s="8"/>
      <c s="30"/>
    </row>
    <row s="37" customFormat="1">
      <c s="11" t="s">
        <v>13</v>
      </c>
      <c s="11"/>
      <c s="11"/>
      <c s="11"/>
      <c s="11"/>
      <c s="54"/>
    </row>
    <row ht="15" customHeight="1" s="37" customFormat="1">
      <c s="52" t="s">
        <v>97</v>
      </c>
      <c s="12"/>
      <c s="12"/>
      <c s="12"/>
      <c s="12"/>
      <c s="46"/>
    </row>
    <row s="37" customFormat="1">
      <c s="3" t="s">
        <v>154</v>
      </c>
      <c s="3"/>
      <c s="3"/>
      <c s="3"/>
      <c s="3"/>
      <c s="3"/>
      <c s="3"/>
      <c s="3"/>
    </row>
    <row s="64" customFormat="1">
      <c s="3" t="s">
        <v>51</v>
      </c>
      <c s="3"/>
      <c s="3"/>
      <c s="3"/>
      <c s="3"/>
      <c s="3"/>
      <c s="3"/>
      <c s="3"/>
    </row>
    <row ht="39.75" customHeight="1" s="64" customFormat="1">
      <c s="3" t="s">
        <v>139</v>
      </c>
      <c s="3"/>
      <c s="3"/>
      <c s="3"/>
      <c s="3"/>
      <c s="3"/>
      <c s="3"/>
      <c s="55"/>
    </row>
    <row ht="15" customHeight="1">
      <c s="66" t="s">
        <v>140</v>
      </c>
      <c s="7"/>
      <c s="7"/>
      <c s="7"/>
      <c s="7"/>
      <c s="7"/>
    </row>
    <row>
      <c s="35" t="s">
        <v>117</v>
      </c>
      <c s="6"/>
      <c s="6"/>
      <c s="6"/>
      <c s="6"/>
      <c s="30"/>
    </row>
    <row>
      <c s="6"/>
      <c s="6"/>
      <c s="6"/>
      <c s="6"/>
      <c s="6"/>
      <c s="30"/>
    </row>
    <row ht="15" customHeight="1">
      <c s="28" t="s">
        <v>65</v>
      </c>
      <c s="51" t="s">
        <v>64</v>
      </c>
      <c r="F10" t="s">
        <v>39</v>
      </c>
    </row>
    <row ht="15" customHeight="1">
      <c s="28" t="s">
        <v>12</v>
      </c>
      <c s="51" t="s">
        <v>32</v>
      </c>
      <c r="F11" t="s">
        <v>39</v>
      </c>
    </row>
    <row ht="15" customHeight="1">
      <c s="28" t="s">
        <v>1</v>
      </c>
      <c s="51" t="s">
        <v>32</v>
      </c>
      <c r="F12" t="s">
        <v>39</v>
      </c>
    </row>
    <row ht="15" customHeight="1">
      <c s="28" t="s">
        <v>147</v>
      </c>
      <c s="51" t="s">
        <v>32</v>
      </c>
      <c r="F13" t="s">
        <v>39</v>
      </c>
    </row>
    <row ht="15" customHeight="1">
      <c s="28" t="s">
        <v>119</v>
      </c>
      <c s="51" t="s">
        <v>32</v>
      </c>
      <c r="F14" t="s">
        <v>39</v>
      </c>
    </row>
    <row ht="15" customHeight="1">
      <c s="28" t="s">
        <v>15</v>
      </c>
      <c s="51" t="s">
        <v>32</v>
      </c>
      <c r="F15" t="s">
        <v>39</v>
      </c>
    </row>
    <row ht="15" customHeight="1">
      <c s="28" t="s">
        <v>108</v>
      </c>
      <c s="51" t="s">
        <v>32</v>
      </c>
      <c r="F16" t="s">
        <v>39</v>
      </c>
    </row>
    <row ht="15" customHeight="1">
      <c s="28" t="s">
        <v>77</v>
      </c>
      <c s="51" t="s">
        <v>32</v>
      </c>
      <c r="F17" t="s">
        <v>39</v>
      </c>
    </row>
    <row ht="15" customHeight="1">
      <c s="28" t="s">
        <v>118</v>
      </c>
      <c s="51" t="s">
        <v>32</v>
      </c>
      <c r="F18" t="s">
        <v>39</v>
      </c>
    </row>
    <row ht="15" hidden="1" customHeight="1">
      <c s="28" t="s">
        <v>131</v>
      </c>
      <c s="51" t="s">
        <v>0</v>
      </c>
    </row>
    <row ht="15" hidden="1" customHeight="1">
      <c s="28" t="s">
        <v>98</v>
      </c>
      <c s="51" t="s">
        <v>14</v>
      </c>
    </row>
    <row ht="15" hidden="1">
      <c s="28" t="s">
        <v>76</v>
      </c>
      <c s="51" t="s">
        <v>24</v>
      </c>
    </row>
    <row>
      <c/>
    </row>
    <row>
      <c/>
    </row>
    <row ht="15" customHeight="1">
      <c/>
      <c s="9" t="s">
        <v>25</v>
      </c>
      <c s="9"/>
      <c s="9"/>
      <c s="9"/>
      <c s="9"/>
    </row>
    <row>
      <c/>
      <c s="9" t="s">
        <v>16</v>
      </c>
      <c s="9"/>
      <c s="9"/>
      <c s="26" t="s">
        <v>99</v>
      </c>
      <c s="26"/>
    </row>
    <row>
      <c s="28" t="s">
        <v>87</v>
      </c>
      <c s="13" t="s">
        <v>4</v>
      </c>
      <c s="13" t="s">
        <v>57</v>
      </c>
      <c s="47" t="s">
        <v>32</v>
      </c>
      <c s="13" t="s">
        <v>4</v>
      </c>
      <c s="13" t="s">
        <v>57</v>
      </c>
    </row>
    <row>
      <c s="63" t="s">
        <v>36</v>
      </c>
      <c s="21">
        <v>1513</v>
      </c>
      <c s="21">
        <v>262</v>
      </c>
      <c s="36">
        <v>1775</v>
      </c>
      <c s="25">
        <v>0.85239436619718312</v>
      </c>
      <c s="25">
        <v>0.14760563380281691</v>
      </c>
    </row>
    <row>
      <c s="63" t="s">
        <v>56</v>
      </c>
      <c s="21">
        <v>3320.8836000000015</v>
      </c>
      <c s="21">
        <v>1647.3025499999999</v>
      </c>
      <c s="36">
        <v>4968.1861500000014</v>
      </c>
      <c s="25">
        <v>0.66842978498299632</v>
      </c>
      <c s="25">
        <v>0.33157021501700362</v>
      </c>
    </row>
    <row>
      <c s="63" t="s">
        <v>18</v>
      </c>
      <c s="21">
        <v>3</v>
      </c>
      <c s="21">
        <v>1</v>
      </c>
      <c s="36">
        <v>4</v>
      </c>
      <c s="25">
        <v>0.75</v>
      </c>
      <c s="25">
        <v>0.25</v>
      </c>
    </row>
    <row>
      <c s="63" t="s">
        <v>146</v>
      </c>
      <c s="21">
        <v>112</v>
      </c>
      <c s="21">
        <v>54</v>
      </c>
      <c s="36">
        <v>166</v>
      </c>
      <c s="25">
        <v>0.67469879518072284</v>
      </c>
      <c s="25">
        <v>0.3253012048192771</v>
      </c>
    </row>
    <row>
      <c s="63" t="s">
        <v>148</v>
      </c>
      <c s="21">
        <v>108</v>
      </c>
      <c s="21">
        <v>57</v>
      </c>
      <c s="36">
        <v>165</v>
      </c>
      <c s="25">
        <v>0.65454545454545454</v>
      </c>
      <c s="25">
        <v>0.34545454545454546</v>
      </c>
    </row>
    <row>
      <c s="63" t="s">
        <v>113</v>
      </c>
      <c s="21">
        <v>1025</v>
      </c>
      <c s="21">
        <v>286</v>
      </c>
      <c s="36">
        <v>1311</v>
      </c>
      <c s="25">
        <v>0.78184591914569035</v>
      </c>
      <c s="25">
        <v>0.21815408085430968</v>
      </c>
    </row>
    <row>
      <c s="63" t="s">
        <v>71</v>
      </c>
      <c s="21">
        <v>1342.0000000000005</v>
      </c>
      <c s="21">
        <v>805.29999999999984</v>
      </c>
      <c s="36">
        <v>2147.3000000000002</v>
      </c>
      <c s="25">
        <v>0.62497089368043601</v>
      </c>
      <c s="25">
        <v>0.37502910631956399</v>
      </c>
    </row>
    <row>
      <c s="63" t="s">
        <v>123</v>
      </c>
      <c s="21">
        <v>173</v>
      </c>
      <c s="21">
        <v>188</v>
      </c>
      <c s="36">
        <v>361</v>
      </c>
      <c s="25">
        <v>0.47922437673130192</v>
      </c>
      <c s="25">
        <v>0.52077562326869808</v>
      </c>
    </row>
    <row>
      <c s="63" t="s">
        <v>17</v>
      </c>
      <c s="21">
        <v>1006</v>
      </c>
      <c s="21">
        <v>910</v>
      </c>
      <c s="36">
        <v>1916</v>
      </c>
      <c s="25">
        <v>0.52505219206680587</v>
      </c>
      <c s="25">
        <v>0.47494780793319413</v>
      </c>
    </row>
    <row>
      <c s="63" t="s">
        <v>135</v>
      </c>
      <c s="21">
        <v>813</v>
      </c>
      <c s="21">
        <v>659</v>
      </c>
      <c s="36">
        <v>1472</v>
      </c>
      <c s="25">
        <v>0.55230978260869568</v>
      </c>
      <c s="25">
        <v>0.44769021739130432</v>
      </c>
    </row>
    <row>
      <c s="63" t="s">
        <v>112</v>
      </c>
      <c s="21">
        <v>2331</v>
      </c>
      <c s="21">
        <v>794</v>
      </c>
      <c s="36">
        <v>3125</v>
      </c>
      <c s="25">
        <v>0.74592000000000003</v>
      </c>
      <c s="25">
        <v>0.25407999999999997</v>
      </c>
    </row>
    <row>
      <c s="63" t="s">
        <v>122</v>
      </c>
      <c s="21">
        <v>1279</v>
      </c>
      <c s="21">
        <v>303</v>
      </c>
      <c s="36">
        <v>1582</v>
      </c>
      <c s="25">
        <v>0.80847029077117571</v>
      </c>
      <c s="25">
        <v>0.19152970922882429</v>
      </c>
    </row>
    <row>
      <c s="63" t="s">
        <v>103</v>
      </c>
      <c s="21">
        <v>475.50000000000023</v>
      </c>
      <c s="21">
        <v>171.99999999999997</v>
      </c>
      <c s="36">
        <v>647.5</v>
      </c>
      <c s="25">
        <v>0.73436293436293476</v>
      </c>
      <c s="25">
        <v>0.26563706563706557</v>
      </c>
    </row>
    <row>
      <c s="63" t="s">
        <v>35</v>
      </c>
      <c s="21">
        <v>690.70000000000005</v>
      </c>
      <c s="21">
        <v>974</v>
      </c>
      <c s="36">
        <v>1664.7</v>
      </c>
      <c s="25">
        <v>0.41490959332011773</v>
      </c>
      <c s="25">
        <v>0.58509040667988221</v>
      </c>
    </row>
    <row>
      <c s="63" t="s">
        <v>102</v>
      </c>
      <c s="21">
        <v>929</v>
      </c>
      <c s="21">
        <v>640</v>
      </c>
      <c s="36">
        <v>1569</v>
      </c>
      <c s="25">
        <v>0.59209687699171443</v>
      </c>
      <c s="25">
        <v>0.40790312300828552</v>
      </c>
    </row>
    <row>
      <c s="63" t="s">
        <v>29</v>
      </c>
      <c s="21">
        <v>1946</v>
      </c>
      <c s="21">
        <v>689</v>
      </c>
      <c s="36">
        <v>2635</v>
      </c>
      <c s="25">
        <v>0.73851992409867173</v>
      </c>
      <c s="25">
        <v>0.26148007590132827</v>
      </c>
    </row>
    <row>
      <c s="63" t="s">
        <v>81</v>
      </c>
      <c s="21">
        <v>1685</v>
      </c>
      <c s="21">
        <v>558</v>
      </c>
      <c s="36">
        <v>2243</v>
      </c>
      <c s="25">
        <v>0.75122603655818099</v>
      </c>
      <c s="25">
        <v>0.24877396344181898</v>
      </c>
    </row>
    <row>
      <c s="63" t="s">
        <v>144</v>
      </c>
      <c s="21">
        <v>1332</v>
      </c>
      <c s="21">
        <v>307</v>
      </c>
      <c s="36">
        <v>1639</v>
      </c>
      <c s="25">
        <v>0.81269066503965837</v>
      </c>
      <c s="25">
        <v>0.18730933496034166</v>
      </c>
    </row>
    <row>
      <c s="63" t="s">
        <v>28</v>
      </c>
      <c s="21">
        <v>283</v>
      </c>
      <c s="21">
        <v>171</v>
      </c>
      <c s="36">
        <v>454</v>
      </c>
      <c s="25">
        <v>0.62334801762114533</v>
      </c>
      <c s="25">
        <v>0.37665198237885461</v>
      </c>
    </row>
    <row>
      <c s="63" t="s">
        <v>22</v>
      </c>
      <c s="21">
        <v>1817</v>
      </c>
      <c s="21">
        <v>2202</v>
      </c>
      <c s="36">
        <v>4019</v>
      </c>
      <c s="25">
        <v>0.45210251306295096</v>
      </c>
      <c s="25">
        <v>0.54789748693704898</v>
      </c>
    </row>
    <row>
      <c s="63" t="s">
        <v>70</v>
      </c>
      <c s="21">
        <v>121</v>
      </c>
      <c s="21">
        <v>133</v>
      </c>
      <c s="36">
        <v>254</v>
      </c>
      <c s="25">
        <v>0.4763779527559055</v>
      </c>
      <c s="25">
        <v>0.52362204724409445</v>
      </c>
    </row>
    <row>
      <c s="63" t="s">
        <v>63</v>
      </c>
      <c s="21">
        <v>109</v>
      </c>
      <c s="21">
        <v>255</v>
      </c>
      <c s="36">
        <v>364</v>
      </c>
      <c s="25">
        <v>0.29945054945054944</v>
      </c>
      <c s="25">
        <v>0.7005494505494505</v>
      </c>
    </row>
    <row>
      <c s="63" t="s">
        <v>69</v>
      </c>
      <c s="21">
        <v>1672</v>
      </c>
      <c s="21">
        <v>1467</v>
      </c>
      <c s="36">
        <v>3139</v>
      </c>
      <c s="25">
        <v>0.53265371137304873</v>
      </c>
      <c s="25">
        <v>0.46734628862695127</v>
      </c>
    </row>
    <row>
      <c s="63" t="s">
        <v>44</v>
      </c>
      <c s="21">
        <v>80</v>
      </c>
      <c s="21">
        <v>32</v>
      </c>
      <c s="36">
        <v>112</v>
      </c>
      <c s="25">
        <v>0.7142857142857143</v>
      </c>
      <c s="25">
        <v>0.2857142857142857</v>
      </c>
    </row>
    <row>
      <c s="63" t="s">
        <v>134</v>
      </c>
      <c s="21">
        <v>3844</v>
      </c>
      <c s="21">
        <v>2399.5</v>
      </c>
      <c s="36">
        <v>6243.5</v>
      </c>
      <c s="25">
        <v>0.61568030751982061</v>
      </c>
      <c s="25">
        <v>0.38431969248017939</v>
      </c>
    </row>
    <row>
      <c s="63" t="s">
        <v>92</v>
      </c>
      <c s="21">
        <v>1909</v>
      </c>
      <c s="21">
        <v>1635</v>
      </c>
      <c s="36">
        <v>3544</v>
      </c>
      <c s="25">
        <v>0.53865688487584651</v>
      </c>
      <c s="25">
        <v>0.46134311512415349</v>
      </c>
    </row>
    <row>
      <c s="63" t="s">
        <v>101</v>
      </c>
      <c s="21">
        <v>2241</v>
      </c>
      <c s="21">
        <v>897</v>
      </c>
      <c s="36">
        <v>3138</v>
      </c>
      <c s="25">
        <v>0.71414913957934989</v>
      </c>
      <c s="25">
        <v>0.28585086042065011</v>
      </c>
    </row>
    <row>
      <c s="63" t="s">
        <v>68</v>
      </c>
      <c s="21">
        <v>547.5</v>
      </c>
      <c s="21">
        <v>171</v>
      </c>
      <c s="36">
        <v>718.5</v>
      </c>
      <c s="25">
        <v>0.76200417536534448</v>
      </c>
      <c s="25">
        <v>0.23799582463465555</v>
      </c>
    </row>
    <row>
      <c s="63" t="s">
        <v>80</v>
      </c>
      <c s="21">
        <v>261</v>
      </c>
      <c s="21">
        <v>193</v>
      </c>
      <c s="36">
        <v>454</v>
      </c>
      <c s="25">
        <v>0.57488986784140972</v>
      </c>
      <c s="25">
        <v>0.42511013215859028</v>
      </c>
    </row>
    <row>
      <c s="63" t="s">
        <v>133</v>
      </c>
      <c s="21">
        <v>342.00000000000006</v>
      </c>
      <c s="21">
        <v>218.99999999999997</v>
      </c>
      <c s="36">
        <v>561.00000000000011</v>
      </c>
      <c s="25">
        <v>0.60962566844919786</v>
      </c>
      <c s="25">
        <v>0.39037433155080203</v>
      </c>
    </row>
    <row>
      <c s="63" t="s">
        <v>121</v>
      </c>
      <c s="21">
        <v>476.99999999999994</v>
      </c>
      <c s="21">
        <v>399.16666999999995</v>
      </c>
      <c s="36">
        <v>876.16666999999995</v>
      </c>
      <c s="25">
        <v>0.54441696578117948</v>
      </c>
      <c s="25">
        <v>0.45558303421882046</v>
      </c>
    </row>
    <row>
      <c s="63" t="s">
        <v>79</v>
      </c>
      <c s="21">
        <v>759</v>
      </c>
      <c s="21">
        <v>871</v>
      </c>
      <c s="36">
        <v>1630</v>
      </c>
      <c s="25">
        <v>0.46564417177914108</v>
      </c>
      <c s="25">
        <v>0.53435582822085892</v>
      </c>
    </row>
    <row>
      <c s="63" t="s">
        <v>55</v>
      </c>
      <c s="21">
        <v>597</v>
      </c>
      <c s="21">
        <v>1144.5</v>
      </c>
      <c s="36">
        <v>1741.5</v>
      </c>
      <c s="25">
        <v>0.34280792420327305</v>
      </c>
      <c s="25">
        <v>0.657192075796727</v>
      </c>
    </row>
    <row>
      <c s="63" t="s">
        <v>111</v>
      </c>
      <c s="21">
        <v>459</v>
      </c>
      <c s="21">
        <v>779</v>
      </c>
      <c s="36">
        <v>1238</v>
      </c>
      <c s="25">
        <v>0.37075928917609047</v>
      </c>
      <c s="25">
        <v>0.62924071082390953</v>
      </c>
    </row>
    <row>
      <c s="63" t="s">
        <v>54</v>
      </c>
      <c s="21">
        <v>259</v>
      </c>
      <c s="21">
        <v>274</v>
      </c>
      <c s="36">
        <v>533</v>
      </c>
      <c s="25">
        <v>0.48592870544090055</v>
      </c>
      <c s="25">
        <v>0.51407129455909939</v>
      </c>
    </row>
    <row>
      <c s="63" t="s">
        <v>91</v>
      </c>
      <c s="21">
        <v>789.5</v>
      </c>
      <c s="21">
        <v>627</v>
      </c>
      <c s="36">
        <v>1416.5</v>
      </c>
      <c s="25">
        <v>0.55735968937522062</v>
      </c>
      <c s="25">
        <v>0.44264031062477938</v>
      </c>
    </row>
    <row>
      <c s="63" t="s">
        <v>100</v>
      </c>
      <c s="21">
        <v>468</v>
      </c>
      <c s="21">
        <v>1484</v>
      </c>
      <c s="36">
        <v>1952</v>
      </c>
      <c s="25">
        <v>0.23975409836065573</v>
      </c>
      <c s="25">
        <v>0.76024590163934425</v>
      </c>
    </row>
    <row>
      <c s="63" t="s">
        <v>53</v>
      </c>
      <c s="21">
        <v>7</v>
      </c>
      <c s="21">
        <v>22</v>
      </c>
      <c s="36">
        <v>29</v>
      </c>
      <c s="25">
        <v>0.2413793103448276</v>
      </c>
      <c s="25">
        <v>0.75862068965517238</v>
      </c>
    </row>
    <row>
      <c s="63" t="s">
        <v>110</v>
      </c>
      <c s="21">
        <v>266</v>
      </c>
      <c s="21">
        <v>809</v>
      </c>
      <c s="36">
        <v>1075</v>
      </c>
      <c s="25">
        <v>0.24744186046511629</v>
      </c>
      <c s="25">
        <v>0.75255813953488371</v>
      </c>
    </row>
    <row>
      <c s="63" t="s">
        <v>62</v>
      </c>
      <c s="21">
        <v>907.5</v>
      </c>
      <c s="21">
        <v>2454</v>
      </c>
      <c s="36">
        <v>3361.5</v>
      </c>
      <c s="25">
        <v>0.26996876394466757</v>
      </c>
      <c s="25">
        <v>0.73003123605533249</v>
      </c>
    </row>
    <row>
      <c s="63" t="s">
        <v>143</v>
      </c>
      <c s="21">
        <v>532.5</v>
      </c>
      <c s="21">
        <v>646.5</v>
      </c>
      <c s="36">
        <v>1179</v>
      </c>
      <c s="25">
        <v>0.45165394402035625</v>
      </c>
      <c s="25">
        <v>0.54834605597964381</v>
      </c>
    </row>
    <row>
      <c s="63" t="s">
        <v>43</v>
      </c>
      <c s="21">
        <v>170</v>
      </c>
      <c s="21">
        <v>223</v>
      </c>
      <c s="36">
        <v>393</v>
      </c>
      <c s="25">
        <v>0.43256997455470736</v>
      </c>
      <c s="25">
        <v>0.56743002544529264</v>
      </c>
    </row>
    <row>
      <c s="63" t="s">
        <v>90</v>
      </c>
      <c s="21">
        <v>147</v>
      </c>
      <c s="21">
        <v>646</v>
      </c>
      <c s="36">
        <v>793</v>
      </c>
      <c s="25">
        <v>0.1853720050441362</v>
      </c>
      <c s="25">
        <v>0.8146279949558638</v>
      </c>
    </row>
    <row>
      <c s="63" t="s">
        <v>27</v>
      </c>
      <c s="21">
        <v>79</v>
      </c>
      <c s="21">
        <v>418.5</v>
      </c>
      <c s="36">
        <v>497.5</v>
      </c>
      <c s="25">
        <v>0.15879396984924624</v>
      </c>
      <c s="25">
        <v>0.84120603015075379</v>
      </c>
    </row>
    <row>
      <c s="63" t="s">
        <v>26</v>
      </c>
      <c s="21">
        <v>309</v>
      </c>
      <c s="21">
        <v>1436</v>
      </c>
      <c s="36">
        <v>1745</v>
      </c>
      <c s="25">
        <v>0.17707736389684814</v>
      </c>
      <c s="25">
        <v>0.82292263610315186</v>
      </c>
    </row>
    <row>
      <c s="63" t="s">
        <v>61</v>
      </c>
      <c s="21">
        <v>71</v>
      </c>
      <c s="21">
        <v>42</v>
      </c>
      <c s="36">
        <v>113</v>
      </c>
      <c s="25">
        <v>0.62831858407079644</v>
      </c>
      <c s="25">
        <v>0.37168141592920356</v>
      </c>
    </row>
    <row>
      <c s="63" t="s">
        <v>3</v>
      </c>
      <c s="21">
        <v>14</v>
      </c>
      <c s="21">
        <v>36</v>
      </c>
      <c s="36">
        <v>50</v>
      </c>
      <c s="25">
        <v>0.28000000000000003</v>
      </c>
      <c s="25">
        <v>0.71999999999999997</v>
      </c>
    </row>
    <row>
      <c s="63" t="s">
        <v>78</v>
      </c>
      <c s="21">
        <v>49</v>
      </c>
      <c s="21">
        <v>130</v>
      </c>
      <c s="36">
        <v>179</v>
      </c>
      <c s="25">
        <v>0.27374301675977653</v>
      </c>
      <c s="25">
        <v>0.72625698324022347</v>
      </c>
    </row>
    <row>
      <c s="63" t="s">
        <v>60</v>
      </c>
      <c s="21">
        <v>1988</v>
      </c>
      <c s="21">
        <v>1337</v>
      </c>
      <c s="36">
        <v>3325</v>
      </c>
      <c s="25">
        <v>0.59789473684210526</v>
      </c>
      <c s="25">
        <v>0.40210526315789474</v>
      </c>
    </row>
    <row>
      <c s="63" t="s">
        <v>42</v>
      </c>
      <c s="21">
        <v>484</v>
      </c>
      <c s="21">
        <v>865</v>
      </c>
      <c s="36">
        <v>1349</v>
      </c>
      <c s="25">
        <v>0.35878428465530021</v>
      </c>
      <c s="25">
        <v>0.64121571534469979</v>
      </c>
    </row>
    <row>
      <c s="63" t="s">
        <v>109</v>
      </c>
      <c s="21">
        <v>808</v>
      </c>
      <c s="21">
        <v>1026</v>
      </c>
      <c s="36">
        <v>1834</v>
      </c>
      <c s="25">
        <v>0.44056706652126498</v>
      </c>
      <c s="25">
        <v>0.55943293347873502</v>
      </c>
    </row>
    <row>
      <c s="63" t="s">
        <v>2</v>
      </c>
      <c s="21">
        <v>229</v>
      </c>
      <c s="21">
        <v>182</v>
      </c>
      <c s="36">
        <v>411</v>
      </c>
      <c s="25">
        <v>0.55717761557177614</v>
      </c>
      <c s="25">
        <v>0.44282238442822386</v>
      </c>
    </row>
    <row>
      <c s="63" t="s">
        <v>142</v>
      </c>
      <c s="21">
        <v>21</v>
      </c>
      <c s="21">
        <v>17</v>
      </c>
      <c s="36">
        <v>38</v>
      </c>
      <c s="25">
        <v>0.55263157894736847</v>
      </c>
      <c s="25">
        <v>0.44736842105263158</v>
      </c>
    </row>
    <row>
      <c s="63" t="s">
        <v>89</v>
      </c>
      <c s="21">
        <v>98</v>
      </c>
      <c s="21">
        <v>165</v>
      </c>
      <c s="36">
        <v>263</v>
      </c>
      <c s="25">
        <v>0.37262357414448671</v>
      </c>
      <c s="25">
        <v>0.62737642585551334</v>
      </c>
    </row>
    <row>
      <c s="63" t="s">
        <v>34</v>
      </c>
      <c s="21">
        <v>307</v>
      </c>
      <c s="21">
        <v>70</v>
      </c>
      <c s="36">
        <v>377</v>
      </c>
      <c s="25">
        <v>0.81432360742705567</v>
      </c>
      <c s="25">
        <v>0.1856763925729443</v>
      </c>
    </row>
    <row>
      <c s="63" t="s">
        <v>141</v>
      </c>
      <c s="21">
        <v>11</v>
      </c>
      <c s="21">
        <v>10</v>
      </c>
      <c s="36">
        <v>21</v>
      </c>
      <c s="25">
        <v>0.52380952380952384</v>
      </c>
      <c s="25">
        <v>0.47619047619047616</v>
      </c>
    </row>
    <row>
      <c s="63" t="s">
        <v>52</v>
      </c>
      <c s="21">
        <v>115</v>
      </c>
      <c s="21">
        <v>55</v>
      </c>
      <c s="36">
        <v>170</v>
      </c>
      <c s="25">
        <v>0.67647058823529416</v>
      </c>
      <c s="25">
        <v>0.3235294117647059</v>
      </c>
    </row>
    <row>
      <c s="63" t="s">
        <v>132</v>
      </c>
      <c s="21">
        <v>2051.5668999999998</v>
      </c>
      <c s="21">
        <v>1358.3333999999995</v>
      </c>
      <c s="36">
        <v>3409.9002999999998</v>
      </c>
      <c s="25">
        <v>0.60165011276136138</v>
      </c>
      <c s="25">
        <v>0.39834988723863851</v>
      </c>
    </row>
    <row>
      <c s="63" t="s">
        <v>59</v>
      </c>
      <c s="21">
        <v>32</v>
      </c>
      <c s="21">
        <v>11</v>
      </c>
      <c s="36">
        <v>43</v>
      </c>
      <c s="25">
        <v>0.7441860465116279</v>
      </c>
      <c s="25">
        <v>0.2558139534883721</v>
      </c>
    </row>
    <row>
      <c s="63" t="s">
        <v>67</v>
      </c>
      <c s="21">
        <v>939</v>
      </c>
      <c s="21">
        <v>307.5</v>
      </c>
      <c s="36">
        <v>1246.5</v>
      </c>
      <c s="25">
        <v>0.75330926594464498</v>
      </c>
      <c s="25">
        <v>0.24669073405535499</v>
      </c>
    </row>
    <row>
      <c s="63" t="s">
        <v>88</v>
      </c>
      <c s="21">
        <v>1</v>
      </c>
      <c s="21"/>
      <c s="36">
        <v>1</v>
      </c>
      <c s="25">
        <v>1</v>
      </c>
      <c s="25"/>
    </row>
    <row>
      <c s="63" t="s">
        <v>66</v>
      </c>
      <c s="21">
        <v>26</v>
      </c>
      <c s="21">
        <v>12</v>
      </c>
      <c s="36">
        <v>38</v>
      </c>
      <c s="25">
        <v>0.68421052631578949</v>
      </c>
      <c s="25">
        <v>0.31578947368421051</v>
      </c>
    </row>
    <row>
      <c s="63" t="s">
        <v>41</v>
      </c>
      <c s="21">
        <v>392</v>
      </c>
      <c s="21">
        <v>343</v>
      </c>
      <c s="36">
        <v>735</v>
      </c>
      <c s="25">
        <v>0.53333333333333333</v>
      </c>
      <c s="25">
        <v>0.46666666666666667</v>
      </c>
    </row>
    <row>
      <c s="63" t="s">
        <v>33</v>
      </c>
      <c s="21">
        <v>39</v>
      </c>
      <c s="21">
        <v>11</v>
      </c>
      <c s="36">
        <v>50</v>
      </c>
      <c s="25">
        <v>0.78000000000000003</v>
      </c>
      <c s="25">
        <v>0.22</v>
      </c>
    </row>
    <row>
      <c s="63" t="s">
        <v>120</v>
      </c>
      <c s="21">
        <v>33</v>
      </c>
      <c s="21">
        <v>41</v>
      </c>
      <c s="36">
        <v>74</v>
      </c>
      <c s="25">
        <v>0.44594594594594594</v>
      </c>
      <c s="25">
        <v>0.55405405405405406</v>
      </c>
    </row>
    <row>
      <c s="63" t="s">
        <v>40</v>
      </c>
      <c s="21">
        <v>122</v>
      </c>
      <c s="21">
        <v>96</v>
      </c>
      <c s="36">
        <v>218</v>
      </c>
      <c s="25">
        <v>0.55963302752293576</v>
      </c>
      <c s="25">
        <v>0.44036697247706424</v>
      </c>
    </row>
    <row>
      <c s="70" t="s">
        <v>32</v>
      </c>
      <c s="15">
        <v>47367.650499999996</v>
      </c>
      <c s="15">
        <v>37429.602619999998</v>
      </c>
      <c s="15">
        <v>84797.253120000023</v>
      </c>
      <c s="19">
        <v>0.5585988785859386</v>
      </c>
      <c s="19">
        <v>0.44140112141406107</v>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s="1"/>
      <c s="1"/>
      <c s="1"/>
      <c s="1"/>
      <c s="1"/>
      <c s="1"/>
      <c s="1"/>
      <c s="1"/>
      <c s="1"/>
      <c s="1"/>
      <c s="1"/>
    </row>
    <row>
      <c s="1"/>
      <c s="1"/>
      <c s="1"/>
      <c s="1"/>
      <c s="1"/>
      <c s="1"/>
      <c s="1"/>
      <c s="1"/>
      <c s="1"/>
      <c s="1"/>
      <c s="1"/>
    </row>
    <row>
      <c s="1"/>
      <c s="1"/>
      <c s="1"/>
      <c s="1"/>
      <c s="1"/>
      <c s="1"/>
      <c s="1"/>
      <c s="1"/>
      <c s="1"/>
      <c s="1"/>
      <c s="1"/>
    </row>
    <row>
      <c s="34"/>
      <c s="2"/>
      <c s="2"/>
      <c s="2"/>
      <c s="2"/>
      <c s="2"/>
      <c s="2"/>
      <c s="2"/>
      <c s="2"/>
      <c s="2"/>
      <c s="1"/>
    </row>
    <row>
      <c s="1"/>
      <c s="1"/>
      <c s="1"/>
      <c s="1"/>
      <c s="1"/>
      <c s="1"/>
      <c s="1"/>
      <c s="1"/>
      <c s="1"/>
      <c s="1"/>
      <c s="1"/>
    </row>
    <row>
      <c s="1"/>
      <c s="1"/>
      <c s="1"/>
      <c s="1"/>
      <c s="1"/>
      <c s="1"/>
      <c s="1"/>
      <c s="1"/>
      <c s="1"/>
      <c s="1"/>
      <c s="1"/>
    </row>
    <row>
      <c s="1"/>
      <c s="1"/>
      <c s="1"/>
      <c s="1"/>
      <c s="1"/>
      <c s="1"/>
      <c s="1"/>
      <c s="1"/>
      <c s="1"/>
      <c s="1"/>
      <c s="1"/>
    </row>
    <row>
      <c s="1"/>
      <c s="1"/>
      <c s="1"/>
      <c s="1"/>
      <c s="1"/>
      <c s="1"/>
      <c s="1"/>
      <c s="1"/>
      <c s="1"/>
      <c s="1"/>
      <c s="1"/>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sheetData>
  <mergeCells count="6">
    <mergeCell ref="A4:H4"/>
    <mergeCell ref="A5:H5"/>
    <mergeCell ref="A6:G6"/>
    <mergeCell ref="B24:F24"/>
    <mergeCell ref="B25:D25"/>
    <mergeCell ref="E25:F25"/>
  </mergeCells>
  <pageMargins left="0.70866141732283472" right="0.70866141732283472" top="0.78740157480314965" bottom="0.78740157480314965" header="0.31496062992125984" footer="0.31496062992125984"/>
  <pageSetup paperSize="9" scale="82" fitToHeight="0" orientation="landscape"/>
  <headerFooter>
    <oddHeader>&amp;L&amp;"Tahoma,Standard"&amp;10unidata.gv.at&amp;R&amp;"Tahoma,Standard"&amp;10&amp;D</oddHeader>
    <oddFooter>&amp;R&amp;"Tahoma,Standard"&amp;10&amp;P/&amp;N</oddFooter>
  </headerFooter>
  <rowBreaks count="1" manualBreakCount="1">
    <brk id="77" max="8" man="1"/>
  </rowBreaks>
  <drawing r:id="rId1"/>
</worksheet>
</file>

<file path=xl/worksheets/sheet2.xml><?xml version="1.0" encoding="utf-8"?>
<worksheet xmlns:r="http://schemas.openxmlformats.org/officeDocument/2006/relationships" xmlns="http://schemas.openxmlformats.org/spreadsheetml/2006/main">
  <dimension ref="A1:Z34"/>
  <sheetViews>
    <sheetView workbookViewId="0">
      <selection activeCell="E32" sqref="E32"/>
    </sheetView>
  </sheetViews>
  <sheetFormatPr defaultColWidth="9.140625" defaultRowHeight="13.6"/>
  <cols>
    <col min="1" max="1" width="13.5703125" style="20" customWidth="1"/>
    <col min="2" max="2" width="40.85546875" style="20" customWidth="1"/>
    <col min="3" max="3" width="28.140625" style="20" customWidth="1"/>
    <col min="4" max="4" width="16.28515625" style="20" customWidth="1"/>
    <col min="5" max="5" width="19.42578125" style="20" customWidth="1"/>
    <col min="6" max="6" width="11.140625" style="20" customWidth="1"/>
    <col min="7" max="7" width="9.140625" style="20" customWidth="1"/>
    <col min="8" max="8" width="17.28515625" style="20" customWidth="1"/>
    <col min="9" max="9" width="19.5703125" style="20" customWidth="1"/>
    <col min="10" max="12" width="12.42578125" style="20" customWidth="1"/>
    <col min="13" max="13" width="16" style="20" customWidth="1"/>
    <col min="14" max="14" width="14.28515625" style="20" customWidth="1"/>
    <col min="15" max="15" width="18.28515625" style="20" customWidth="1"/>
    <col min="16" max="25" width="9.140625" style="20" customWidth="1"/>
    <col min="26" max="26" width="9.140625" style="20" hidden="1" customWidth="1"/>
    <col min="27" max="27" width="9.140625" style="20" customWidth="1"/>
    <col min="28" max="16384" width="9.140625" style="20"/>
  </cols>
  <sheetData>
    <row>
      <c s="31"/>
      <c r="H1" s="72">
        <v>129806172700000000</v>
      </c>
      <c r="Z1" s="39" t="b">
        <f>0=1</f>
        <v>0</v>
      </c>
    </row>
    <row>
      <c r="Z2" s="39" t="b">
        <f>1=1</f>
        <v>1</v>
      </c>
    </row>
    <row>
      <c r="Z3" s="39"/>
    </row>
    <row>
      <c r="I4" s="20" t="s">
        <v>58</v>
      </c>
      <c s="33" t="s">
        <v>114</v>
      </c>
      <c s="10"/>
      <c s="10"/>
      <c s="10"/>
      <c s="10"/>
      <c s="10"/>
    </row>
    <row>
      <c r="J5" s="29" t="s">
        <v>45</v>
      </c>
      <c s="17" t="s">
        <v>82</v>
      </c>
      <c s="17" t="s">
        <v>104</v>
      </c>
      <c s="29" t="s">
        <v>149</v>
      </c>
      <c s="45" t="s">
        <v>124</v>
      </c>
      <c s="17" t="s">
        <v>5</v>
      </c>
    </row>
    <row>
      <c r="B6" s="22" t="s">
        <v>125</v>
      </c>
      <c s="18" t="s">
        <v>136</v>
      </c>
      <c s="53" t="s">
        <v>19</v>
      </c>
      <c s="5" t="s">
        <v>83</v>
      </c>
    </row>
    <row>
      <c r="C7" s="14"/>
      <c s="23" t="s">
        <v>20</v>
      </c>
      <c s="5" t="s">
        <v>93</v>
      </c>
    </row>
    <row>
      <c r="C8" s="23" t="s">
        <v>6</v>
      </c>
      <c s="14"/>
    </row>
    <row>
      <c r="C9" s="14"/>
      <c s="18" t="s">
        <v>46</v>
      </c>
      <c s="49"/>
    </row>
    <row>
      <c r="C10" s="18" t="s">
        <v>72</v>
      </c>
      <c s="40" t="s">
        <v>105</v>
      </c>
      <c s="5" t="s">
        <v>30</v>
      </c>
    </row>
    <row>
      <c r="B11" s="22" t="s">
        <v>84</v>
      </c>
      <c s="32" t="s">
        <v>73</v>
      </c>
      <c s="73">
        <v>60398</v>
      </c>
      <c s="5" t="s">
        <v>47</v>
      </c>
    </row>
    <row>
      <c r="B12" s="22"/>
      <c s="62"/>
      <c s="69"/>
      <c s="43" t="s">
        <v>115</v>
      </c>
    </row>
    <row>
      <c r="B13" s="22" t="s">
        <v>74</v>
      </c>
      <c s="57" t="s">
        <v>37</v>
      </c>
      <c s="71">
        <v>1212</v>
      </c>
      <c s="20" t="b">
        <v>0</v>
      </c>
      <c s="5" t="s">
        <v>106</v>
      </c>
    </row>
    <row ht="12.75" hidden="1">
      <c r="B14" s="22"/>
      <c s="57"/>
      <c s="42"/>
      <c s="20" t="b">
        <v>0</v>
      </c>
    </row>
    <row>
      <c r="B15" s="22" t="s">
        <v>137</v>
      </c>
      <c s="20" t="s">
        <v>145</v>
      </c>
      <c s="75">
        <v>1212</v>
      </c>
      <c s="20" t="b">
        <v>0</v>
      </c>
      <c s="5" t="s">
        <v>38</v>
      </c>
    </row>
    <row ht="12.75" hidden="1">
      <c r="B16" s="22"/>
      <c r="D16" s="16"/>
      <c s="20" t="b">
        <v>0</v>
      </c>
      <c s="5"/>
    </row>
    <row>
      <c r="B17" s="22"/>
      <c s="20" t="s">
        <v>48</v>
      </c>
      <c s="60">
        <v>3434</v>
      </c>
      <c s="20" t="b">
        <v>0</v>
      </c>
      <c s="5" t="s">
        <v>107</v>
      </c>
    </row>
    <row>
      <c r="B18" s="22"/>
      <c r="D18" s="16"/>
      <c s="20" t="b">
        <v>0</v>
      </c>
      <c s="5"/>
    </row>
    <row>
      <c r="B19" s="22"/>
      <c s="20" t="s">
        <v>7</v>
      </c>
      <c s="50">
        <v>3434</v>
      </c>
      <c s="20" t="b">
        <v>0</v>
      </c>
      <c s="5" t="s">
        <v>126</v>
      </c>
    </row>
    <row>
      <c r="B20" s="22"/>
      <c r="D20" s="16"/>
      <c s="20" t="b">
        <v>0</v>
      </c>
      <c s="5"/>
    </row>
    <row>
      <c r="B21" s="22"/>
      <c s="20" t="s">
        <v>127</v>
      </c>
      <c s="38">
        <v>5656</v>
      </c>
      <c s="20" t="b">
        <v>0</v>
      </c>
      <c s="5" t="s">
        <v>150</v>
      </c>
    </row>
    <row>
      <c r="B22" s="22"/>
      <c r="E22" s="5"/>
      <c r="I22" s="74"/>
    </row>
    <row>
      <c r="B23" s="24" t="s">
        <v>8</v>
      </c>
      <c s="24"/>
    </row>
    <row>
      <c r="B24" s="4" t="s">
        <v>85</v>
      </c>
      <c s="4" t="s">
        <v>49</v>
      </c>
      <c s="4" t="s">
        <v>21</v>
      </c>
      <c s="4" t="s">
        <v>128</v>
      </c>
      <c s="4"/>
      <c s="4"/>
      <c s="4" t="s">
        <v>151</v>
      </c>
    </row>
    <row>
      <c s="20" t="s">
        <v>94</v>
      </c>
      <c r="C25" s="59" t="s">
        <v>86</v>
      </c>
      <c s="27" t="s">
        <v>9</v>
      </c>
      <c s="27">
        <v>1234.5599999999999</v>
      </c>
      <c s="5" t="s">
        <v>116</v>
      </c>
      <c r="H25" s="20" t="s">
        <v>129</v>
      </c>
    </row>
    <row>
      <c s="20" t="s">
        <v>138</v>
      </c>
      <c r="C26" s="59" t="s">
        <v>86</v>
      </c>
      <c s="27" t="s">
        <v>9</v>
      </c>
      <c s="27">
        <v>1234.5599999999999</v>
      </c>
      <c s="5" t="s">
        <v>95</v>
      </c>
      <c r="H26" s="20" t="s">
        <v>152</v>
      </c>
    </row>
    <row>
      <c r="C27" s="59" t="s">
        <v>86</v>
      </c>
      <c s="76" t="s">
        <v>9</v>
      </c>
      <c s="27">
        <v>1234.5599999999999</v>
      </c>
      <c r="H27" s="20" t="s">
        <v>96</v>
      </c>
    </row>
    <row>
      <c r="C28" s="77" t="s">
        <v>86</v>
      </c>
      <c s="76" t="s">
        <v>75</v>
      </c>
      <c s="27">
        <v>1234.5599999999999</v>
      </c>
      <c r="H28" s="20" t="s">
        <v>50</v>
      </c>
    </row>
    <row>
      <c r="C29" s="77" t="s">
        <v>86</v>
      </c>
      <c s="76" t="s">
        <v>25</v>
      </c>
      <c s="27">
        <v>1234.5599999999999</v>
      </c>
      <c r="H29" s="20" t="s">
        <v>153</v>
      </c>
    </row>
    <row>
      <c r="C30" s="77" t="s">
        <v>10</v>
      </c>
      <c s="76" t="s">
        <v>16</v>
      </c>
      <c s="27">
        <v>1234.5599999999999</v>
      </c>
    </row>
    <row>
      <c r="C31" s="77" t="s">
        <v>130</v>
      </c>
      <c s="56" t="s">
        <v>32</v>
      </c>
      <c s="44">
        <v>1234.5599999999999</v>
      </c>
    </row>
    <row>
      <c r="C32" s="77" t="s">
        <v>10</v>
      </c>
      <c s="58" t="s">
        <v>99</v>
      </c>
      <c s="67">
        <v>1234.5599999999999</v>
      </c>
    </row>
    <row>
      <c r="C33" s="77" t="s">
        <v>11</v>
      </c>
      <c s="41" t="s">
        <v>32</v>
      </c>
      <c s="61">
        <v>1234.5599999999999</v>
      </c>
    </row>
    <row>
      <c r="C34" s="77" t="s">
        <v>31</v>
      </c>
      <c s="48" t="s">
        <v>32</v>
      </c>
      <c s="68">
        <v>1234.5599999999999</v>
      </c>
    </row>
  </sheetData>
  <mergeCells count="2">
    <mergeCell ref="J4:O4"/>
    <mergeCell ref="B23:C23"/>
  </mergeCells>
  <dataValidations count="1">
    <dataValidation type="list" allowBlank="1" showInputMessage="1" showErrorMessage="1" sqref="E13:E21">
      <formula1>$Z$1:$Z$2</formula1>
    </dataValidation>
  </dataValidations>
  <pageMargins left="0.7" right="0.7" top="0.787401575" bottom="0.787401575" header="0.3" footer="0.3"/>
  <pageSetup paperSize="9" orientation="portrait"/>
  <drawing r:id="rId1"/>
</worksheet>
</file>
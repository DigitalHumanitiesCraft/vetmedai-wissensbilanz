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18570" windowHeight="7860"/>
  </bookViews>
  <sheets>
    <sheet name="Tab" sheetId="1" r:id="rId1"/>
    <sheet name="XLCubedFormats" sheetId="2" state="hidden" r:id="rId2"/>
  </sheets>
  <definedNames>
    <definedName name="_xlnm.Print_Area" localSheetId="0">Tab!$A$1:$O$48</definedName>
    <definedName name="XL3DisableCameraObjects" hidden="1">XLCubedFormats!A1</definedName>
    <definedName name="XL3ObjLocation2c302627_570c_46d5_9143_7b3cddb84934">Tab!$A$13</definedName>
  </definedNames>
  <calcPr calcId="40001"/>
</workbook>
</file>

<file path=xl/sharedStrings.xml><?xml version="1.0" encoding="utf-8"?>
<sst xmlns="http://schemas.openxmlformats.org/spreadsheetml/2006/main" uniqueCount="134">
  <si>
    <t>Slicer Button Background</t>
  </si>
  <si>
    <t>Grid Title</t>
  </si>
  <si>
    <t>Oth Written Member</t>
  </si>
  <si>
    <t>Fill in Grid Name, Dimension or Both</t>
  </si>
  <si>
    <t xml:space="preserve">      UV</t>
  </si>
  <si>
    <t xml:space="preserve">      UR</t>
  </si>
  <si>
    <t>Frauen</t>
  </si>
  <si>
    <t>Universität</t>
  </si>
  <si>
    <t>All Marital Status</t>
  </si>
  <si>
    <t>Male</t>
  </si>
  <si>
    <t>Member1 Name</t>
  </si>
  <si>
    <t xml:space="preserve">      Techn.Universität Wien</t>
  </si>
  <si>
    <t xml:space="preserve">      Medizinische Universität Graz</t>
  </si>
  <si>
    <t>ISCED2013 2.Ebene</t>
  </si>
  <si>
    <t>Datenaufbereitung: bmfwf, Abt. I/10</t>
  </si>
  <si>
    <t>&lt;-- default Column Member Format</t>
  </si>
  <si>
    <t xml:space="preserve">      Montanuniversität Leoben</t>
  </si>
  <si>
    <t xml:space="preserve">      Univ.f.angew.Kunst Wien</t>
  </si>
  <si>
    <t xml:space="preserve">      Technische Universität Graz</t>
  </si>
  <si>
    <t xml:space="preserve">      Universität Salzburg</t>
  </si>
  <si>
    <t xml:space="preserve">      UG</t>
  </si>
  <si>
    <t xml:space="preserve">      UC</t>
  </si>
  <si>
    <t>Alternate Rows</t>
  </si>
  <si>
    <t>&lt;--  writeable cell format</t>
  </si>
  <si>
    <t>Gesamt</t>
  </si>
  <si>
    <t>2022</t>
  </si>
  <si>
    <t xml:space="preserve">      UO</t>
  </si>
  <si>
    <t xml:space="preserve">      Universität für Musik und darstellende Kunst Graz</t>
  </si>
  <si>
    <t xml:space="preserve">      Universität für angewandte Kunst Wien</t>
  </si>
  <si>
    <t xml:space="preserve">      Universität Wien</t>
  </si>
  <si>
    <t xml:space="preserve">      UK</t>
  </si>
  <si>
    <t>Slicer Title</t>
  </si>
  <si>
    <t>Calendar Period</t>
  </si>
  <si>
    <t>&lt;-- default cell format</t>
  </si>
  <si>
    <t>Written Member</t>
  </si>
  <si>
    <t>Dimension/Column</t>
  </si>
  <si>
    <t xml:space="preserve">      US</t>
  </si>
  <si>
    <t>2022/23</t>
  </si>
  <si>
    <t xml:space="preserve">      Medizinische Univ.Graz</t>
  </si>
  <si>
    <t xml:space="preserve">      UW</t>
  </si>
  <si>
    <t>Zugangsgeregelte Studien</t>
  </si>
  <si>
    <t xml:space="preserve">      Akad.d.bild.Künste Wien</t>
  </si>
  <si>
    <t xml:space="preserve"> </t>
  </si>
  <si>
    <t>Slice Name (Optional)</t>
  </si>
  <si>
    <t xml:space="preserve">      Veterinärmed.Univ.Wien</t>
  </si>
  <si>
    <t xml:space="preserve">      Universität Mozarteum Salzburg</t>
  </si>
  <si>
    <t>Anmerkung: Aufgrund von Sonderbestimmungen entfällt diese Kennzahl für die Universität für Weiterbildung Krems.</t>
  </si>
  <si>
    <t>Männer</t>
  </si>
  <si>
    <t>DQ-Status</t>
  </si>
  <si>
    <t>Measures</t>
  </si>
  <si>
    <t xml:space="preserve">      Akademie der bildenden Künste Wien</t>
  </si>
  <si>
    <t xml:space="preserve">      Univ.f.Mus.u.darst.K.Graz</t>
  </si>
  <si>
    <t xml:space="preserve">      Universität Innsbruck</t>
  </si>
  <si>
    <t xml:space="preserve">      UD</t>
  </si>
  <si>
    <t>Customer</t>
  </si>
  <si>
    <t>-All Customer</t>
  </si>
  <si>
    <t>Default Alternate Row Member Format --&gt;</t>
  </si>
  <si>
    <t xml:space="preserve">      Veterinärmedizinische Universität Wien</t>
  </si>
  <si>
    <t xml:space="preserve">      Technische Universität Wien</t>
  </si>
  <si>
    <t xml:space="preserve">      Medizinische Universität Wien</t>
  </si>
  <si>
    <t>ISCED2013 1.Ebene</t>
  </si>
  <si>
    <t>Verfahrensschritte</t>
  </si>
  <si>
    <t>Studienjahr (Kurzbezeichnung)</t>
  </si>
  <si>
    <r>
      <t>Hinweis</t>
    </r>
    <r>
      <rPr>
        <sz val="10"/>
        <color rgb="FF000000"/>
        <rFont val="Tahoma"/>
        <family val="2"/>
      </rPr>
      <t>: Auswahl Gesamt bei Verfahrensschritte führt zu nicht verwertbaren Ergebnissen.</t>
    </r>
  </si>
  <si>
    <t>2023</t>
  </si>
  <si>
    <t xml:space="preserve">      UL</t>
  </si>
  <si>
    <t xml:space="preserve">      UH</t>
  </si>
  <si>
    <t>2023/24</t>
  </si>
  <si>
    <t>Slicer Item</t>
  </si>
  <si>
    <t>&lt;-- default Slicer Member Format</t>
  </si>
  <si>
    <t>Default Row Member Format --&gt;</t>
  </si>
  <si>
    <t>Grid/Table Name</t>
  </si>
  <si>
    <t>[Measures]</t>
  </si>
  <si>
    <t xml:space="preserve">      Univ.künst.u.i.Gest.Linz</t>
  </si>
  <si>
    <t xml:space="preserve">      Universität für Musik und darstellende Kunst Wien</t>
  </si>
  <si>
    <t xml:space="preserve">      UT</t>
  </si>
  <si>
    <t>&lt;-- writeable Slicer Member Format</t>
  </si>
  <si>
    <t>Jahr</t>
  </si>
  <si>
    <t xml:space="preserve">      Universität für Bodenkultur Wien</t>
  </si>
  <si>
    <t xml:space="preserve">      Medizinische Univ.Wien</t>
  </si>
  <si>
    <t>Slicer Button</t>
  </si>
  <si>
    <t>+2009</t>
  </si>
  <si>
    <t>&lt;-- default alternate row cell format</t>
  </si>
  <si>
    <t>&lt;--  written cell format</t>
  </si>
  <si>
    <t xml:space="preserve">      UA</t>
  </si>
  <si>
    <t>Anmerkung: Aufgrund von Änderungen in den Erhebungsmethoden sind die Indikatorwerte im zeitlichen Verlauf nicht immer direkt vergleichbar.</t>
  </si>
  <si>
    <t>ISCED2013 3.Ebene</t>
  </si>
  <si>
    <t xml:space="preserve">      Wirtschaftsuniversität Wien</t>
  </si>
  <si>
    <t>2024/25</t>
  </si>
  <si>
    <t xml:space="preserve">      UE</t>
  </si>
  <si>
    <t>Display Formats For:</t>
  </si>
  <si>
    <t>Enabled?</t>
  </si>
  <si>
    <t>Kennzahl 2.A.4 - Gesamtübersicht</t>
  </si>
  <si>
    <t xml:space="preserve">      UI</t>
  </si>
  <si>
    <t>2024</t>
  </si>
  <si>
    <t>Bewerberinnen und Bewerber für Studien mit besonderen Zulassungsbedingungen</t>
  </si>
  <si>
    <t>Quelle: Datenmeldungen der Universitäten auf Basis WBV</t>
  </si>
  <si>
    <t xml:space="preserve">      Universität für künstlerische und industrielle Gestaltung Linz</t>
  </si>
  <si>
    <t>Aufnahmeverfahren</t>
  </si>
  <si>
    <t>Datenprüfung: bmfwf, Abt. I/6</t>
  </si>
  <si>
    <t xml:space="preserve">      Univ.f.Mus.u.darst.K.Wien</t>
  </si>
  <si>
    <t>Slicer Button Hover</t>
  </si>
  <si>
    <t>Label Format--&gt;</t>
  </si>
  <si>
    <t>&lt;--  written cell by another user cell format</t>
  </si>
  <si>
    <t>Summary Written Member</t>
  </si>
  <si>
    <t>Data Format</t>
  </si>
  <si>
    <t xml:space="preserve">      UQ</t>
  </si>
  <si>
    <t>Universität (Langtext)</t>
  </si>
  <si>
    <t xml:space="preserve">      Techn.Universität Graz</t>
  </si>
  <si>
    <t xml:space="preserve">      UU</t>
  </si>
  <si>
    <t>Marital Status</t>
  </si>
  <si>
    <t>Default Writeable Member Format --&gt;</t>
  </si>
  <si>
    <t>[ALLG Zeit].[Jahr]</t>
  </si>
  <si>
    <t>Universität (Codex)</t>
  </si>
  <si>
    <t>Writeable Member</t>
  </si>
  <si>
    <t>Wissensbilanz</t>
  </si>
  <si>
    <t xml:space="preserve">      UB</t>
  </si>
  <si>
    <t xml:space="preserve">      Universität Linz</t>
  </si>
  <si>
    <t xml:space="preserve">      Universität Graz</t>
  </si>
  <si>
    <t xml:space="preserve">      Univ.f.Bodenkultur Wien</t>
  </si>
  <si>
    <t xml:space="preserve">      UF</t>
  </si>
  <si>
    <t xml:space="preserve">      Universität Klagenfurt</t>
  </si>
  <si>
    <t>Slicer Button Selected</t>
  </si>
  <si>
    <t>&lt;--  summary written cell</t>
  </si>
  <si>
    <t>Formatierungsrichtlinien</t>
  </si>
  <si>
    <t xml:space="preserve">      Univ.Mozarteum Salzburg</t>
  </si>
  <si>
    <t>Nähere Informationen zu den Kennzahlen bzw. deren Definition finden sich in der aktuellen Ausgabe des Arbeitsbehelfs zur Wissensbilanz-Verordnung.</t>
  </si>
  <si>
    <t xml:space="preserve">      UJ</t>
  </si>
  <si>
    <t xml:space="preserve">      UN</t>
  </si>
  <si>
    <t xml:space="preserve">      Medizinische Universität Innsbruck</t>
  </si>
  <si>
    <t>Interpretation</t>
  </si>
  <si>
    <t xml:space="preserve">      Wirtschaftsuniv.Wien</t>
  </si>
  <si>
    <t xml:space="preserve">      Medizin.Univ.Innsbruck</t>
  </si>
  <si>
    <t>(Members of DQ-Status) - (Unknown)</t>
  </si>
</sst>
</file>

<file path=xl/styles.xml><?xml version="1.0" encoding="utf-8"?>
<styleSheet xmlns="http://schemas.openxmlformats.org/spreadsheetml/2006/main">
  <numFmts count="1">
    <numFmt numFmtId="164" formatCode=";;;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sz val="10"/>
      <color rgb="FF262626"/>
      <name val="Tahoma"/>
      <family val="2"/>
    </font>
    <font>
      <b/>
      <sz val="11"/>
      <name val="Calibri"/>
      <family val="2"/>
      <scheme val="minor"/>
    </font>
    <font>
      <b/>
      <sz val="10"/>
      <name val="Tahoma"/>
      <family val="2"/>
    </font>
    <font>
      <sz val="10"/>
      <color rgb="FF595959"/>
      <name val="Tahoma"/>
      <family val="2"/>
    </font>
    <font>
      <u/>
      <sz val="10"/>
      <color rgb="FF000000"/>
      <name val="Tahoma"/>
      <family val="2"/>
    </font>
    <font>
      <sz val="11"/>
      <color rgb="FF000000"/>
      <name val="Tahoma"/>
      <family val="2"/>
    </font>
    <font>
      <sz val="9"/>
      <name val="Tahoma"/>
      <family val="2"/>
    </font>
    <font>
      <b/>
      <sz val="8"/>
      <color indexed="23"/>
      <name val="Tahoma"/>
      <family val="2"/>
    </font>
    <font>
      <b/>
      <sz val="11"/>
      <color rgb="FF000000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 tint="0.0499893185216834"/>
      <name val="Tahoma"/>
      <family val="2"/>
    </font>
    <font>
      <sz val="10"/>
      <color theme="1" tint="0.34998626667073579"/>
      <name val="Tahoma"/>
      <family val="2"/>
    </font>
    <font>
      <sz val="8"/>
      <name val="Tahoma"/>
      <family val="2"/>
    </font>
    <font>
      <sz val="10"/>
      <name val="Tahoma"/>
      <family val="2"/>
    </font>
    <font>
      <sz val="10"/>
      <color theme="1" tint="0.14999847407452621"/>
      <name val="Tahoma"/>
      <family val="2"/>
    </font>
    <font>
      <b/>
      <sz val="8"/>
      <color rgb="FFFF0000"/>
      <name val="Tahoma"/>
      <family val="2"/>
    </font>
    <font>
      <sz val="10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0"/>
        <bgColor indexed="64"/>
      </patternFill>
    </fill>
  </fills>
  <borders count="8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thin">
        <color indexed="23"/>
      </left>
      <right/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2" fillId="0" borderId="0" xfId="0" applyFont="1" applyFill="1" applyBorder="1"/>
    <xf numFmtId="0" fontId="0" fillId="0" borderId="0" xfId="0" applyFill="1" applyBorder="1" applyAlignment="1"/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4" fillId="0" borderId="1" xfId="0" quotePrefix="1" applyFont="1" applyFill="1" applyBorder="1" applyAlignment="1" applyProtection="1">
      <alignment horizontal="right"/>
    </xf>
    <xf numFmtId="3" fontId="5" fillId="0" borderId="0" xfId="0" applyNumberFormat="1" applyFont="1" applyFill="1" applyBorder="1"/>
    <xf numFmtId="0" fontId="4" fillId="0" borderId="1" xfId="0" applyFont="1" applyFill="1" applyBorder="1" applyAlignment="1" applyProtection="1">
      <alignment horizontal="right"/>
    </xf>
    <xf numFmtId="0" fontId="4" fillId="0" borderId="1" xfId="0" quotePrefix="1" applyFont="1" applyFill="1" applyBorder="1" applyAlignment="1" applyProtection="1">
      <alignment horizontal="center"/>
    </xf>
    <xf numFmtId="0" fontId="6" fillId="0" borderId="0" xfId="0" applyFont="1"/>
    <xf numFmtId="0" fontId="7" fillId="2" borderId="2" xfId="0" quotePrefix="1" applyFont="1" applyFill="1" applyBorder="1" applyAlignment="1" applyProtection="1"/>
    <xf numFmtId="0" fontId="8" fillId="0" borderId="0" xfId="0" applyFont="1" applyAlignment="1">
      <alignment horizontal="left"/>
    </xf>
    <xf numFmtId="3" fontId="4" fillId="0" borderId="1" xfId="0" applyNumberFormat="1" applyFont="1" applyFill="1" applyBorder="1" applyAlignment="1" applyProtection="1">
      <alignment horizontal="right"/>
    </xf>
    <xf numFmtId="0" fontId="9" fillId="0" borderId="0" xfId="0" applyFont="1" applyFill="1" applyBorder="1" applyAlignment="1">
      <alignment horizontal="left" vertical="center"/>
    </xf>
    <xf numFmtId="0" fontId="10" fillId="3" borderId="0" xfId="1" applyFont="1" applyFill="1" applyBorder="1" applyAlignment="1">
      <alignment horizontal="center"/>
    </xf>
    <xf numFmtId="0" fontId="11" fillId="0" borderId="0" xfId="0" applyFont="1"/>
    <xf numFmtId="0" fontId="9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/>
    </xf>
    <xf numFmtId="0" fontId="13" fillId="0" borderId="0" xfId="0" applyFont="1" applyFill="1" applyBorder="1" applyAlignment="1"/>
    <xf numFmtId="0" fontId="14" fillId="0" borderId="0" xfId="0" applyFont="1"/>
    <xf numFmtId="0" fontId="15" fillId="4" borderId="0" xfId="0" applyFont="1" applyFill="1" applyAlignment="1"/>
    <xf numFmtId="0" fontId="4" fillId="5" borderId="1" xfId="0" applyFont="1" applyFill="1" applyBorder="1" applyAlignment="1" applyProtection="1">
      <alignment horizontal="right"/>
    </xf>
    <xf numFmtId="3" fontId="4" fillId="5" borderId="1" xfId="0" applyNumberFormat="1" applyFont="1" applyFill="1" applyBorder="1" applyAlignment="1" applyProtection="1">
      <alignment horizontal="right"/>
    </xf>
    <xf numFmtId="3" fontId="4" fillId="0" borderId="1" xfId="0" quotePrefix="1" applyNumberFormat="1" applyFont="1" applyFill="1" applyBorder="1" applyAlignment="1" applyProtection="1">
      <alignment horizontal="right"/>
    </xf>
    <xf numFmtId="0" fontId="16" fillId="0" borderId="0" xfId="1" applyFont="1"/>
    <xf numFmtId="0" fontId="4" fillId="0" borderId="1" xfId="0" applyFont="1" applyFill="1" applyBorder="1" applyAlignment="1" applyProtection="1">
      <alignment vertical="center"/>
    </xf>
    <xf numFmtId="0" fontId="17" fillId="0" borderId="0" xfId="0" applyNumberFormat="1" applyFont="1" applyAlignment="1"/>
    <xf numFmtId="0" fontId="16" fillId="4" borderId="0" xfId="1" applyFont="1" applyFill="1"/>
    <xf numFmtId="0" fontId="17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11" fillId="0" borderId="0" xfId="0" applyFont="1" applyAlignment="1">
      <alignment horizontal="right"/>
    </xf>
    <xf numFmtId="3" fontId="17" fillId="6" borderId="0" xfId="0" applyNumberFormat="1" applyFont="1" applyFill="1" applyAlignment="1"/>
    <xf numFmtId="0" fontId="4" fillId="0" borderId="3" xfId="0" applyFont="1" applyBorder="1" applyAlignment="1" applyProtection="1">
      <alignment horizontal="right"/>
    </xf>
    <xf numFmtId="0" fontId="6" fillId="0" borderId="0" xfId="0" applyFont="1" applyFill="1" applyBorder="1" applyAlignment="1">
      <alignment vertical="center"/>
    </xf>
    <xf numFmtId="3" fontId="17" fillId="7" borderId="0" xfId="0" applyNumberFormat="1" applyFont="1" applyFill="1" applyAlignment="1"/>
    <xf numFmtId="3" fontId="17" fillId="0" borderId="0" xfId="0" applyNumberFormat="1" applyFont="1" applyAlignment="1"/>
    <xf numFmtId="0" fontId="4" fillId="8" borderId="4" xfId="0" applyFont="1" applyFill="1" applyBorder="1" applyAlignment="1" applyProtection="1">
      <alignment horizontal="right"/>
    </xf>
    <xf numFmtId="3" fontId="6" fillId="0" borderId="0" xfId="0" applyNumberFormat="1" applyFont="1" applyFill="1" applyAlignment="1"/>
    <xf numFmtId="0" fontId="13" fillId="0" borderId="0" xfId="0" applyFont="1"/>
    <xf numFmtId="2" fontId="17" fillId="0" borderId="0" xfId="0" applyNumberFormat="1" applyFont="1"/>
    <xf numFmtId="0" fontId="4" fillId="0" borderId="1" xfId="0" applyFont="1" applyBorder="1" applyAlignment="1" applyProtection="1">
      <alignment horizontal="right"/>
    </xf>
    <xf numFmtId="0" fontId="10" fillId="3" borderId="5" xfId="1" applyFont="1" applyFill="1" applyBorder="1" applyAlignment="1">
      <alignment horizontal="center"/>
    </xf>
    <xf numFmtId="0" fontId="18" fillId="0" borderId="6" xfId="0" quotePrefix="1" applyFont="1" applyFill="1" applyBorder="1" applyAlignment="1"/>
    <xf numFmtId="0" fontId="17" fillId="0" borderId="0" xfId="0" applyFont="1" applyFill="1" applyBorder="1" applyAlignment="1">
      <alignment vertical="center"/>
    </xf>
    <xf numFmtId="0" fontId="17" fillId="0" borderId="0" xfId="0" applyNumberFormat="1" applyFont="1"/>
    <xf numFmtId="0" fontId="4" fillId="8" borderId="7" xfId="0" applyFont="1" applyFill="1" applyBorder="1" applyAlignment="1" applyProtection="1">
      <alignment horizontal="right"/>
    </xf>
    <xf numFmtId="0" fontId="17" fillId="0" borderId="0" xfId="0" quotePrefix="1" applyFont="1"/>
    <xf numFmtId="0" fontId="18" fillId="0" borderId="6" xfId="0" applyFont="1" applyFill="1" applyBorder="1" applyAlignment="1">
      <alignment vertical="center"/>
    </xf>
    <xf numFmtId="0" fontId="19" fillId="0" borderId="0" xfId="0" applyFont="1"/>
    <xf numFmtId="0" fontId="0" fillId="0" borderId="0" xfId="0" applyFont="1"/>
    <xf numFmtId="0" fontId="4" fillId="0" borderId="4" xfId="0" applyFont="1" applyBorder="1" applyAlignment="1" applyProtection="1">
      <alignment horizontal="right"/>
    </xf>
    <xf numFmtId="0" fontId="11" fillId="0" borderId="0" xfId="0" applyFont="1" applyAlignment="1">
      <alignment horizontal="center"/>
    </xf>
    <xf numFmtId="3" fontId="17" fillId="9" borderId="0" xfId="0" applyNumberFormat="1" applyFont="1" applyFill="1" applyAlignment="1"/>
    <xf numFmtId="0" fontId="17" fillId="6" borderId="0" xfId="0" applyNumberFormat="1" applyFont="1" applyFill="1" applyAlignment="1"/>
    <xf numFmtId="3" fontId="18" fillId="0" borderId="6" xfId="0" applyNumberFormat="1" applyFont="1" applyFill="1" applyBorder="1" applyAlignment="1"/>
    <xf numFmtId="0" fontId="18" fillId="0" borderId="6" xfId="0" quotePrefix="1" applyFont="1" applyFill="1" applyBorder="1" applyAlignment="1">
      <alignment horizontal="right"/>
    </xf>
    <xf numFmtId="0" fontId="16" fillId="6" borderId="0" xfId="1" applyFont="1" applyFill="1"/>
    <xf numFmtId="0" fontId="17" fillId="0" borderId="0" xfId="0" quotePrefix="1" applyFont="1" applyFill="1"/>
    <xf numFmtId="164" fontId="17" fillId="0" borderId="0" xfId="0" applyNumberFormat="1" applyFont="1"/>
    <xf numFmtId="0" fontId="17" fillId="0" borderId="0" xfId="0" applyNumberFormat="1" applyFont="1" applyFill="1" applyBorder="1" applyAlignment="1"/>
    <xf numFmtId="0" fontId="17" fillId="6" borderId="0" xfId="0" applyFont="1" applyFill="1"/>
    <xf numFmtId="0" fontId="0" fillId="0" borderId="0" xfId="0" applyFont="1" applyFill="1" applyBorder="1" applyAlignment="1"/>
    <xf numFmtId="0" fontId="4" fillId="0" borderId="4" xfId="0" applyFont="1" applyBorder="1" applyAlignment="1" applyProtection="1">
      <alignment horizontal="center"/>
    </xf>
    <xf numFmtId="0" fontId="4" fillId="0" borderId="1" xfId="0" quotePrefix="1" applyFont="1" applyBorder="1" applyAlignment="1" applyProtection="1"/>
    <xf numFmtId="0" fontId="0" fillId="0" borderId="0" xfId="0" applyFill="1" applyBorder="1" applyAlignment="1">
      <alignment horizontal="left" vertical="center"/>
    </xf>
    <xf numFmtId="0" fontId="20" fillId="0" borderId="0" xfId="0" applyFont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3</xdr:col>
      <xdr:colOff>0</xdr:colOff>
      <xdr:row>14</xdr:row>
      <xdr:rowOff>189865</xdr:rowOff>
    </xdr:from>
    <xdr:to>
      <xdr:col>8</xdr:col>
      <xdr:colOff>562278</xdr:colOff>
      <xdr:row>16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2954655"/>
          <a:ext cx="3884106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8</xdr:col>
      <xdr:colOff>562278</xdr:colOff>
      <xdr:row>13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2385060"/>
          <a:ext cx="3884106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8</xdr:col>
      <xdr:colOff>562278</xdr:colOff>
      <xdr:row>14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2574925"/>
          <a:ext cx="3884106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13</xdr:row>
      <xdr:rowOff>189865</xdr:rowOff>
    </xdr:from>
    <xdr:to>
      <xdr:col>8</xdr:col>
      <xdr:colOff>562278</xdr:colOff>
      <xdr:row>15</xdr:row>
      <xdr:rowOff>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2764790"/>
          <a:ext cx="3884106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8</xdr:col>
      <xdr:colOff>562278</xdr:colOff>
      <xdr:row>17</xdr:row>
      <xdr:rowOff>0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3144520"/>
          <a:ext cx="3884106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16</xdr:row>
      <xdr:rowOff>189865</xdr:rowOff>
    </xdr:from>
    <xdr:to>
      <xdr:col>8</xdr:col>
      <xdr:colOff>562278</xdr:colOff>
      <xdr:row>18</xdr:row>
      <xdr:rowOff>0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3334385"/>
          <a:ext cx="3884106" cy="1905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315752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1567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315752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315752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0732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0315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6987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1153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448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32768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Q643"/>
  <sheetViews>
    <sheetView tabSelected="1" workbookViewId="0"/>
  </sheetViews>
  <sheetFormatPr defaultColWidth="11.42578125" defaultRowHeight="14.95" outlineLevelRow="1" outlineLevelCol="1"/>
  <cols>
    <col min="1" max="1" width="52.7109375" style="50" customWidth="1"/>
    <col min="2" max="2" width="7.28515625" hidden="1" customWidth="1" outlineLevel="1"/>
    <col min="3" max="3" width="8.85546875" hidden="1" customWidth="1" outlineLevel="1"/>
    <col min="4" max="4" width="7.7109375" customWidth="1" collapsed="1"/>
    <col min="5" max="6" width="7.7109375" customWidth="1"/>
    <col min="7" max="7" width="14.7109375" customWidth="1"/>
    <col min="8" max="10" width="7.7109375" customWidth="1"/>
    <col min="11" max="11" width="14.7109375" customWidth="1"/>
    <col min="12" max="14" width="7.7109375" customWidth="1"/>
    <col min="15" max="15" width="14.7109375" customWidth="1"/>
    <col min="16" max="16" width="7.28515625" bestFit="1" customWidth="1"/>
    <col min="17" max="17" width="11.28515625" bestFit="1" customWidth="1"/>
    <col min="18" max="18" width="7.28515625" bestFit="1" customWidth="1"/>
    <col min="19" max="19" width="11.28515625" bestFit="1" customWidth="1"/>
    <col min="20" max="20" width="9.85546875" bestFit="1" customWidth="1"/>
    <col min="21" max="21" width="7.28515625" bestFit="1" customWidth="1"/>
    <col min="22" max="22" width="11.28515625" bestFit="1" customWidth="1"/>
    <col min="23" max="23" width="9.85546875" bestFit="1" customWidth="1"/>
    <col min="24" max="24" width="7.28515625" bestFit="1" customWidth="1"/>
    <col min="25" max="25" width="11.28515625" bestFit="1" customWidth="1"/>
    <col min="26" max="26" width="17.140625" bestFit="1" customWidth="1"/>
    <col min="27" max="27" width="6.7109375" bestFit="1" customWidth="1"/>
    <col min="28" max="28" width="7.140625" bestFit="1" customWidth="1"/>
    <col min="29" max="29" width="17.140625" bestFit="1" customWidth="1"/>
    <col min="30" max="30" width="6.7109375" bestFit="1" customWidth="1"/>
    <col min="31" max="31" width="7.140625" bestFit="1" customWidth="1"/>
    <col min="32" max="32" width="17.140625" bestFit="1" customWidth="1"/>
    <col min="33" max="33" width="6.7109375" bestFit="1" customWidth="1"/>
    <col min="34" max="34" width="7.140625" bestFit="1" customWidth="1"/>
  </cols>
  <sheetData>
    <row>
      <c s="16" t="s">
        <v>115</v>
      </c>
      <c s="16"/>
      <c s="16"/>
      <c s="16"/>
      <c s="16"/>
      <c s="2"/>
      <c s="2"/>
      <c s="2"/>
      <c s="2"/>
    </row>
    <row>
      <c s="13" t="s">
        <v>92</v>
      </c>
      <c s="13"/>
      <c s="13"/>
      <c s="13"/>
      <c s="13"/>
      <c s="2"/>
      <c s="2"/>
      <c s="2"/>
      <c s="2"/>
    </row>
    <row ht="23.25" customHeight="1" s="39" customFormat="1">
      <c s="17" t="s">
        <v>95</v>
      </c>
      <c s="17"/>
      <c s="17"/>
      <c s="17"/>
      <c s="17"/>
      <c s="18"/>
      <c s="18"/>
      <c s="18"/>
      <c s="18"/>
    </row>
    <row ht="15" customHeight="1" s="39" customFormat="1">
      <c s="4" t="s">
        <v>96</v>
      </c>
      <c s="4"/>
      <c s="4"/>
      <c s="4"/>
      <c s="4"/>
      <c s="4"/>
      <c s="4"/>
      <c s="4"/>
      <c s="18"/>
    </row>
    <row>
      <c s="4" t="s">
        <v>99</v>
      </c>
      <c s="4"/>
      <c s="4"/>
      <c s="4"/>
      <c s="4"/>
      <c s="4"/>
      <c s="2"/>
      <c s="2"/>
      <c s="2"/>
    </row>
    <row>
      <c s="4" t="s">
        <v>14</v>
      </c>
      <c s="4"/>
      <c s="4"/>
      <c s="4"/>
      <c s="4"/>
      <c s="3"/>
      <c s="2"/>
      <c s="2"/>
      <c s="2"/>
      <c s="3"/>
      <c s="3"/>
      <c s="3"/>
      <c s="3"/>
      <c s="3"/>
      <c s="3"/>
      <c s="3"/>
      <c s="3"/>
    </row>
    <row>
      <c s="4" t="s">
        <v>46</v>
      </c>
      <c s="4"/>
      <c s="4"/>
      <c s="4"/>
      <c s="4"/>
      <c s="4"/>
      <c s="4"/>
      <c s="4"/>
      <c s="2"/>
    </row>
    <row>
      <c s="4" t="s">
        <v>85</v>
      </c>
      <c s="4"/>
      <c s="4"/>
      <c s="4"/>
      <c s="4"/>
      <c s="4"/>
      <c s="4"/>
      <c s="4"/>
      <c s="4"/>
      <c s="4"/>
      <c s="4"/>
    </row>
    <row>
      <c s="4" t="s">
        <v>126</v>
      </c>
      <c s="4"/>
      <c s="4"/>
      <c s="4"/>
      <c s="4"/>
      <c s="4"/>
      <c s="4"/>
      <c s="4"/>
      <c s="4"/>
      <c s="4"/>
      <c s="4"/>
    </row>
    <row>
      <c s="3"/>
      <c s="3"/>
      <c s="3"/>
      <c s="3"/>
      <c s="3"/>
      <c s="65"/>
      <c s="2"/>
      <c s="2"/>
      <c s="2"/>
    </row>
    <row>
      <c s="11" t="s">
        <v>63</v>
      </c>
      <c s="11"/>
      <c s="11"/>
      <c s="11"/>
      <c s="11"/>
      <c s="11"/>
      <c s="11"/>
      <c s="2"/>
      <c s="2"/>
    </row>
    <row ht="15" customHeight="1">
      <c s="62"/>
      <c s="2"/>
      <c s="2"/>
      <c s="2"/>
      <c s="2"/>
      <c s="2"/>
      <c s="2"/>
      <c s="2"/>
      <c s="2"/>
    </row>
    <row>
      <c s="10" t="s">
        <v>60</v>
      </c>
      <c s="64" t="s">
        <v>24</v>
      </c>
    </row>
    <row>
      <c s="10" t="s">
        <v>13</v>
      </c>
      <c s="64" t="s">
        <v>24</v>
      </c>
    </row>
    <row>
      <c s="10" t="s">
        <v>86</v>
      </c>
      <c s="64" t="s">
        <v>24</v>
      </c>
    </row>
    <row>
      <c s="10" t="s">
        <v>61</v>
      </c>
      <c s="64" t="s">
        <v>24</v>
      </c>
    </row>
    <row>
      <c s="10" t="s">
        <v>98</v>
      </c>
      <c s="64" t="s">
        <v>24</v>
      </c>
    </row>
    <row ht="15" customHeight="1">
      <c s="10" t="s">
        <v>40</v>
      </c>
      <c s="64" t="s">
        <v>24</v>
      </c>
    </row>
    <row ht="15" hidden="1" outlineLevel="1">
      <c s="10" t="s">
        <v>48</v>
      </c>
      <c s="64" t="s">
        <v>133</v>
      </c>
    </row>
    <row ht="15" customHeight="1" collapsed="1">
      <c/>
    </row>
    <row ht="15" customHeight="1">
      <c/>
    </row>
    <row ht="15" hidden="1" outlineLevel="1">
      <c/>
      <c r="D22" s="10" t="s">
        <v>77</v>
      </c>
      <c s="10" t="s">
        <v>62</v>
      </c>
      <c s="10" t="s">
        <v>49</v>
      </c>
    </row>
    <row ht="15" customHeight="1" collapsed="1">
      <c/>
      <c r="D23" s="8" t="s">
        <v>94</v>
      </c>
      <c s="8"/>
      <c s="8"/>
      <c s="5"/>
      <c s="8" t="s">
        <v>64</v>
      </c>
      <c s="8"/>
      <c s="8"/>
      <c s="5"/>
      <c s="8" t="s">
        <v>25</v>
      </c>
      <c s="8"/>
      <c s="8"/>
      <c s="5"/>
    </row>
    <row ht="15" hidden="1" customHeight="1" outlineLevel="1">
      <c/>
      <c r="D24" s="5" t="s">
        <v>88</v>
      </c>
      <c s="5"/>
      <c s="5"/>
      <c s="5"/>
      <c s="5" t="s">
        <v>67</v>
      </c>
      <c s="5"/>
      <c s="5"/>
      <c s="5"/>
      <c s="5" t="s">
        <v>37</v>
      </c>
      <c s="5"/>
      <c s="5"/>
      <c s="5"/>
    </row>
    <row ht="15" customHeight="1" collapsed="1">
      <c s="10" t="s">
        <v>7</v>
      </c>
      <c s="10" t="s">
        <v>113</v>
      </c>
      <c s="10" t="s">
        <v>107</v>
      </c>
      <c s="7" t="s">
        <v>6</v>
      </c>
      <c s="7" t="s">
        <v>47</v>
      </c>
      <c s="21" t="s">
        <v>24</v>
      </c>
      <c s="7" t="s">
        <v>130</v>
      </c>
      <c s="7" t="s">
        <v>6</v>
      </c>
      <c s="7" t="s">
        <v>47</v>
      </c>
      <c s="21" t="s">
        <v>24</v>
      </c>
      <c s="7" t="s">
        <v>130</v>
      </c>
      <c s="7" t="s">
        <v>6</v>
      </c>
      <c s="7" t="s">
        <v>47</v>
      </c>
      <c s="21" t="s">
        <v>24</v>
      </c>
      <c s="7" t="s">
        <v>130</v>
      </c>
    </row>
    <row ht="15" customHeight="1">
      <c s="25" t="s">
        <v>29</v>
      </c>
      <c s="25" t="s">
        <v>84</v>
      </c>
      <c s="25" t="s">
        <v>29</v>
      </c>
      <c s="12">
        <v>26367</v>
      </c>
      <c s="12">
        <v>11653</v>
      </c>
      <c s="22">
        <v>38036</v>
      </c>
      <c s="23" t="s">
        <v>130</v>
      </c>
      <c s="12">
        <v>25269</v>
      </c>
      <c s="12">
        <v>13069</v>
      </c>
      <c s="22">
        <v>38356</v>
      </c>
      <c s="23" t="s">
        <v>130</v>
      </c>
      <c s="12">
        <v>24435</v>
      </c>
      <c s="12">
        <v>13187</v>
      </c>
      <c s="22">
        <v>37640</v>
      </c>
      <c s="23" t="s">
        <v>130</v>
      </c>
    </row>
    <row>
      <c s="25" t="s">
        <v>118</v>
      </c>
      <c s="25" t="s">
        <v>116</v>
      </c>
      <c s="25" t="s">
        <v>118</v>
      </c>
      <c s="12">
        <v>3920</v>
      </c>
      <c s="12">
        <v>1525</v>
      </c>
      <c s="22">
        <v>5451</v>
      </c>
      <c s="23" t="s">
        <v>130</v>
      </c>
      <c s="12">
        <v>3873</v>
      </c>
      <c s="12">
        <v>1820</v>
      </c>
      <c s="22">
        <v>5699</v>
      </c>
      <c s="23" t="s">
        <v>130</v>
      </c>
      <c s="12">
        <v>5944</v>
      </c>
      <c s="12">
        <v>3196</v>
      </c>
      <c s="22">
        <v>9160</v>
      </c>
      <c s="23" t="s">
        <v>130</v>
      </c>
    </row>
    <row>
      <c s="25" t="s">
        <v>52</v>
      </c>
      <c s="25" t="s">
        <v>21</v>
      </c>
      <c s="25" t="s">
        <v>52</v>
      </c>
      <c s="12">
        <v>2528</v>
      </c>
      <c s="12">
        <v>1410</v>
      </c>
      <c s="22">
        <v>3938</v>
      </c>
      <c s="23" t="s">
        <v>130</v>
      </c>
      <c s="12">
        <v>2416</v>
      </c>
      <c s="12">
        <v>1420</v>
      </c>
      <c s="22">
        <v>3836</v>
      </c>
      <c s="23" t="s">
        <v>130</v>
      </c>
      <c s="12">
        <v>2136</v>
      </c>
      <c s="12">
        <v>1258</v>
      </c>
      <c s="22">
        <v>3394</v>
      </c>
      <c s="23" t="s">
        <v>130</v>
      </c>
    </row>
    <row>
      <c s="25" t="s">
        <v>59</v>
      </c>
      <c s="25" t="s">
        <v>128</v>
      </c>
      <c s="25" t="s">
        <v>79</v>
      </c>
      <c s="12">
        <v>9196</v>
      </c>
      <c s="12">
        <v>5345</v>
      </c>
      <c s="22">
        <v>14541</v>
      </c>
      <c s="23" t="s">
        <v>130</v>
      </c>
      <c s="12">
        <v>9171</v>
      </c>
      <c s="12">
        <v>5271</v>
      </c>
      <c s="22">
        <v>14442</v>
      </c>
      <c s="23" t="s">
        <v>130</v>
      </c>
      <c s="12">
        <v>9371</v>
      </c>
      <c s="12">
        <v>5414</v>
      </c>
      <c s="22">
        <v>14785</v>
      </c>
      <c s="23" t="s">
        <v>130</v>
      </c>
    </row>
    <row>
      <c s="25" t="s">
        <v>12</v>
      </c>
      <c s="25" t="s">
        <v>26</v>
      </c>
      <c s="25" t="s">
        <v>38</v>
      </c>
      <c s="12">
        <v>3220</v>
      </c>
      <c s="12">
        <v>1895</v>
      </c>
      <c s="22">
        <v>5115</v>
      </c>
      <c s="23" t="s">
        <v>130</v>
      </c>
      <c s="12">
        <v>3120</v>
      </c>
      <c s="12">
        <v>1872</v>
      </c>
      <c s="22">
        <v>4992</v>
      </c>
      <c s="23" t="s">
        <v>130</v>
      </c>
      <c s="12">
        <v>3176</v>
      </c>
      <c s="12">
        <v>1870</v>
      </c>
      <c s="22">
        <v>5046</v>
      </c>
      <c s="23" t="s">
        <v>130</v>
      </c>
    </row>
    <row>
      <c s="25" t="s">
        <v>129</v>
      </c>
      <c s="25" t="s">
        <v>106</v>
      </c>
      <c s="25" t="s">
        <v>132</v>
      </c>
      <c s="12">
        <v>4145</v>
      </c>
      <c s="12">
        <v>2267</v>
      </c>
      <c s="22">
        <v>6412</v>
      </c>
      <c s="23" t="s">
        <v>130</v>
      </c>
      <c s="12">
        <v>4170</v>
      </c>
      <c s="12">
        <v>2232</v>
      </c>
      <c s="22">
        <v>6402</v>
      </c>
      <c s="23" t="s">
        <v>130</v>
      </c>
      <c s="12">
        <v>4182</v>
      </c>
      <c s="12">
        <v>2388</v>
      </c>
      <c s="22">
        <v>6570</v>
      </c>
      <c s="23" t="s">
        <v>130</v>
      </c>
    </row>
    <row>
      <c s="25" t="s">
        <v>19</v>
      </c>
      <c s="25" t="s">
        <v>53</v>
      </c>
      <c s="25" t="s">
        <v>19</v>
      </c>
      <c s="12">
        <v>1604</v>
      </c>
      <c s="12">
        <v>661</v>
      </c>
      <c s="22">
        <v>2265</v>
      </c>
      <c s="23" t="s">
        <v>130</v>
      </c>
      <c s="12">
        <v>2703</v>
      </c>
      <c s="12">
        <v>2552</v>
      </c>
      <c s="22">
        <v>5255</v>
      </c>
      <c s="23" t="s">
        <v>130</v>
      </c>
      <c s="12">
        <v>2043</v>
      </c>
      <c s="12">
        <v>1633</v>
      </c>
      <c s="22">
        <v>3676</v>
      </c>
      <c s="23" t="s">
        <v>130</v>
      </c>
    </row>
    <row>
      <c s="25" t="s">
        <v>58</v>
      </c>
      <c s="25" t="s">
        <v>89</v>
      </c>
      <c s="25" t="s">
        <v>11</v>
      </c>
      <c s="12">
        <v>2283</v>
      </c>
      <c s="12">
        <v>3452</v>
      </c>
      <c s="22">
        <v>5735</v>
      </c>
      <c s="23" t="s">
        <v>130</v>
      </c>
      <c s="12">
        <v>2214</v>
      </c>
      <c s="12">
        <v>3240</v>
      </c>
      <c s="22">
        <v>5460</v>
      </c>
      <c s="23" t="s">
        <v>130</v>
      </c>
      <c s="12">
        <v>1836</v>
      </c>
      <c s="12">
        <v>2905</v>
      </c>
      <c s="22">
        <v>4745</v>
      </c>
      <c s="23" t="s">
        <v>130</v>
      </c>
    </row>
    <row>
      <c s="25" t="s">
        <v>18</v>
      </c>
      <c s="25" t="s">
        <v>120</v>
      </c>
      <c s="25" t="s">
        <v>108</v>
      </c>
      <c s="12">
        <v>1105</v>
      </c>
      <c s="12">
        <v>525</v>
      </c>
      <c s="22">
        <v>1630</v>
      </c>
      <c s="23" t="s">
        <v>130</v>
      </c>
      <c s="12">
        <v>1267</v>
      </c>
      <c s="12">
        <v>1504</v>
      </c>
      <c s="22">
        <v>2771</v>
      </c>
      <c s="23" t="s">
        <v>130</v>
      </c>
      <c s="12">
        <v>1145</v>
      </c>
      <c s="12">
        <v>1978</v>
      </c>
      <c s="22">
        <v>3123</v>
      </c>
      <c s="23" t="s">
        <v>130</v>
      </c>
    </row>
    <row>
      <c s="25" t="s">
        <v>16</v>
      </c>
      <c s="25" t="s">
        <v>20</v>
      </c>
      <c s="25" t="s">
        <v>16</v>
      </c>
      <c s="12">
        <v>0</v>
      </c>
      <c s="12">
        <v>0</v>
      </c>
      <c s="22">
        <v>0</v>
      </c>
      <c s="23" t="s">
        <v>130</v>
      </c>
      <c s="12">
        <v>139</v>
      </c>
      <c s="12">
        <v>502</v>
      </c>
      <c s="22">
        <v>641</v>
      </c>
      <c s="23" t="s">
        <v>130</v>
      </c>
      <c s="12">
        <v>139</v>
      </c>
      <c s="12">
        <v>328</v>
      </c>
      <c s="22">
        <v>475</v>
      </c>
      <c s="23" t="s">
        <v>130</v>
      </c>
    </row>
    <row>
      <c s="25" t="s">
        <v>78</v>
      </c>
      <c s="25" t="s">
        <v>66</v>
      </c>
      <c s="25" t="s">
        <v>119</v>
      </c>
      <c s="12">
        <v>0</v>
      </c>
      <c s="12">
        <v>0</v>
      </c>
      <c s="22">
        <v>0</v>
      </c>
      <c s="23" t="s">
        <v>130</v>
      </c>
      <c s="12">
        <v>0</v>
      </c>
      <c s="12">
        <v>0</v>
      </c>
      <c s="22">
        <v>0</v>
      </c>
      <c s="23" t="s">
        <v>130</v>
      </c>
      <c s="12">
        <v>0</v>
      </c>
      <c s="12">
        <v>0</v>
      </c>
      <c s="22">
        <v>0</v>
      </c>
      <c s="23" t="s">
        <v>130</v>
      </c>
    </row>
    <row>
      <c s="25" t="s">
        <v>57</v>
      </c>
      <c s="25" t="s">
        <v>93</v>
      </c>
      <c s="25" t="s">
        <v>44</v>
      </c>
      <c s="12">
        <v>2829</v>
      </c>
      <c s="12">
        <v>513</v>
      </c>
      <c s="22">
        <v>3342</v>
      </c>
      <c s="23" t="s">
        <v>130</v>
      </c>
      <c s="12">
        <v>2814</v>
      </c>
      <c s="12">
        <v>517</v>
      </c>
      <c s="22">
        <v>3335</v>
      </c>
      <c s="23" t="s">
        <v>130</v>
      </c>
      <c s="12">
        <v>2421</v>
      </c>
      <c s="12">
        <v>476</v>
      </c>
      <c s="22">
        <v>2901</v>
      </c>
      <c s="23" t="s">
        <v>130</v>
      </c>
    </row>
    <row>
      <c s="25" t="s">
        <v>87</v>
      </c>
      <c s="25" t="s">
        <v>127</v>
      </c>
      <c s="25" t="s">
        <v>131</v>
      </c>
      <c s="12">
        <v>11145</v>
      </c>
      <c s="12">
        <v>12535</v>
      </c>
      <c s="22">
        <v>23680</v>
      </c>
      <c s="23" t="s">
        <v>130</v>
      </c>
      <c s="12">
        <v>13086</v>
      </c>
      <c s="12">
        <v>14621</v>
      </c>
      <c s="22">
        <v>27707</v>
      </c>
      <c s="23" t="s">
        <v>130</v>
      </c>
      <c s="12">
        <v>11333</v>
      </c>
      <c s="12">
        <v>12618</v>
      </c>
      <c s="22">
        <v>23951</v>
      </c>
      <c s="23" t="s">
        <v>130</v>
      </c>
    </row>
    <row>
      <c s="25" t="s">
        <v>117</v>
      </c>
      <c s="25" t="s">
        <v>30</v>
      </c>
      <c s="25" t="s">
        <v>117</v>
      </c>
      <c s="12">
        <v>2976</v>
      </c>
      <c s="12">
        <v>1828</v>
      </c>
      <c s="22">
        <v>4804</v>
      </c>
      <c s="23" t="s">
        <v>130</v>
      </c>
      <c s="12">
        <v>3067</v>
      </c>
      <c s="12">
        <v>1996</v>
      </c>
      <c s="22">
        <v>5063</v>
      </c>
      <c s="23" t="s">
        <v>130</v>
      </c>
      <c s="12">
        <v>2925</v>
      </c>
      <c s="12">
        <v>1813</v>
      </c>
      <c s="22">
        <v>4744</v>
      </c>
      <c s="23" t="s">
        <v>130</v>
      </c>
    </row>
    <row>
      <c s="25" t="s">
        <v>121</v>
      </c>
      <c s="25" t="s">
        <v>65</v>
      </c>
      <c s="25" t="s">
        <v>121</v>
      </c>
      <c s="12">
        <v>1044</v>
      </c>
      <c s="12">
        <v>677</v>
      </c>
      <c s="22">
        <v>1723</v>
      </c>
      <c s="23" t="s">
        <v>130</v>
      </c>
      <c s="12">
        <v>2027</v>
      </c>
      <c s="12">
        <v>3526</v>
      </c>
      <c s="22">
        <v>5555</v>
      </c>
      <c s="23" t="s">
        <v>130</v>
      </c>
      <c s="12">
        <v>1477</v>
      </c>
      <c s="12">
        <v>1639</v>
      </c>
      <c s="22">
        <v>3118</v>
      </c>
      <c s="23" t="s">
        <v>130</v>
      </c>
    </row>
    <row>
      <c s="25" t="s">
        <v>28</v>
      </c>
      <c s="25" t="s">
        <v>36</v>
      </c>
      <c s="25" t="s">
        <v>17</v>
      </c>
      <c s="12">
        <v>5130</v>
      </c>
      <c s="12">
        <v>2083</v>
      </c>
      <c s="22">
        <v>7213</v>
      </c>
      <c s="23" t="s">
        <v>130</v>
      </c>
      <c s="12">
        <v>4954</v>
      </c>
      <c s="12">
        <v>2048</v>
      </c>
      <c s="22">
        <v>7002</v>
      </c>
      <c s="23" t="s">
        <v>130</v>
      </c>
      <c s="12">
        <v>4451</v>
      </c>
      <c s="12">
        <v>1924</v>
      </c>
      <c s="22">
        <v>6375</v>
      </c>
      <c s="23" t="s">
        <v>130</v>
      </c>
    </row>
    <row>
      <c s="25" t="s">
        <v>74</v>
      </c>
      <c s="25" t="s">
        <v>75</v>
      </c>
      <c s="25" t="s">
        <v>100</v>
      </c>
      <c s="12">
        <v>4203</v>
      </c>
      <c s="12">
        <v>2744</v>
      </c>
      <c s="22">
        <v>6947</v>
      </c>
      <c s="23" t="s">
        <v>130</v>
      </c>
      <c s="12">
        <v>3787</v>
      </c>
      <c s="12">
        <v>2812</v>
      </c>
      <c s="22">
        <v>6599</v>
      </c>
      <c s="23" t="s">
        <v>130</v>
      </c>
      <c s="12">
        <v>3481</v>
      </c>
      <c s="12">
        <v>2363</v>
      </c>
      <c s="22">
        <v>5844</v>
      </c>
      <c s="23" t="s">
        <v>130</v>
      </c>
    </row>
    <row>
      <c s="25" t="s">
        <v>45</v>
      </c>
      <c s="25" t="s">
        <v>109</v>
      </c>
      <c s="25" t="s">
        <v>125</v>
      </c>
      <c s="12">
        <v>2704</v>
      </c>
      <c s="12">
        <v>1615</v>
      </c>
      <c s="22">
        <v>4319</v>
      </c>
      <c s="23" t="s">
        <v>130</v>
      </c>
      <c s="12">
        <v>2617</v>
      </c>
      <c s="12">
        <v>1502</v>
      </c>
      <c s="22">
        <v>4119</v>
      </c>
      <c s="23" t="s">
        <v>130</v>
      </c>
      <c s="12">
        <v>2316</v>
      </c>
      <c s="12">
        <v>1379</v>
      </c>
      <c s="22">
        <v>3695</v>
      </c>
      <c s="23" t="s">
        <v>130</v>
      </c>
    </row>
    <row>
      <c s="25" t="s">
        <v>27</v>
      </c>
      <c s="25" t="s">
        <v>4</v>
      </c>
      <c s="25" t="s">
        <v>51</v>
      </c>
      <c s="12">
        <v>1722</v>
      </c>
      <c s="12">
        <v>1182</v>
      </c>
      <c s="22">
        <v>2904</v>
      </c>
      <c s="23" t="s">
        <v>130</v>
      </c>
      <c s="12">
        <v>1536</v>
      </c>
      <c s="12">
        <v>1221</v>
      </c>
      <c s="22">
        <v>2757</v>
      </c>
      <c s="23" t="s">
        <v>130</v>
      </c>
      <c s="12">
        <v>1545</v>
      </c>
      <c s="12">
        <v>1273</v>
      </c>
      <c s="22">
        <v>2818</v>
      </c>
      <c s="23" t="s">
        <v>130</v>
      </c>
    </row>
    <row>
      <c s="25" t="s">
        <v>97</v>
      </c>
      <c s="25" t="s">
        <v>39</v>
      </c>
      <c s="25" t="s">
        <v>73</v>
      </c>
      <c s="12">
        <v>1491</v>
      </c>
      <c s="12">
        <v>691</v>
      </c>
      <c s="22">
        <v>2182</v>
      </c>
      <c s="23" t="s">
        <v>130</v>
      </c>
      <c s="12">
        <v>1675</v>
      </c>
      <c s="12">
        <v>617</v>
      </c>
      <c s="22">
        <v>2292</v>
      </c>
      <c s="23" t="s">
        <v>130</v>
      </c>
      <c s="12">
        <v>1445</v>
      </c>
      <c s="12">
        <v>601</v>
      </c>
      <c s="22">
        <v>2046</v>
      </c>
      <c s="23" t="s">
        <v>130</v>
      </c>
    </row>
    <row>
      <c s="25" t="s">
        <v>50</v>
      </c>
      <c s="25" t="s">
        <v>5</v>
      </c>
      <c s="25" t="s">
        <v>41</v>
      </c>
      <c s="12">
        <v>2637</v>
      </c>
      <c s="12">
        <v>1222</v>
      </c>
      <c s="22">
        <v>3859</v>
      </c>
      <c s="23" t="s">
        <v>130</v>
      </c>
      <c s="12">
        <v>2715</v>
      </c>
      <c s="12">
        <v>1198</v>
      </c>
      <c s="22">
        <v>3913</v>
      </c>
      <c s="23" t="s">
        <v>130</v>
      </c>
      <c s="12">
        <v>2433</v>
      </c>
      <c s="12">
        <v>1121</v>
      </c>
      <c s="22">
        <v>3554</v>
      </c>
      <c s="23" t="s">
        <v>130</v>
      </c>
    </row>
    <row>
      <c s="25" t="s">
        <v>24</v>
      </c>
      <c s="25" t="s">
        <v>24</v>
      </c>
      <c s="25" t="s">
        <v>24</v>
      </c>
      <c s="12">
        <v>90249</v>
      </c>
      <c s="12">
        <v>53823</v>
      </c>
      <c s="22">
        <v>144096</v>
      </c>
      <c s="23" t="s">
        <v>42</v>
      </c>
      <c s="12">
        <v>92620</v>
      </c>
      <c s="12">
        <v>63540</v>
      </c>
      <c s="22">
        <v>156196</v>
      </c>
      <c s="23" t="s">
        <v>42</v>
      </c>
      <c s="12">
        <v>88234</v>
      </c>
      <c s="12">
        <v>59364</v>
      </c>
      <c s="22">
        <v>147660</v>
      </c>
      <c s="23" t="s">
        <v>42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34"/>
      <c s="6"/>
      <c s="6"/>
      <c s="6"/>
      <c s="6"/>
      <c s="6"/>
      <c s="6"/>
      <c s="6"/>
      <c s="6"/>
      <c s="6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8">
    <mergeCell ref="J6:Q6"/>
    <mergeCell ref="A11:G11"/>
    <mergeCell ref="D23:G23"/>
    <mergeCell ref="H23:K23"/>
    <mergeCell ref="L23:O23"/>
    <mergeCell ref="D24:G24"/>
    <mergeCell ref="H24:K24"/>
    <mergeCell ref="L24:O24"/>
  </mergeCells>
  <pageMargins left="0.70866141732283472" right="0.70866141732283472" top="0.78740157480314965" bottom="0.78740157480314965" header="0.31496062992125984" footer="0.31496062992125984"/>
  <pageSetup paperSize="9" scale="72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42"/>
  <sheetViews>
    <sheetView topLeftCell="A20" workbookViewId="0">
      <selection activeCell="C43" sqref="C43"/>
    </sheetView>
  </sheetViews>
  <sheetFormatPr defaultColWidth="9.140625" defaultRowHeight="13.6"/>
  <cols>
    <col min="1" max="1" width="13.7109375" style="29" customWidth="1"/>
    <col min="2" max="2" width="40.85546875" style="29" customWidth="1"/>
    <col min="3" max="3" width="28.140625" style="29" customWidth="1"/>
    <col min="4" max="4" width="16.28515625" style="29" customWidth="1"/>
    <col min="5" max="5" width="19.28515625" style="29" customWidth="1"/>
    <col min="6" max="6" width="11.140625" style="29" customWidth="1"/>
    <col min="7" max="7" width="9.140625" style="29"/>
    <col min="8" max="8" width="17.28515625" style="29" customWidth="1"/>
    <col min="9" max="9" width="19.7109375" style="29" customWidth="1"/>
    <col min="10" max="12" width="12.28515625" style="29" customWidth="1"/>
    <col min="13" max="13" width="16" style="29" bestFit="1" customWidth="1"/>
    <col min="14" max="14" width="14.28515625" style="29" bestFit="1" customWidth="1"/>
    <col min="15" max="15" width="18.28515625" style="29" bestFit="1" customWidth="1"/>
    <col min="16" max="25" width="9.140625" style="29"/>
    <col min="26" max="26" width="9.140625" style="29" hidden="1" customWidth="1"/>
    <col min="27" max="16384" width="9.140625" style="29"/>
  </cols>
  <sheetData>
    <row>
      <c s="45"/>
      <c r="H1" s="59">
        <v>129806172700000000</v>
      </c>
      <c r="Z1" s="40" t="b">
        <f>0=1</f>
        <v>0</v>
      </c>
    </row>
    <row>
      <c r="Z2" s="40" t="b">
        <f>1=1</f>
        <v>1</v>
      </c>
    </row>
    <row>
      <c r="Z3" s="40"/>
    </row>
    <row>
      <c r="I4" s="29" t="s">
        <v>43</v>
      </c>
      <c s="42" t="s">
        <v>90</v>
      </c>
      <c s="14"/>
      <c s="14"/>
      <c s="14"/>
      <c s="14"/>
      <c s="14"/>
    </row>
    <row>
      <c r="J5" s="27" t="s">
        <v>31</v>
      </c>
      <c s="24" t="s">
        <v>68</v>
      </c>
      <c s="24" t="s">
        <v>80</v>
      </c>
      <c s="27" t="s">
        <v>122</v>
      </c>
      <c s="57" t="s">
        <v>101</v>
      </c>
      <c s="24" t="s">
        <v>0</v>
      </c>
    </row>
    <row>
      <c r="B6" s="31" t="s">
        <v>102</v>
      </c>
      <c s="20" t="s">
        <v>110</v>
      </c>
      <c s="43" t="s">
        <v>8</v>
      </c>
      <c s="15" t="s">
        <v>69</v>
      </c>
    </row>
    <row>
      <c r="C7" s="19"/>
      <c s="30" t="s">
        <v>9</v>
      </c>
      <c s="15" t="s">
        <v>76</v>
      </c>
    </row>
    <row>
      <c r="C8" s="30" t="s">
        <v>1</v>
      </c>
      <c s="19"/>
    </row>
    <row>
      <c r="C9" s="19"/>
      <c s="20" t="s">
        <v>32</v>
      </c>
      <c s="49"/>
    </row>
    <row>
      <c r="C10" s="20" t="s">
        <v>54</v>
      </c>
      <c s="56" t="s">
        <v>81</v>
      </c>
      <c s="15" t="s">
        <v>15</v>
      </c>
    </row>
    <row>
      <c r="B11" s="31" t="s">
        <v>70</v>
      </c>
      <c s="48" t="s">
        <v>55</v>
      </c>
      <c s="55">
        <v>60398</v>
      </c>
      <c s="15" t="s">
        <v>33</v>
      </c>
    </row>
    <row>
      <c r="B12" s="31"/>
      <c s="44"/>
      <c s="60"/>
      <c s="52" t="s">
        <v>91</v>
      </c>
    </row>
    <row>
      <c r="B13" s="31" t="s">
        <v>56</v>
      </c>
      <c s="61" t="s">
        <v>22</v>
      </c>
      <c s="32">
        <v>1212</v>
      </c>
      <c s="29" t="b">
        <v>0</v>
      </c>
      <c s="15" t="s">
        <v>82</v>
      </c>
    </row>
    <row ht="12.75" hidden="1">
      <c r="B14" s="31"/>
      <c s="61"/>
      <c s="54"/>
      <c s="29" t="b">
        <v>0</v>
      </c>
    </row>
    <row>
      <c r="B15" s="31" t="s">
        <v>111</v>
      </c>
      <c s="29" t="s">
        <v>114</v>
      </c>
      <c s="36">
        <v>1212</v>
      </c>
      <c s="29" t="b">
        <v>0</v>
      </c>
      <c s="15" t="s">
        <v>23</v>
      </c>
    </row>
    <row ht="12.75" hidden="1">
      <c r="B16" s="31"/>
      <c r="D16" s="26"/>
      <c s="29" t="b">
        <v>0</v>
      </c>
      <c s="15"/>
    </row>
    <row>
      <c r="B17" s="31"/>
      <c s="29" t="s">
        <v>34</v>
      </c>
      <c s="35">
        <v>3434</v>
      </c>
      <c s="29" t="b">
        <v>0</v>
      </c>
      <c s="15" t="s">
        <v>83</v>
      </c>
    </row>
    <row>
      <c r="B18" s="31"/>
      <c r="D18" s="26"/>
      <c s="29" t="b">
        <v>0</v>
      </c>
      <c s="15"/>
    </row>
    <row>
      <c r="B19" s="31"/>
      <c s="29" t="s">
        <v>2</v>
      </c>
      <c s="53">
        <v>3434</v>
      </c>
      <c s="29" t="b">
        <v>0</v>
      </c>
      <c s="15" t="s">
        <v>103</v>
      </c>
    </row>
    <row>
      <c r="B20" s="31"/>
      <c r="D20" s="26"/>
      <c s="29" t="b">
        <v>0</v>
      </c>
      <c s="15"/>
    </row>
    <row>
      <c r="B21" s="31"/>
      <c s="29" t="s">
        <v>104</v>
      </c>
      <c s="38">
        <v>5656</v>
      </c>
      <c s="29" t="b">
        <v>0</v>
      </c>
      <c s="15" t="s">
        <v>123</v>
      </c>
    </row>
    <row>
      <c r="B22" s="31"/>
      <c r="E22" s="15"/>
      <c r="I22" s="66"/>
    </row>
    <row>
      <c r="B23" s="28" t="s">
        <v>3</v>
      </c>
      <c s="28"/>
    </row>
    <row>
      <c r="B24" s="9" t="s">
        <v>71</v>
      </c>
      <c s="9" t="s">
        <v>35</v>
      </c>
      <c s="9" t="s">
        <v>10</v>
      </c>
      <c s="9" t="s">
        <v>105</v>
      </c>
      <c s="9"/>
      <c s="9"/>
      <c s="9" t="s">
        <v>124</v>
      </c>
    </row>
    <row>
      <c r="C25" s="58" t="s">
        <v>112</v>
      </c>
      <c s="63">
        <v>2009</v>
      </c>
      <c s="51">
        <v>1234.5599999999999</v>
      </c>
    </row>
    <row>
      <c r="C26" s="47" t="s">
        <v>112</v>
      </c>
      <c s="63">
        <v>2010</v>
      </c>
      <c s="51">
        <v>1234.5599999999999</v>
      </c>
    </row>
    <row>
      <c r="C27" s="47" t="s">
        <v>112</v>
      </c>
      <c s="63">
        <v>2011</v>
      </c>
      <c s="51">
        <v>1234.5599999999999</v>
      </c>
    </row>
    <row>
      <c r="C28" s="47" t="s">
        <v>112</v>
      </c>
      <c s="63">
        <v>2012</v>
      </c>
      <c s="51">
        <v>1234.5599999999999</v>
      </c>
    </row>
    <row>
      <c r="C29" s="47" t="s">
        <v>112</v>
      </c>
      <c s="63">
        <v>2013</v>
      </c>
      <c s="51">
        <v>1234.5599999999999</v>
      </c>
    </row>
    <row>
      <c r="C30" s="47" t="s">
        <v>112</v>
      </c>
      <c s="63">
        <v>2014</v>
      </c>
      <c s="51">
        <v>1234.5599999999999</v>
      </c>
    </row>
    <row>
      <c r="C31" s="47" t="s">
        <v>112</v>
      </c>
      <c s="63">
        <v>2015</v>
      </c>
      <c s="51">
        <v>1234.5599999999999</v>
      </c>
    </row>
    <row>
      <c r="C32" s="47" t="s">
        <v>112</v>
      </c>
      <c s="63">
        <v>2016</v>
      </c>
      <c s="51">
        <v>1234.5599999999999</v>
      </c>
    </row>
    <row>
      <c r="C33" s="47" t="s">
        <v>112</v>
      </c>
      <c s="63">
        <v>2017</v>
      </c>
      <c s="51">
        <v>1234.5599999999999</v>
      </c>
    </row>
    <row>
      <c r="C34" s="47" t="s">
        <v>112</v>
      </c>
      <c s="63">
        <v>2018</v>
      </c>
      <c s="51">
        <v>1234.5599999999999</v>
      </c>
    </row>
    <row>
      <c r="C35" s="47" t="s">
        <v>112</v>
      </c>
      <c s="63">
        <v>2019</v>
      </c>
      <c s="51">
        <v>1234.5599999999999</v>
      </c>
    </row>
    <row>
      <c r="C36" s="47" t="s">
        <v>112</v>
      </c>
      <c s="63">
        <v>2020</v>
      </c>
      <c s="51">
        <v>1234.5599999999999</v>
      </c>
    </row>
    <row>
      <c r="C37" s="47" t="s">
        <v>112</v>
      </c>
      <c s="63">
        <v>2021</v>
      </c>
      <c s="51">
        <v>1234.5599999999999</v>
      </c>
    </row>
    <row>
      <c r="C38" s="47" t="s">
        <v>112</v>
      </c>
      <c s="63">
        <v>2022</v>
      </c>
      <c s="51">
        <v>1234.5599999999999</v>
      </c>
    </row>
    <row>
      <c r="C39" s="47" t="s">
        <v>112</v>
      </c>
      <c s="63">
        <v>2023</v>
      </c>
      <c s="51">
        <v>1234.5599999999999</v>
      </c>
    </row>
    <row>
      <c r="C40" s="47" t="s">
        <v>112</v>
      </c>
      <c s="63">
        <v>2024</v>
      </c>
      <c s="51">
        <v>1234.5599999999999</v>
      </c>
    </row>
    <row>
      <c r="C41" s="47" t="s">
        <v>72</v>
      </c>
      <c s="37" t="s">
        <v>24</v>
      </c>
      <c s="46">
        <v>1234.5599999999999</v>
      </c>
    </row>
    <row>
      <c r="C42" s="47" t="s">
        <v>72</v>
      </c>
      <c s="33" t="s">
        <v>130</v>
      </c>
      <c s="41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
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2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Tab!$A$1:$O$57</definedName>
    <definedName name="XL3DisableCameraObjects" hidden="1">XLCubedFormats!A1</definedName>
    <definedName name="XL3ObjLocation1d855fa8_1675_47ce_aa63_af250dbdf990">Tab!$A$10</definedName>
  </definedNames>
  <calcPr calcId="40001"/>
</workbook>
</file>

<file path=xl/sharedStrings.xml><?xml version="1.0" encoding="utf-8"?>
<sst xmlns="http://schemas.openxmlformats.org/spreadsheetml/2006/main" uniqueCount="580">
  <si>
    <t>Slicer Button Background</t>
  </si>
  <si>
    <t>Grid Title</t>
  </si>
  <si>
    <t>Oth Written Member</t>
  </si>
  <si>
    <t>Fill in Grid Name, Dimension or Both</t>
  </si>
  <si>
    <t xml:space="preserve">      UR</t>
  </si>
  <si>
    <t>Frauen</t>
  </si>
  <si>
    <t xml:space="preserve">      UV</t>
  </si>
  <si>
    <t>UC</t>
  </si>
  <si>
    <t>UG</t>
  </si>
  <si>
    <t>Studienjahr 2022/23</t>
  </si>
  <si>
    <t>WS2022</t>
  </si>
  <si>
    <t>UA Wintersemester 2007 (Stichtag: 28.02.2008)</t>
  </si>
  <si>
    <t>UA Wintersemester 2009 (Stichtag: 28.02.2010)</t>
  </si>
  <si>
    <t>UA Wintersemester 2021 (Stichtag: 28.02.2022)</t>
  </si>
  <si>
    <t>UC Wintersemester 2018 (Stichtag: 28.02.2019)</t>
  </si>
  <si>
    <t>UC Wintersemester 2024 (Stichtag: 28.02.2025)</t>
  </si>
  <si>
    <t>UD Wintersemester 2008 (Stichtag: 28.02.2009)</t>
  </si>
  <si>
    <t>UD Wintersemester 2022 (Stichtag: 28.02.2023)</t>
  </si>
  <si>
    <t>UE Wintersemester 2006 (Stichtag: 28.02.2007)</t>
  </si>
  <si>
    <t>UE Wintersemester 2020 (Stichtag: 28.02.2021)</t>
  </si>
  <si>
    <t>UF Wintersemester 2010 (Stichtag: 28.02.2011)</t>
  </si>
  <si>
    <t>UG Wintersemester 2023 (Stichtag: 28.02.2024)</t>
  </si>
  <si>
    <t>UH Wintersemester 2007 (Stichtag: 28.02.2008)</t>
  </si>
  <si>
    <t>UH Wintersemester 2009 (Stichtag: 28.02.2010)</t>
  </si>
  <si>
    <t>UH Wintersemester 2021 (Stichtag: 28.02.2022)</t>
  </si>
  <si>
    <t>UI Wintersemester 2011 (Stichtag: 28.02.2012)</t>
  </si>
  <si>
    <t>UJ Wintersemester 2024 (Stichtag: 28.02.2025)</t>
  </si>
  <si>
    <t>UK Wintersemester 2022 (Stichtag: 28.02.2023)</t>
  </si>
  <si>
    <t>UL Wintersemester 2006 (Stichtag: 28.02.2007)</t>
  </si>
  <si>
    <t>UL Wintersemester 2012 (Stichtag: 28.02.2013)</t>
  </si>
  <si>
    <t>UN Wintersemester 2023 (Stichtag: 28.02.2024)</t>
  </si>
  <si>
    <t>UO Wintersemester 2007 (Stichtag: 28.02.2008)</t>
  </si>
  <si>
    <t>UO Wintersemester 2013 (Stichtag: 28.02.2014)</t>
  </si>
  <si>
    <t>UQ Wintersemester 2024 (Stichtag: 28.02.2025)</t>
  </si>
  <si>
    <t>UR Wintersemester 2008 (Stichtag: 28.02.2009)</t>
  </si>
  <si>
    <t>UR Wintersemester 2014 (Stichtag: 28.02.2015)</t>
  </si>
  <si>
    <t>US Wintersemester 2012 (Stichtag: 28.02.2013)</t>
  </si>
  <si>
    <t>UT Wintersemester 2010 (Stichtag: 28.02.2011)</t>
  </si>
  <si>
    <t>UU Wintersemester 2015 (Stichtag: 28.02.2016)</t>
  </si>
  <si>
    <t>UV Wintersemester 2013 (Stichtag: 28.02.2014)</t>
  </si>
  <si>
    <t>UW Wintersemester 2011 (Stichtag: 28.02.2012)</t>
  </si>
  <si>
    <t>Universität</t>
  </si>
  <si>
    <t>All Marital Status</t>
  </si>
  <si>
    <t>Male</t>
  </si>
  <si>
    <t>Member1 Name</t>
  </si>
  <si>
    <t xml:space="preserve">      Techn.Universität Wien</t>
  </si>
  <si>
    <t>Männert</t>
  </si>
  <si>
    <t xml:space="preserve">      Medizinische Universität Graz</t>
  </si>
  <si>
    <t>LIEFIDF_III_1_4</t>
  </si>
  <si>
    <t>Studienjahr 2016/17</t>
  </si>
  <si>
    <t>Universitäten der Wissenschaften, Universitäten der Künste</t>
  </si>
  <si>
    <t>UO</t>
  </si>
  <si>
    <t>UK</t>
  </si>
  <si>
    <t>US</t>
  </si>
  <si>
    <t>UA Wintersemester 2015 (Stichtag: 28.02.2016)</t>
  </si>
  <si>
    <t>UB Wintersemester 2013 (Stichtag: 28.02.2014)</t>
  </si>
  <si>
    <t>UD Wintersemester 2016 (Stichtag: 28.02.2017)</t>
  </si>
  <si>
    <t>UE Wintersemester 2014 (Stichtag: 28.02.2015)</t>
  </si>
  <si>
    <t>UG Wintersemester 2017 (Stichtag: 28.02.2018)</t>
  </si>
  <si>
    <t>UG Wintersemester 2019 (Stichtag: 28.02.2020)</t>
  </si>
  <si>
    <t>UH Wintersemester 2015 (Stichtag: 28.02.2016)</t>
  </si>
  <si>
    <t>UJ Wintersemester 2018 (Stichtag: 28.02.2019)</t>
  </si>
  <si>
    <t>UK Wintersemester 2016 (Stichtag: 28.02.2017)</t>
  </si>
  <si>
    <t>UL Wintersemester 2020 (Stichtag: 28.02.2021)</t>
  </si>
  <si>
    <t>UN Wintersemester 2017 (Stichtag: 28.02.2018)</t>
  </si>
  <si>
    <t>UN Wintersemester 2019 (Stichtag: 28.02.2020)</t>
  </si>
  <si>
    <t>UO Wintersemester 2009 (Stichtag: 28.02.2010)</t>
  </si>
  <si>
    <t>UO Wintersemester 2021 (Stichtag: 28.02.2022)</t>
  </si>
  <si>
    <t>UQ Wintersemester 2018 (Stichtag: 28.02.2019)</t>
  </si>
  <si>
    <t>UR Wintersemester 2016 (Stichtag: 28.02.2017)</t>
  </si>
  <si>
    <t>UR Wintersemester 2022 (Stichtag: 28.02.2023)</t>
  </si>
  <si>
    <t>US Wintersemester 2006 (Stichtag: 28.02.2007)</t>
  </si>
  <si>
    <t>US Wintersemester 2020 (Stichtag: 28.02.2021)</t>
  </si>
  <si>
    <t>UU Wintersemester 2017 (Stichtag: 28.02.2018)</t>
  </si>
  <si>
    <t>UU Wintersemester 2023 (Stichtag: 28.02.2024)</t>
  </si>
  <si>
    <t>UV Wintersemester 2007 (Stichtag: 28.02.2008)</t>
  </si>
  <si>
    <t>UV Wintersemester 2009 (Stichtag: 28.02.2010)</t>
  </si>
  <si>
    <t>UV Wintersemester 2021 (Stichtag: 28.02.2022)</t>
  </si>
  <si>
    <t>&lt;-- default Column Member Format</t>
  </si>
  <si>
    <t>Studienjahr 2009/10</t>
  </si>
  <si>
    <t xml:space="preserve">      Montanuniversität Leoben</t>
  </si>
  <si>
    <t xml:space="preserve">      Univ.f.angew.Kunst Wien</t>
  </si>
  <si>
    <t xml:space="preserve">      Technische Universität Graz</t>
  </si>
  <si>
    <t>Studienjahr 2011/12</t>
  </si>
  <si>
    <t xml:space="preserve">      Universität Salzburg</t>
  </si>
  <si>
    <t xml:space="preserve">      UG</t>
  </si>
  <si>
    <t xml:space="preserve">      UC</t>
  </si>
  <si>
    <t>UW</t>
  </si>
  <si>
    <t>UA Wintersemester 2023 (Stichtag: 28.02.2024)</t>
  </si>
  <si>
    <t>UB Wintersemester 2007 (Stichtag: 28.02.2008)</t>
  </si>
  <si>
    <t>UB Wintersemester 2009 (Stichtag: 28.02.2010)</t>
  </si>
  <si>
    <t>UB Wintersemester 2021 (Stichtag: 28.02.2022)</t>
  </si>
  <si>
    <t>UC Wintersemester 2011 (Stichtag: 28.02.2012)</t>
  </si>
  <si>
    <t>UD Wintersemester 2024 (Stichtag: 28.02.2025)</t>
  </si>
  <si>
    <t>UE Wintersemester 2008 (Stichtag: 28.02.2009)</t>
  </si>
  <si>
    <t>UE Wintersemester 2022 (Stichtag: 28.02.2023)</t>
  </si>
  <si>
    <t>UF Wintersemester 2006 (Stichtag: 28.02.2007)</t>
  </si>
  <si>
    <t>UF Wintersemester 2012 (Stichtag: 28.02.2013)</t>
  </si>
  <si>
    <t>UG Wintersemester 2010 (Stichtag: 28.02.2011)</t>
  </si>
  <si>
    <t>UH Wintersemester 2023 (Stichtag: 28.02.2024)</t>
  </si>
  <si>
    <t>UI Wintersemester 2007 (Stichtag: 28.02.2008)</t>
  </si>
  <si>
    <t>UI Wintersemester 2013 (Stichtag: 28.02.2014)</t>
  </si>
  <si>
    <t>UJ Wintersemester 2011 (Stichtag: 28.02.2012)</t>
  </si>
  <si>
    <t>UK Wintersemester 2024 (Stichtag: 28.02.2025)</t>
  </si>
  <si>
    <t>UL Wintersemester 2008 (Stichtag: 28.02.2009)</t>
  </si>
  <si>
    <t>UL Wintersemester 2014 (Stichtag: 28.02.2015)</t>
  </si>
  <si>
    <t>UM Wintersemester 2012 (Stichtag: 28.02.2013)</t>
  </si>
  <si>
    <t>UN Wintersemester 2010 (Stichtag: 28.02.2011)</t>
  </si>
  <si>
    <t>UO Wintersemester 2015 (Stichtag: 28.02.2016)</t>
  </si>
  <si>
    <t>UQ Wintersemester 2011 (Stichtag: 28.02.2012)</t>
  </si>
  <si>
    <t>US Wintersemester 2014 (Stichtag: 28.02.2015)</t>
  </si>
  <si>
    <t>UT Wintersemester 2012 (Stichtag: 28.02.2013)</t>
  </si>
  <si>
    <t>UU Wintersemester 2019 (Stichtag: 28.02.2020)</t>
  </si>
  <si>
    <t>UV Wintersemester 2015 (Stichtag: 28.02.2016)</t>
  </si>
  <si>
    <t>UW Wintersemester 2013 (Stichtag: 28.02.2014)</t>
  </si>
  <si>
    <t>Alternate Rows</t>
  </si>
  <si>
    <t>&lt;--  writeable cell format</t>
  </si>
  <si>
    <t>Gesamt</t>
  </si>
  <si>
    <t xml:space="preserve">      Universität Wien</t>
  </si>
  <si>
    <t xml:space="preserve">      UK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</si>
  <si>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</si>
  <si>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</si>
  <si>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</si>
  <si>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>Studienjahr 2023/24</t>
  </si>
  <si>
    <t>UA Wintersemester 2017 (Stichtag: 28.02.2018)</t>
  </si>
  <si>
    <t>UA Wintersemester 2019 (Stichtag: 28.02.2020)</t>
  </si>
  <si>
    <t>UB Wintersemester 2015 (Stichtag: 28.02.2016)</t>
  </si>
  <si>
    <t>UD Wintersemester 2018 (Stichtag: 28.02.2019)</t>
  </si>
  <si>
    <t>UE Wintersemester 2016 (Stichtag: 28.02.2017)</t>
  </si>
  <si>
    <t>UF Wintersemester 2020 (Stichtag: 28.02.2021)</t>
  </si>
  <si>
    <t>UH Wintersemester 2017 (Stichtag: 28.02.2018)</t>
  </si>
  <si>
    <t>UH Wintersemester 2019 (Stichtag: 28.02.2020)</t>
  </si>
  <si>
    <t>UI Wintersemester 2009 (Stichtag: 28.02.2010)</t>
  </si>
  <si>
    <t>UI Wintersemester 2015 (Stichtag: 28.02.2016)</t>
  </si>
  <si>
    <t>UI Wintersemester 2021 (Stichtag: 28.02.2022)</t>
  </si>
  <si>
    <t>UK Wintersemester 2018 (Stichtag: 28.02.2019)</t>
  </si>
  <si>
    <t>UL Wintersemester 2016 (Stichtag: 28.02.2017)</t>
  </si>
  <si>
    <t>UL Wintersemester 2022 (Stichtag: 28.02.2023)</t>
  </si>
  <si>
    <t>UM Wintersemester 2006 (Stichtag: 28.02.2007)</t>
  </si>
  <si>
    <t>UM Wintersemester 2020 (Stichtag: 28.02.2021)</t>
  </si>
  <si>
    <t>UO Wintersemester 2017 (Stichtag: 28.02.2018)</t>
  </si>
  <si>
    <t>UO Wintersemester 2023 (Stichtag: 28.02.2024)</t>
  </si>
  <si>
    <t>UR Wintersemester 2018 (Stichtag: 28.02.2019)</t>
  </si>
  <si>
    <t>UR Wintersemester 2024 (Stichtag: 28.02.2025)</t>
  </si>
  <si>
    <t>US Wintersemester 2008 (Stichtag: 28.02.2009)</t>
  </si>
  <si>
    <t>US Wintersemester 2022 (Stichtag: 28.02.2023)</t>
  </si>
  <si>
    <t>UT Wintersemester 2006 (Stichtag: 28.02.2007)</t>
  </si>
  <si>
    <t>UT Wintersemester 2020 (Stichtag: 28.02.2021)</t>
  </si>
  <si>
    <t>UU Wintersemester 2010 (Stichtag: 28.02.2011)</t>
  </si>
  <si>
    <t>UV Wintersemester 2023 (Stichtag: 28.02.2024)</t>
  </si>
  <si>
    <t>UW Wintersemester 2007 (Stichtag: 28.02.2008)</t>
  </si>
  <si>
    <t>UW Wintersemester 2009 (Stichtag: 28.02.2010)</t>
  </si>
  <si>
    <t>UW Wintersemester 2021 (Stichtag: 28.02.2022)</t>
  </si>
  <si>
    <t>Slicer Title</t>
  </si>
  <si>
    <t>Calendar Period</t>
  </si>
  <si>
    <t>&lt;-- default cell format</t>
  </si>
  <si>
    <t>Written Member</t>
  </si>
  <si>
    <t>Dimension/Column</t>
  </si>
  <si>
    <t xml:space="preserve">      UW</t>
  </si>
  <si>
    <t xml:space="preserve">      US</t>
  </si>
  <si>
    <t>Studienjahr 2017/18</t>
  </si>
  <si>
    <t xml:space="preserve">      Akad.d.bild.Künste Wien</t>
  </si>
  <si>
    <t xml:space="preserve">      Medizinische Univ.Graz</t>
  </si>
  <si>
    <t>UH</t>
  </si>
  <si>
    <t>WS2023</t>
  </si>
  <si>
    <t>UA Wintersemester 2010 (Stichtag: 28.02.2011)</t>
  </si>
  <si>
    <t>UB Wintersemester 2023 (Stichtag: 28.02.2024)</t>
  </si>
  <si>
    <t>UC Wintersemester 2007 (Stichtag: 28.02.2008)</t>
  </si>
  <si>
    <t>UC Wintersemester 2013 (Stichtag: 28.02.2014)</t>
  </si>
  <si>
    <t>UD Wintersemester 2011 (Stichtag: 28.02.2012)</t>
  </si>
  <si>
    <t>UE Wintersemester 2024 (Stichtag: 28.02.2025)</t>
  </si>
  <si>
    <t>UF Wintersemester 2008 (Stichtag: 28.02.2009)</t>
  </si>
  <si>
    <t>UF Wintersemester 2014 (Stichtag: 28.02.2015)</t>
  </si>
  <si>
    <t>UG Wintersemester 2012 (Stichtag: 28.02.2013)</t>
  </si>
  <si>
    <t>UH Wintersemester 2010 (Stichtag: 28.02.2011)</t>
  </si>
  <si>
    <t>UJ Wintersemester 2013 (Stichtag: 28.02.2014)</t>
  </si>
  <si>
    <t>UK Wintersemester 2011 (Stichtag: 28.02.2012)</t>
  </si>
  <si>
    <t>UM Wintersemester 2014 (Stichtag: 28.02.2015)</t>
  </si>
  <si>
    <t>UN Wintersemester 2012 (Stichtag: 28.02.2013)</t>
  </si>
  <si>
    <t>UO Wintersemester 2019 (Stichtag: 28.02.2020)</t>
  </si>
  <si>
    <t>UQ Wintersemester 2013 (Stichtag: 28.02.2014)</t>
  </si>
  <si>
    <t>US Wintersemester 2016 (Stichtag: 28.02.2017)</t>
  </si>
  <si>
    <t>UT Wintersemester 2014 (Stichtag: 28.02.2015)</t>
  </si>
  <si>
    <t>UV Wintersemester 2017 (Stichtag: 28.02.2018)</t>
  </si>
  <si>
    <t>UV Wintersemester 2019 (Stichtag: 28.02.2020)</t>
  </si>
  <si>
    <t>UW Wintersemester 2015 (Stichtag: 28.02.2016)</t>
  </si>
  <si>
    <t xml:space="preserve"> </t>
  </si>
  <si>
    <t>Slice Name (Optional)</t>
  </si>
  <si>
    <t>Männer</t>
  </si>
  <si>
    <t xml:space="preserve">      Veterinärmed.Univ.Wien</t>
  </si>
  <si>
    <t xml:space="preserve">      Universität Mozarteum Salzburg</t>
  </si>
  <si>
    <t>STICHTAG</t>
  </si>
  <si>
    <t>Studienjahr 2012/13</t>
  </si>
  <si>
    <t>UL</t>
  </si>
  <si>
    <t>UB Wintersemester 2017 (Stichtag: 28.02.2018)</t>
  </si>
  <si>
    <t>UB Wintersemester 2019 (Stichtag: 28.02.2020)</t>
  </si>
  <si>
    <t>UC Wintersemester 2015 (Stichtag: 28.02.2016)</t>
  </si>
  <si>
    <t>UC Wintersemester 2021 (Stichtag: 28.02.2022)</t>
  </si>
  <si>
    <t>UE Wintersemester 2018 (Stichtag: 28.02.2019)</t>
  </si>
  <si>
    <t>UF Wintersemester 2016 (Stichtag: 28.02.2017)</t>
  </si>
  <si>
    <t>UF Wintersemester 2022 (Stichtag: 28.02.2023)</t>
  </si>
  <si>
    <t>UG Wintersemester 2006 (Stichtag: 28.02.2007)</t>
  </si>
  <si>
    <t>UG Wintersemester 2020 (Stichtag: 28.02.2021)</t>
  </si>
  <si>
    <t>UI Wintersemester 2017 (Stichtag: 28.02.2018)</t>
  </si>
  <si>
    <t>UI Wintersemester 2023 (Stichtag: 28.02.2024)</t>
  </si>
  <si>
    <t>UJ Wintersemester 2007 (Stichtag: 28.02.2008)</t>
  </si>
  <si>
    <t>UJ Wintersemester 2009 (Stichtag: 28.02.2010)</t>
  </si>
  <si>
    <t>UJ Wintersemester 2021 (Stichtag: 28.02.2022)</t>
  </si>
  <si>
    <t>UL Wintersemester 2018 (Stichtag: 28.02.2019)</t>
  </si>
  <si>
    <t>UL Wintersemester 2024 (Stichtag: 28.02.2025)</t>
  </si>
  <si>
    <t>UM Wintersemester 2008 (Stichtag: 28.02.2009)</t>
  </si>
  <si>
    <t>UM Wintersemester 2022 (Stichtag: 28.02.2023)</t>
  </si>
  <si>
    <t>UN Wintersemester 2006 (Stichtag: 28.02.2007)</t>
  </si>
  <si>
    <t>UN Wintersemester 2020 (Stichtag: 28.02.2021)</t>
  </si>
  <si>
    <t>UO Wintersemester 2010 (Stichtag: 28.02.2011)</t>
  </si>
  <si>
    <t>UQ Wintersemester 2007 (Stichtag: 28.02.2008)</t>
  </si>
  <si>
    <t>UQ Wintersemester 2009 (Stichtag: 28.02.2010)</t>
  </si>
  <si>
    <t>UQ Wintersemester 2021 (Stichtag: 28.02.2022)</t>
  </si>
  <si>
    <t>UR Wintersemester 2011 (Stichtag: 28.02.2012)</t>
  </si>
  <si>
    <t>US Wintersemester 2024 (Stichtag: 28.02.2025)</t>
  </si>
  <si>
    <t>UT Wintersemester 2008 (Stichtag: 28.02.2009)</t>
  </si>
  <si>
    <t>UT Wintersemester 2022 (Stichtag: 28.02.2023)</t>
  </si>
  <si>
    <t>UU Wintersemester 2012 (Stichtag: 28.02.2013)</t>
  </si>
  <si>
    <t>UV Wintersemester 2010 (Stichtag: 28.02.2011)</t>
  </si>
  <si>
    <t>UW Wintersemester 2023 (Stichtag: 28.02.2024)</t>
  </si>
  <si>
    <t>Measures</t>
  </si>
  <si>
    <t xml:space="preserve">      Akademie der bildenden Künste Wien</t>
  </si>
  <si>
    <t xml:space="preserve">      Univ.f.Mus.u.darst.K.Graz</t>
  </si>
  <si>
    <t xml:space="preserve">      Universität Innsbruck</t>
  </si>
  <si>
    <t>KZIDF_III_1_4</t>
  </si>
  <si>
    <t xml:space="preserve">      UD</t>
  </si>
  <si>
    <t>UT</t>
  </si>
  <si>
    <t>Studienjahr 2024/25</t>
  </si>
  <si>
    <t>UA Wintersemester 2012 (Stichtag: 28.02.2013)</t>
  </si>
  <si>
    <t>UB Wintersemester 2010 (Stichtag: 28.02.2011)</t>
  </si>
  <si>
    <t>UD Wintersemester 2013 (Stichtag: 28.02.2014)</t>
  </si>
  <si>
    <t>UE Wintersemester 2011 (Stichtag: 28.02.2012)</t>
  </si>
  <si>
    <t>UG Wintersemester 2014 (Stichtag: 28.02.2015)</t>
  </si>
  <si>
    <t>UH Wintersemester 2012 (Stichtag: 28.02.2013)</t>
  </si>
  <si>
    <t>UI Wintersemester 2019 (Stichtag: 28.02.2020)</t>
  </si>
  <si>
    <t>UJ Wintersemester 2015 (Stichtag: 28.02.2016)</t>
  </si>
  <si>
    <t>UK Wintersemester 2013 (Stichtag: 28.02.2014)</t>
  </si>
  <si>
    <t>UM Wintersemester 2016 (Stichtag: 28.02.2017)</t>
  </si>
  <si>
    <t>UN Wintersemester 2014 (Stichtag: 28.02.2015)</t>
  </si>
  <si>
    <t>UQ Wintersemester 2015 (Stichtag: 28.02.2016)</t>
  </si>
  <si>
    <t>US Wintersemester 2018 (Stichtag: 28.02.2019)</t>
  </si>
  <si>
    <t>UT Wintersemester 2016 (Stichtag: 28.02.2017)</t>
  </si>
  <si>
    <t>UU Wintersemester 2006 (Stichtag: 28.02.2007)</t>
  </si>
  <si>
    <t>UU Wintersemester 2020 (Stichtag: 28.02.2021)</t>
  </si>
  <si>
    <t>UW Wintersemester 2017 (Stichtag: 28.02.2018)</t>
  </si>
  <si>
    <t>UW Wintersemester 2019 (Stichtag: 28.02.2020)</t>
  </si>
  <si>
    <t>Customer</t>
  </si>
  <si>
    <t>-All Customer</t>
  </si>
  <si>
    <t>Default Alternate Row Member Format --&gt;</t>
  </si>
  <si>
    <t xml:space="preserve">      UL</t>
  </si>
  <si>
    <t xml:space="preserve">      UH</t>
  </si>
  <si>
    <t xml:space="preserve">      Veterinärmedizinische Universität Wien</t>
  </si>
  <si>
    <t xml:space="preserve">Frauen </t>
  </si>
  <si>
    <t>ALLG Semester.Studienjahr (Langbezeichnung)</t>
  </si>
  <si>
    <t xml:space="preserve">      Technische Universität Wien</t>
  </si>
  <si>
    <t xml:space="preserve">      Medizinische Universität Wien</t>
  </si>
  <si>
    <t>UA</t>
  </si>
  <si>
    <t>Studienjahr 2018/19</t>
  </si>
  <si>
    <t>UA Wintersemester 2006 (Stichtag: 28.02.2007)</t>
  </si>
  <si>
    <t>UA Wintersemester 2020 (Stichtag: 28.02.2021)</t>
  </si>
  <si>
    <t>UC Wintersemester 2017 (Stichtag: 28.02.2018)</t>
  </si>
  <si>
    <t>UC Wintersemester 2023 (Stichtag: 28.02.2024)</t>
  </si>
  <si>
    <t>UD Wintersemester 2007 (Stichtag: 28.02.2008)</t>
  </si>
  <si>
    <t>UD Wintersemester 2009 (Stichtag: 28.02.2010)</t>
  </si>
  <si>
    <t>UD Wintersemester 2021 (Stichtag: 28.02.2022)</t>
  </si>
  <si>
    <t>UF Wintersemester 2018 (Stichtag: 28.02.2019)</t>
  </si>
  <si>
    <t>UF Wintersemester 2024 (Stichtag: 28.02.2025)</t>
  </si>
  <si>
    <t>UG Wintersemester 2008 (Stichtag: 28.02.2009)</t>
  </si>
  <si>
    <t>UG Wintersemester 2022 (Stichtag: 28.02.2023)</t>
  </si>
  <si>
    <t>UH Wintersemester 2006 (Stichtag: 28.02.2007)</t>
  </si>
  <si>
    <t>UH Wintersemester 2020 (Stichtag: 28.02.2021)</t>
  </si>
  <si>
    <t>UI Wintersemester 2010 (Stichtag: 28.02.2011)</t>
  </si>
  <si>
    <t>UJ Wintersemester 2023 (Stichtag: 28.02.2024)</t>
  </si>
  <si>
    <t>UK Wintersemester 2021 (Stichtag: 28.02.2022)</t>
  </si>
  <si>
    <t>UL Wintersemester 2011 (Stichtag: 28.02.2012)</t>
  </si>
  <si>
    <t>UM Wintersemester 2024 (Stichtag: 28.02.2025)</t>
  </si>
  <si>
    <t>UN Wintersemester 2008 (Stichtag: 28.02.2009)</t>
  </si>
  <si>
    <t>UN Wintersemester 2022 (Stichtag: 28.02.2023)</t>
  </si>
  <si>
    <t>UO Wintersemester 2006 (Stichtag: 28.02.2007)</t>
  </si>
  <si>
    <t>UO Wintersemester 2012 (Stichtag: 28.02.2013)</t>
  </si>
  <si>
    <t>UQ Wintersemester 2023 (Stichtag: 28.02.2024)</t>
  </si>
  <si>
    <t>UR Wintersemester 2007 (Stichtag: 28.02.2008)</t>
  </si>
  <si>
    <t>UR Wintersemester 2013 (Stichtag: 28.02.2014)</t>
  </si>
  <si>
    <t>US Wintersemester 2011 (Stichtag: 28.02.2012)</t>
  </si>
  <si>
    <t>UT Wintersemester 2024 (Stichtag: 28.02.2025)</t>
  </si>
  <si>
    <t>UU Wintersemester 2008 (Stichtag: 28.02.2009)</t>
  </si>
  <si>
    <t>UU Wintersemester 2014 (Stichtag: 28.02.2015)</t>
  </si>
  <si>
    <t>UV Wintersemester 2012 (Stichtag: 28.02.2013)</t>
  </si>
  <si>
    <t>UW Wintersemester 2010 (Stichtag: 28.02.2011)</t>
  </si>
  <si>
    <t>Slicer Item</t>
  </si>
  <si>
    <t>&lt;-- default Slicer Member Format</t>
  </si>
  <si>
    <t>Default Row Member Format --&gt;</t>
  </si>
  <si>
    <t>Grid/Table Name</t>
  </si>
  <si>
    <t>[ALLG Semester].[Studienjahr #Langbezeichnung#]</t>
  </si>
  <si>
    <t>[Measures]</t>
  </si>
  <si>
    <t xml:space="preserve">      Univ.künst.u.i.Gest.Linz</t>
  </si>
  <si>
    <t xml:space="preserve">      Universität für Musik und darstellende Kunst Wien</t>
  </si>
  <si>
    <t xml:space="preserve">Männer </t>
  </si>
  <si>
    <t>Studienjahr 2013/14</t>
  </si>
  <si>
    <t>Kennzahl 2.A.3 - Gesamtübersicht</t>
  </si>
  <si>
    <t xml:space="preserve">      UT</t>
  </si>
  <si>
    <t>UE</t>
  </si>
  <si>
    <t>UI</t>
  </si>
  <si>
    <t>WS2024</t>
  </si>
  <si>
    <t>UA Wintersemester 2014 (Stichtag: 28.02.2015)</t>
  </si>
  <si>
    <t>UB Wintersemester 2012 (Stichtag: 28.02.2013)</t>
  </si>
  <si>
    <t>UC Wintersemester 2019 (Stichtag: 28.02.2020)</t>
  </si>
  <si>
    <t>UD Wintersemester 2015 (Stichtag: 28.02.2016)</t>
  </si>
  <si>
    <t>UE Wintersemester 2013 (Stichtag: 28.02.2014)</t>
  </si>
  <si>
    <t>UG Wintersemester 2016 (Stichtag: 28.02.2017)</t>
  </si>
  <si>
    <t>UH Wintersemester 2014 (Stichtag: 28.02.2015)</t>
  </si>
  <si>
    <t>UJ Wintersemester 2017 (Stichtag: 28.02.2018)</t>
  </si>
  <si>
    <t>UJ Wintersemester 2019 (Stichtag: 28.02.2020)</t>
  </si>
  <si>
    <t>UK Wintersemester 2015 (Stichtag: 28.02.2016)</t>
  </si>
  <si>
    <t>UM Wintersemester 2018 (Stichtag: 28.02.2019)</t>
  </si>
  <si>
    <t>UN Wintersemester 2016 (Stichtag: 28.02.2017)</t>
  </si>
  <si>
    <t>UO Wintersemester 2020 (Stichtag: 28.02.2021)</t>
  </si>
  <si>
    <t>UQ Wintersemester 2017 (Stichtag: 28.02.2018)</t>
  </si>
  <si>
    <t>UQ Wintersemester 2019 (Stichtag: 28.02.2020)</t>
  </si>
  <si>
    <t>UR Wintersemester 2009 (Stichtag: 28.02.2010)</t>
  </si>
  <si>
    <t>UR Wintersemester 2021 (Stichtag: 28.02.2022)</t>
  </si>
  <si>
    <t>UT Wintersemester 2018 (Stichtag: 28.02.2019)</t>
  </si>
  <si>
    <t>UU Wintersemester 2016 (Stichtag: 28.02.2017)</t>
  </si>
  <si>
    <t>UU Wintersemester 2022 (Stichtag: 28.02.2023)</t>
  </si>
  <si>
    <t>UV Wintersemester 2006 (Stichtag: 28.02.2007)</t>
  </si>
  <si>
    <t>UV Wintersemester 2020 (Stichtag: 28.02.2021)</t>
  </si>
  <si>
    <t>&lt;-- writeable Slicer Member Format</t>
  </si>
  <si>
    <t xml:space="preserve">      Medizinische Univ.Wien</t>
  </si>
  <si>
    <t xml:space="preserve">      Universität für Bodenkultur Wien</t>
  </si>
  <si>
    <t>Studienabschlussquote</t>
  </si>
  <si>
    <t>UQ</t>
  </si>
  <si>
    <t>UM</t>
  </si>
  <si>
    <t>UA Wintersemester 2008 (Stichtag: 28.02.2009)</t>
  </si>
  <si>
    <t>UA Wintersemester 2022 (Stichtag: 28.02.2023)</t>
  </si>
  <si>
    <t>UB Wintersemester 2006 (Stichtag: 28.02.2007)</t>
  </si>
  <si>
    <t>UB Wintersemester 2020 (Stichtag: 28.02.2021)</t>
  </si>
  <si>
    <t>UC Wintersemester 2010 (Stichtag: 28.02.2011)</t>
  </si>
  <si>
    <t>UD Wintersemester 2023 (Stichtag: 28.02.2024)</t>
  </si>
  <si>
    <t>UE Wintersemester 2007 (Stichtag: 28.02.2008)</t>
  </si>
  <si>
    <t>UE Wintersemester 2009 (Stichtag: 28.02.2010)</t>
  </si>
  <si>
    <t>UE Wintersemester 2021 (Stichtag: 28.02.2022)</t>
  </si>
  <si>
    <t>UF Wintersemester 2011 (Stichtag: 28.02.2012)</t>
  </si>
  <si>
    <t>UG Wintersemester 2024 (Stichtag: 28.02.2025)</t>
  </si>
  <si>
    <t>UH Wintersemester 2008 (Stichtag: 28.02.2009)</t>
  </si>
  <si>
    <t>UH Wintersemester 2022 (Stichtag: 28.02.2023)</t>
  </si>
  <si>
    <t>UI Wintersemester 2006 (Stichtag: 28.02.2007)</t>
  </si>
  <si>
    <t>UI Wintersemester 2012 (Stichtag: 28.02.2013)</t>
  </si>
  <si>
    <t>UJ Wintersemester 2010 (Stichtag: 28.02.2011)</t>
  </si>
  <si>
    <t>UK Wintersemester 2023 (Stichtag: 28.02.2024)</t>
  </si>
  <si>
    <t>UL Wintersemester 2007 (Stichtag: 28.02.2008)</t>
  </si>
  <si>
    <t>UL Wintersemester 2013 (Stichtag: 28.02.2014)</t>
  </si>
  <si>
    <t>UM Wintersemester 2011 (Stichtag: 28.02.2012)</t>
  </si>
  <si>
    <t>UN Wintersemester 2024 (Stichtag: 28.02.2025)</t>
  </si>
  <si>
    <t>UO Wintersemester 2008 (Stichtag: 28.02.2009)</t>
  </si>
  <si>
    <t>UO Wintersemester 2014 (Stichtag: 28.02.2015)</t>
  </si>
  <si>
    <t>UQ Wintersemester 2010 (Stichtag: 28.02.2011)</t>
  </si>
  <si>
    <t>UR Wintersemester 2015 (Stichtag: 28.02.2016)</t>
  </si>
  <si>
    <t>US Wintersemester 2013 (Stichtag: 28.02.2014)</t>
  </si>
  <si>
    <t>UT Wintersemester 2011 (Stichtag: 28.02.2012)</t>
  </si>
  <si>
    <t>UV Wintersemester 2014 (Stichtag: 28.02.2015)</t>
  </si>
  <si>
    <t>UW Wintersemester 2012 (Stichtag: 28.02.2013)</t>
  </si>
  <si>
    <t>Slicer Button</t>
  </si>
  <si>
    <t>+2009</t>
  </si>
  <si>
    <t>&lt;-- default alternate row cell format</t>
  </si>
  <si>
    <t>&lt;--  written cell format</t>
  </si>
  <si>
    <t>Anmerkung: Aufgrund von Sonderbestimmungen entfällt diese Kennzahl für die Universität für Weiterbildung Krems</t>
  </si>
  <si>
    <t>Anmerkung: Aufgrund von Änderungen in den Erhebungsmethoden sind die Indikatorwerte im zeitlichen Verlauf nicht immer direkt vergleichbar.</t>
  </si>
  <si>
    <t xml:space="preserve">      UE</t>
  </si>
  <si>
    <t xml:space="preserve">      UA</t>
  </si>
  <si>
    <t xml:space="preserve">      Wirtschaftsuniversität Wien</t>
  </si>
  <si>
    <t>UU</t>
  </si>
  <si>
    <t>Studienjahr 2020/21</t>
  </si>
  <si>
    <t>UA Wintersemester 2016 (Stichtag: 28.02.2017)</t>
  </si>
  <si>
    <t>UB Wintersemester 2014 (Stichtag: 28.02.2015)</t>
  </si>
  <si>
    <t>UD Wintersemester 2017 (Stichtag: 28.02.2018)</t>
  </si>
  <si>
    <t>UD Wintersemester 2019 (Stichtag: 28.02.2020)</t>
  </si>
  <si>
    <t>UE Wintersemester 2015 (Stichtag: 28.02.2016)</t>
  </si>
  <si>
    <t>UG Wintersemester 2018 (Stichtag: 28.02.2019)</t>
  </si>
  <si>
    <t>UH Wintersemester 2016 (Stichtag: 28.02.2017)</t>
  </si>
  <si>
    <t>UI Wintersemester 2020 (Stichtag: 28.02.2021)</t>
  </si>
  <si>
    <t>UK Wintersemester 2017 (Stichtag: 28.02.2018)</t>
  </si>
  <si>
    <t>UK Wintersemester 2019 (Stichtag: 28.02.2020)</t>
  </si>
  <si>
    <t>UL Wintersemester 2009 (Stichtag: 28.02.2010)</t>
  </si>
  <si>
    <t>UL Wintersemester 2021 (Stichtag: 28.02.2022)</t>
  </si>
  <si>
    <t>UN Wintersemester 2018 (Stichtag: 28.02.2019)</t>
  </si>
  <si>
    <t>UO Wintersemester 2016 (Stichtag: 28.02.2017)</t>
  </si>
  <si>
    <t>UO Wintersemester 2022 (Stichtag: 28.02.2023)</t>
  </si>
  <si>
    <t>UR Wintersemester 2017 (Stichtag: 28.02.2018)</t>
  </si>
  <si>
    <t>UR Wintersemester 2023 (Stichtag: 28.02.2024)</t>
  </si>
  <si>
    <t>US Wintersemester 2007 (Stichtag: 28.02.2008)</t>
  </si>
  <si>
    <t>US Wintersemester 2009 (Stichtag: 28.02.2010)</t>
  </si>
  <si>
    <t>US Wintersemester 2021 (Stichtag: 28.02.2022)</t>
  </si>
  <si>
    <t>UU Wintersemester 2018 (Stichtag: 28.02.2019)</t>
  </si>
  <si>
    <t>UU Wintersemester 2024 (Stichtag: 28.02.2025)</t>
  </si>
  <si>
    <t>UV Wintersemester 2008 (Stichtag: 28.02.2009)</t>
  </si>
  <si>
    <t>UV Wintersemester 2022 (Stichtag: 28.02.2023)</t>
  </si>
  <si>
    <t>UW Wintersemester 2006 (Stichtag: 28.02.2007)</t>
  </si>
  <si>
    <t>UW Wintersemester 2020 (Stichtag: 28.02.2021)</t>
  </si>
  <si>
    <t>Display Formats For:</t>
  </si>
  <si>
    <t>Enabled?</t>
  </si>
  <si>
    <t xml:space="preserve">      Univ.f.Mus.u.darst.K.Wien</t>
  </si>
  <si>
    <t xml:space="preserve">      Universität für künstlerische und industrielle Gestaltung Linz</t>
  </si>
  <si>
    <t>Studienart</t>
  </si>
  <si>
    <t>Studienjahr 2014/15</t>
  </si>
  <si>
    <t xml:space="preserve">      UI</t>
  </si>
  <si>
    <t>Datenprüfung und -aufbereitung: bmfwf, Abt. I/10</t>
  </si>
  <si>
    <t>UA Wintersemester 2024 (Stichtag: 28.02.2025)</t>
  </si>
  <si>
    <t>UB Wintersemester 2008 (Stichtag: 28.02.2009)</t>
  </si>
  <si>
    <t>UB Wintersemester 2022 (Stichtag: 28.02.2023)</t>
  </si>
  <si>
    <t>UC Wintersemester 2006 (Stichtag: 28.02.2007)</t>
  </si>
  <si>
    <t>UC Wintersemester 2012 (Stichtag: 28.02.2013)</t>
  </si>
  <si>
    <t>UD Wintersemester 2010 (Stichtag: 28.02.2011)</t>
  </si>
  <si>
    <t>UE Wintersemester 2023 (Stichtag: 28.02.2024)</t>
  </si>
  <si>
    <t>UF Wintersemester 2007 (Stichtag: 28.02.2008)</t>
  </si>
  <si>
    <t>UF Wintersemester 2013 (Stichtag: 28.02.2014)</t>
  </si>
  <si>
    <t>UG Wintersemester 2011 (Stichtag: 28.02.2012)</t>
  </si>
  <si>
    <t>UH Wintersemester 2024 (Stichtag: 28.02.2025)</t>
  </si>
  <si>
    <t>UI Wintersemester 2008 (Stichtag: 28.02.2009)</t>
  </si>
  <si>
    <t>UI Wintersemester 2014 (Stichtag: 28.02.2015)</t>
  </si>
  <si>
    <t>UJ Wintersemester 2012 (Stichtag: 28.02.2013)</t>
  </si>
  <si>
    <t>UK Wintersemester 2010 (Stichtag: 28.02.2011)</t>
  </si>
  <si>
    <t>UL Wintersemester 2015 (Stichtag: 28.02.2016)</t>
  </si>
  <si>
    <t>UM Wintersemester 2013 (Stichtag: 28.02.2014)</t>
  </si>
  <si>
    <t>UN Wintersemester 2011 (Stichtag: 28.02.2012)</t>
  </si>
  <si>
    <t>UQ Wintersemester 2012 (Stichtag: 28.02.2013)</t>
  </si>
  <si>
    <t>UR Wintersemester 2019 (Stichtag: 28.02.2020)</t>
  </si>
  <si>
    <t>US Wintersemester 2015 (Stichtag: 28.02.2016)</t>
  </si>
  <si>
    <t>UT Wintersemester 2013 (Stichtag: 28.02.2014)</t>
  </si>
  <si>
    <t>UV Wintersemester 2016 (Stichtag: 28.02.2017)</t>
  </si>
  <si>
    <t>UW Wintersemester 2014 (Stichtag: 28.02.2015)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</si>
  <si>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</si>
  <si>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</si>
  <si>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</si>
  <si>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</si>
  <si>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</si>
  <si>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Studienjahr 2008/09</t>
  </si>
  <si>
    <t xml:space="preserve">      UQ</t>
  </si>
  <si>
    <t>Universität-Ausrichtung</t>
  </si>
  <si>
    <t>Universität (Langtext)</t>
  </si>
  <si>
    <t xml:space="preserve">      Techn.Universität Graz</t>
  </si>
  <si>
    <t xml:space="preserve">      UU</t>
  </si>
  <si>
    <t>UB</t>
  </si>
  <si>
    <t>UF</t>
  </si>
  <si>
    <t>UJ</t>
  </si>
  <si>
    <t>UA Wintersemester 2018 (Stichtag: 28.02.2019)</t>
  </si>
  <si>
    <t>UB Wintersemester 2016 (Stichtag: 28.02.2017)</t>
  </si>
  <si>
    <t>UC Wintersemester 2020 (Stichtag: 28.02.2021)</t>
  </si>
  <si>
    <t>UE Wintersemester 2017 (Stichtag: 28.02.2018)</t>
  </si>
  <si>
    <t>UE Wintersemester 2019 (Stichtag: 28.02.2020)</t>
  </si>
  <si>
    <t>UF Wintersemester 2009 (Stichtag: 28.02.2010)</t>
  </si>
  <si>
    <t>UF Wintersemester 2015 (Stichtag: 28.02.2016)</t>
  </si>
  <si>
    <t>UF Wintersemester 2021 (Stichtag: 28.02.2022)</t>
  </si>
  <si>
    <t>UH Wintersemester 2018 (Stichtag: 28.02.2019)</t>
  </si>
  <si>
    <t>UI Wintersemester 2016 (Stichtag: 28.02.2017)</t>
  </si>
  <si>
    <t>UI Wintersemester 2022 (Stichtag: 28.02.2023)</t>
  </si>
  <si>
    <t>UJ Wintersemester 2006 (Stichtag: 28.02.2007)</t>
  </si>
  <si>
    <t>UJ Wintersemester 2020 (Stichtag: 28.02.2021)</t>
  </si>
  <si>
    <t>UL Wintersemester 2017 (Stichtag: 28.02.2018)</t>
  </si>
  <si>
    <t>UL Wintersemester 2023 (Stichtag: 28.02.2024)</t>
  </si>
  <si>
    <t>UM Wintersemester 2007 (Stichtag: 28.02.2008)</t>
  </si>
  <si>
    <t>UM Wintersemester 2009 (Stichtag: 28.02.2010)</t>
  </si>
  <si>
    <t>UM Wintersemester 2021 (Stichtag: 28.02.2022)</t>
  </si>
  <si>
    <t>UO Wintersemester 2018 (Stichtag: 28.02.2019)</t>
  </si>
  <si>
    <t>UO Wintersemester 2024 (Stichtag: 28.02.2025)</t>
  </si>
  <si>
    <t>UQ Wintersemester 2006 (Stichtag: 28.02.2007)</t>
  </si>
  <si>
    <t>UQ Wintersemester 2020 (Stichtag: 28.02.2021)</t>
  </si>
  <si>
    <t>UR Wintersemester 2010 (Stichtag: 28.02.2011)</t>
  </si>
  <si>
    <t>US Wintersemester 2023 (Stichtag: 28.02.2024)</t>
  </si>
  <si>
    <t>UT Wintersemester 2007 (Stichtag: 28.02.2008)</t>
  </si>
  <si>
    <t>UT Wintersemester 2009 (Stichtag: 28.02.2010)</t>
  </si>
  <si>
    <t>UT Wintersemester 2021 (Stichtag: 28.02.2022)</t>
  </si>
  <si>
    <t>UU Wintersemester 2011 (Stichtag: 28.02.2012)</t>
  </si>
  <si>
    <t>UV Wintersemester 2024 (Stichtag: 28.02.2025)</t>
  </si>
  <si>
    <t>UW Wintersemester 2008 (Stichtag: 28.02.2009)</t>
  </si>
  <si>
    <t>UW Wintersemester 2022 (Stichtag: 28.02.2023)</t>
  </si>
  <si>
    <t>Marital Status</t>
  </si>
  <si>
    <t>Default Writeable Member Format --&gt;</t>
  </si>
  <si>
    <t>Universität (Codex)</t>
  </si>
  <si>
    <t xml:space="preserve">Gesamt </t>
  </si>
  <si>
    <t>Quelle: Datenmeldungen der Universitäten auf Basis UHSBV zum jeweiligen Stichtag</t>
  </si>
  <si>
    <t>UN</t>
  </si>
  <si>
    <t>UR</t>
  </si>
  <si>
    <t>Studienjahr 2019/20</t>
  </si>
  <si>
    <t>Studienjahr 2021/22</t>
  </si>
  <si>
    <t>UA Wintersemester 2011 (Stichtag: 28.02.2012)</t>
  </si>
  <si>
    <t>UB Wintersemester 2024 (Stichtag: 28.02.2025)</t>
  </si>
  <si>
    <t>UC Wintersemester 2008 (Stichtag: 28.02.2009)</t>
  </si>
  <si>
    <t>UC Wintersemester 2014 (Stichtag: 28.02.2015)</t>
  </si>
  <si>
    <t>UD Wintersemester 2012 (Stichtag: 28.02.2013)</t>
  </si>
  <si>
    <t>UE Wintersemester 2010 (Stichtag: 28.02.2011)</t>
  </si>
  <si>
    <t>UG Wintersemester 2013 (Stichtag: 28.02.2014)</t>
  </si>
  <si>
    <t>UH Wintersemester 2011 (Stichtag: 28.02.2012)</t>
  </si>
  <si>
    <t>UJ Wintersemester 2014 (Stichtag: 28.02.2015)</t>
  </si>
  <si>
    <t>UK Wintersemester 2012 (Stichtag: 28.02.2013)</t>
  </si>
  <si>
    <t>UL Wintersemester 2019 (Stichtag: 28.02.2020)</t>
  </si>
  <si>
    <t>UM Wintersemester 2015 (Stichtag: 28.02.2016)</t>
  </si>
  <si>
    <t>UN Wintersemester 2013 (Stichtag: 28.02.2014)</t>
  </si>
  <si>
    <t>UQ Wintersemester 2014 (Stichtag: 28.02.2015)</t>
  </si>
  <si>
    <t>US Wintersemester 2017 (Stichtag: 28.02.2018)</t>
  </si>
  <si>
    <t>US Wintersemester 2019 (Stichtag: 28.02.2020)</t>
  </si>
  <si>
    <t>UT Wintersemester 2015 (Stichtag: 28.02.2016)</t>
  </si>
  <si>
    <t>UV Wintersemester 2018 (Stichtag: 28.02.2019)</t>
  </si>
  <si>
    <t>UW Wintersemester 2016 (Stichtag: 28.02.2017)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</si>
  <si>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</si>
  <si>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</si>
  <si>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</si>
  <si>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</si>
  <si>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</si>
  <si>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</si>
  <si>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Studienjahr 2015/16</t>
  </si>
  <si>
    <t xml:space="preserve">      Univ.f.Bodenkultur Wien</t>
  </si>
  <si>
    <t xml:space="preserve">      UF</t>
  </si>
  <si>
    <t>UV</t>
  </si>
  <si>
    <t>UB Wintersemester 2018 (Stichtag: 28.02.2019)</t>
  </si>
  <si>
    <t>UC Wintersemester 2016 (Stichtag: 28.02.2017)</t>
  </si>
  <si>
    <t>UC Wintersemester 2022 (Stichtag: 28.02.2023)</t>
  </si>
  <si>
    <t>UD Wintersemester 2006 (Stichtag: 28.02.2007)</t>
  </si>
  <si>
    <t>UD Wintersemester 2020 (Stichtag: 28.02.2021)</t>
  </si>
  <si>
    <t>UF Wintersemester 2017 (Stichtag: 28.02.2018)</t>
  </si>
  <si>
    <t>UF Wintersemester 2023 (Stichtag: 28.02.2024)</t>
  </si>
  <si>
    <t>UG Wintersemester 2007 (Stichtag: 28.02.2008)</t>
  </si>
  <si>
    <t>UG Wintersemester 2009 (Stichtag: 28.02.2010)</t>
  </si>
  <si>
    <t>UG Wintersemester 2021 (Stichtag: 28.02.2022)</t>
  </si>
  <si>
    <t>UI Wintersemester 2018 (Stichtag: 28.02.2019)</t>
  </si>
  <si>
    <t>UI Wintersemester 2024 (Stichtag: 28.02.2025)</t>
  </si>
  <si>
    <t>UJ Wintersemester 2008 (Stichtag: 28.02.2009)</t>
  </si>
  <si>
    <t>UJ Wintersemester 2022 (Stichtag: 28.02.2023)</t>
  </si>
  <si>
    <t>UK Wintersemester 2020 (Stichtag: 28.02.2021)</t>
  </si>
  <si>
    <t>UL Wintersemester 2010 (Stichtag: 28.02.2011)</t>
  </si>
  <si>
    <t>UM Wintersemester 2023 (Stichtag: 28.02.2024)</t>
  </si>
  <si>
    <t>UN Wintersemester 2007 (Stichtag: 28.02.2008)</t>
  </si>
  <si>
    <t>UN Wintersemester 2009 (Stichtag: 28.02.2010)</t>
  </si>
  <si>
    <t>UN Wintersemester 2021 (Stichtag: 28.02.2022)</t>
  </si>
  <si>
    <t>UO Wintersemester 2011 (Stichtag: 28.02.2012)</t>
  </si>
  <si>
    <t>UQ Wintersemester 2008 (Stichtag: 28.02.2009)</t>
  </si>
  <si>
    <t>UQ Wintersemester 2022 (Stichtag: 28.02.2023)</t>
  </si>
  <si>
    <t>UR Wintersemester 2006 (Stichtag: 28.02.2007)</t>
  </si>
  <si>
    <t>UR Wintersemester 2012 (Stichtag: 28.02.2013)</t>
  </si>
  <si>
    <t>US Wintersemester 2010 (Stichtag: 28.02.2011)</t>
  </si>
  <si>
    <t>UT Wintersemester 2023 (Stichtag: 28.02.2024)</t>
  </si>
  <si>
    <t>UU Wintersemester 2007 (Stichtag: 28.02.2008)</t>
  </si>
  <si>
    <t>UU Wintersemester 2013 (Stichtag: 28.02.2014)</t>
  </si>
  <si>
    <t>UV Wintersemester 2011 (Stichtag: 28.02.2012)</t>
  </si>
  <si>
    <t>UW Wintersemester 2024 (Stichtag: 28.02.2025)</t>
  </si>
  <si>
    <t>Slicer Button Selected</t>
  </si>
  <si>
    <t>&lt;--  summary written cell</t>
  </si>
  <si>
    <t>Formatierungsrichtlinien</t>
  </si>
  <si>
    <t>Studienjahr 2010/11</t>
  </si>
  <si>
    <t>Nähere Informationen zu den Kennzahlen bzw. deren Definition finden sich in der aktuellen Ausgabe des Arbeitsbehelfs zur Wissensbilanz-Verordnung.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</si>
  <si>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</si>
  <si>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</si>
  <si>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</si>
  <si>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</si>
  <si>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</si>
  <si>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</si>
  <si>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</si>
  <si>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UA Wintersemester 2013 (Stichtag: 28.02.2014)</t>
  </si>
  <si>
    <t>UB Wintersemester 2011 (Stichtag: 28.02.2012)</t>
  </si>
  <si>
    <t>UD Wintersemester 2014 (Stichtag: 28.02.2015)</t>
  </si>
  <si>
    <t>UE Wintersemester 2012 (Stichtag: 28.02.2013)</t>
  </si>
  <si>
    <t>UF Wintersemester 2019 (Stichtag: 28.02.2020)</t>
  </si>
  <si>
    <t>UG Wintersemester 2015 (Stichtag: 28.02.2016)</t>
  </si>
  <si>
    <t>UH Wintersemester 2013 (Stichtag: 28.02.2014)</t>
  </si>
  <si>
    <t>UJ Wintersemester 2016 (Stichtag: 28.02.2017)</t>
  </si>
  <si>
    <t>UK Wintersemester 2014 (Stichtag: 28.02.2015)</t>
  </si>
  <si>
    <t>UM Wintersemester 2017 (Stichtag: 28.02.2018)</t>
  </si>
  <si>
    <t>UM Wintersemester 2019 (Stichtag: 28.02.2020)</t>
  </si>
  <si>
    <t>UN Wintersemester 2015 (Stichtag: 28.02.2016)</t>
  </si>
  <si>
    <t>UQ Wintersemester 2016 (Stichtag: 28.02.2017)</t>
  </si>
  <si>
    <t>UR Wintersemester 2020 (Stichtag: 28.02.2021)</t>
  </si>
  <si>
    <t>UT Wintersemester 2017 (Stichtag: 28.02.2018)</t>
  </si>
  <si>
    <t>UT Wintersemester 2019 (Stichtag: 28.02.2020)</t>
  </si>
  <si>
    <t>UU Wintersemester 2009 (Stichtag: 28.02.2010)</t>
  </si>
  <si>
    <t>UU Wintersemester 2021 (Stichtag: 28.02.2022)</t>
  </si>
  <si>
    <t>UW Wintersemester 2018 (Stichtag: 28.02.2019)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</si>
</sst>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262626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595959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98474074526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3" fontId="4" fillId="0" borderId="0" xfId="0" applyNumberFormat="1" applyFont="1" applyFill="1" applyBorder="1"/>
    <xf numFmtId="0" fontId="5" fillId="0" borderId="1" xfId="0" quotePrefix="1" applyFont="1" applyFill="1" applyBorder="1" applyAlignment="1" applyProtection="1">
      <alignment horizontal="center"/>
    </xf>
    <xf numFmtId="0" fontId="6" fillId="0" borderId="0" xfId="0" applyFont="1"/>
    <xf numFmtId="0" fontId="7" fillId="0" borderId="0" xfId="0" applyFont="1"/>
    <xf numFmtId="0" fontId="8" fillId="2" borderId="2" xfId="0" quotePrefix="1" applyFont="1" applyFill="1" applyBorder="1" applyAlignment="1" applyProtection="1"/>
    <xf numFmtId="165" fontId="5" fillId="0" borderId="1" xfId="0" applyNumberFormat="1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vertical="top"/>
    </xf>
    <xf numFmtId="0" fontId="0" fillId="0" borderId="0" xfId="0" applyFill="1" applyBorder="1" applyAlignment="1"/>
    <xf numFmtId="0" fontId="10" fillId="3" borderId="0" xfId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5" fillId="0" borderId="1" xfId="0" quotePrefix="1" applyFont="1" applyFill="1" applyBorder="1" applyAlignment="1" applyProtection="1">
      <alignment horizontal="right"/>
    </xf>
    <xf numFmtId="0" fontId="12" fillId="4" borderId="0" xfId="0" applyFont="1" applyFill="1" applyAlignment="1"/>
    <xf numFmtId="0" fontId="13" fillId="0" borderId="0" xfId="0" applyNumberFormat="1" applyFont="1" applyAlignment="1"/>
    <xf numFmtId="3" fontId="5" fillId="0" borderId="1" xfId="0" quotePrefix="1" applyNumberFormat="1" applyFont="1" applyFill="1" applyBorder="1" applyAlignment="1" applyProtection="1">
      <alignment horizontal="right"/>
    </xf>
    <xf numFmtId="165" fontId="5" fillId="5" borderId="1" xfId="0" applyNumberFormat="1" applyFont="1" applyFill="1" applyBorder="1" applyAlignment="1" applyProtection="1">
      <alignment horizontal="right"/>
    </xf>
    <xf numFmtId="0" fontId="14" fillId="0" borderId="0" xfId="0" applyFont="1"/>
    <xf numFmtId="165" fontId="5" fillId="0" borderId="3" xfId="0" applyNumberFormat="1" applyFont="1" applyBorder="1" applyAlignment="1" applyProtection="1">
      <alignment horizontal="right"/>
    </xf>
    <xf numFmtId="165" fontId="5" fillId="0" borderId="4" xfId="0" applyNumberFormat="1" applyFont="1" applyBorder="1" applyAlignment="1" applyProtection="1">
      <alignment horizontal="right"/>
    </xf>
    <xf numFmtId="0" fontId="15" fillId="0" borderId="0" xfId="1" applyFont="1"/>
    <xf numFmtId="0" fontId="13" fillId="0" borderId="0" xfId="0" applyFont="1" applyAlignment="1">
      <alignment horizontal="center"/>
    </xf>
    <xf numFmtId="0" fontId="16" fillId="0" borderId="0" xfId="0" applyFont="1" applyFill="1" applyBorder="1" applyAlignment="1"/>
    <xf numFmtId="0" fontId="5" fillId="0" borderId="1" xfId="0" applyFont="1" applyFill="1" applyBorder="1" applyAlignment="1" applyProtection="1">
      <alignment vertical="center"/>
    </xf>
    <xf numFmtId="0" fontId="5" fillId="0" borderId="1" xfId="0" applyFont="1" applyFill="1" applyBorder="1" applyAlignment="1" applyProtection="1">
      <alignment horizontal="right"/>
    </xf>
    <xf numFmtId="0" fontId="13" fillId="0" borderId="0" xfId="0" quotePrefix="1" applyFont="1" applyFill="1"/>
    <xf numFmtId="0" fontId="5" fillId="0" borderId="3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right"/>
    </xf>
    <xf numFmtId="0" fontId="7" fillId="0" borderId="0" xfId="0" applyFont="1" applyAlignment="1">
      <alignment horizontal="right"/>
    </xf>
    <xf numFmtId="0" fontId="13" fillId="0" borderId="0" xfId="0" quotePrefix="1" applyFont="1"/>
    <xf numFmtId="3" fontId="5" fillId="0" borderId="1" xfId="0" applyNumberFormat="1" applyFont="1" applyBorder="1" applyAlignment="1" applyProtection="1"/>
    <xf numFmtId="0" fontId="3" fillId="0" borderId="0" xfId="0" applyFont="1" applyFill="1" applyBorder="1" applyAlignment="1">
      <alignment vertical="top"/>
    </xf>
    <xf numFmtId="0" fontId="15" fillId="4" borderId="0" xfId="1" applyFont="1" applyFill="1"/>
    <xf numFmtId="0" fontId="17" fillId="0" borderId="0" xfId="0" applyFont="1"/>
    <xf numFmtId="0" fontId="3" fillId="0" borderId="0" xfId="0" applyFont="1" applyFill="1" applyBorder="1" applyAlignment="1"/>
    <xf numFmtId="0" fontId="13" fillId="0" borderId="0" xfId="0" applyFont="1"/>
    <xf numFmtId="3" fontId="13" fillId="6" borderId="0" xfId="0" applyNumberFormat="1" applyFont="1" applyFill="1" applyAlignment="1"/>
    <xf numFmtId="0" fontId="17" fillId="0" borderId="5" xfId="0" quotePrefix="1" applyFont="1" applyFill="1" applyBorder="1" applyAlignment="1">
      <alignment horizontal="right"/>
    </xf>
    <xf numFmtId="0" fontId="15" fillId="7" borderId="0" xfId="1" applyFont="1" applyFill="1"/>
    <xf numFmtId="0" fontId="5" fillId="0" borderId="4" xfId="0" applyFont="1" applyBorder="1" applyAlignment="1" applyProtection="1">
      <alignment horizontal="right"/>
    </xf>
    <xf numFmtId="165" fontId="5" fillId="8" borderId="3" xfId="0" applyNumberFormat="1" applyFont="1" applyFill="1" applyBorder="1" applyAlignment="1" applyProtection="1">
      <alignment horizontal="right"/>
    </xf>
    <xf numFmtId="0" fontId="18" fillId="0" borderId="0" xfId="0" applyFont="1"/>
    <xf numFmtId="0" fontId="5" fillId="0" borderId="1" xfId="0" quotePrefix="1" applyFont="1" applyBorder="1" applyAlignment="1" applyProtection="1"/>
    <xf numFmtId="0" fontId="17" fillId="0" borderId="5" xfId="0" applyFont="1" applyFill="1" applyBorder="1" applyAlignment="1">
      <alignment vertical="center"/>
    </xf>
    <xf numFmtId="165" fontId="5" fillId="8" borderId="4" xfId="0" applyNumberFormat="1" applyFont="1" applyFill="1" applyBorder="1" applyAlignment="1" applyProtection="1">
      <alignment horizontal="right"/>
    </xf>
    <xf numFmtId="3" fontId="13" fillId="9" borderId="0" xfId="0" applyNumberFormat="1" applyFont="1" applyFill="1" applyAlignment="1"/>
    <xf numFmtId="0" fontId="7" fillId="0" borderId="0" xfId="0" applyFont="1" applyAlignment="1">
      <alignment horizontal="center"/>
    </xf>
    <xf numFmtId="0" fontId="13" fillId="0" borderId="0" xfId="0" applyNumberFormat="1" applyFont="1" applyFill="1" applyBorder="1" applyAlignment="1"/>
    <xf numFmtId="0" fontId="10" fillId="3" borderId="6" xfId="1" applyFont="1" applyFill="1" applyBorder="1" applyAlignment="1">
      <alignment horizontal="center"/>
    </xf>
    <xf numFmtId="0" fontId="16" fillId="0" borderId="0" xfId="0" applyFont="1"/>
    <xf numFmtId="0" fontId="0" fillId="0" borderId="0" xfId="0" applyFont="1"/>
    <xf numFmtId="0" fontId="13" fillId="7" borderId="0" xfId="0" applyNumberFormat="1" applyFont="1" applyFill="1" applyAlignment="1"/>
    <xf numFmtId="165" fontId="5" fillId="8" borderId="7" xfId="0" applyNumberFormat="1" applyFont="1" applyFill="1" applyBorder="1" applyAlignment="1" applyProtection="1">
      <alignment horizontal="right"/>
    </xf>
    <xf numFmtId="0" fontId="19" fillId="0" borderId="0" xfId="0" applyFont="1"/>
    <xf numFmtId="0" fontId="5" fillId="0" borderId="1" xfId="0" quotePrefix="1" applyFont="1" applyBorder="1" applyAlignment="1" applyProtection="1">
      <alignment vertical="center"/>
    </xf>
    <xf numFmtId="2" fontId="13" fillId="0" borderId="0" xfId="0" applyNumberFormat="1" applyFont="1"/>
    <xf numFmtId="3" fontId="5" fillId="0" borderId="1" xfId="0" quotePrefix="1" applyNumberFormat="1" applyFont="1" applyBorder="1" applyAlignment="1" applyProtection="1"/>
    <xf numFmtId="0" fontId="6" fillId="0" borderId="0" xfId="0" applyFont="1" applyFill="1" applyBorder="1" applyAlignment="1">
      <alignment vertical="center"/>
    </xf>
    <xf numFmtId="3" fontId="6" fillId="0" borderId="0" xfId="0" applyNumberFormat="1" applyFont="1" applyFill="1" applyAlignment="1"/>
    <xf numFmtId="0" fontId="13" fillId="0" borderId="0" xfId="0" applyNumberFormat="1" applyFont="1"/>
    <xf numFmtId="3" fontId="17" fillId="0" borderId="5" xfId="0" applyNumberFormat="1" applyFont="1" applyFill="1" applyBorder="1" applyAlignment="1"/>
    <xf numFmtId="0" fontId="17" fillId="0" borderId="5" xfId="0" quotePrefix="1" applyFont="1" applyFill="1" applyBorder="1" applyAlignment="1"/>
    <xf numFmtId="3" fontId="13" fillId="7" borderId="0" xfId="0" applyNumberFormat="1" applyFont="1" applyFill="1" applyAlignment="1"/>
    <xf numFmtId="3" fontId="13" fillId="0" borderId="0" xfId="0" applyNumberFormat="1" applyFont="1" applyAlignment="1"/>
    <xf numFmtId="0" fontId="13" fillId="0" borderId="0" xfId="0" applyFont="1" applyFill="1" applyBorder="1" applyAlignment="1">
      <alignment vertical="center"/>
    </xf>
    <xf numFmtId="0" fontId="13" fillId="7" borderId="0" xfId="0" applyFont="1" applyFill="1"/>
    <xf numFmtId="164" fontId="13" fillId="0" borderId="0" xfId="0" applyNumberFormat="1" applyFont="1"/>
    <xf numFmtId="165" fontId="5" fillId="8" borderId="1" xfId="0" applyNumberFormat="1" applyFont="1" applyFill="1" applyBorder="1" applyAlignment="1" applyProtection="1">
      <alignment horizontal="right"/>
    </xf>
    <xf numFmtId="0" fontId="5" fillId="0" borderId="8" xfId="0" quotePrefix="1" applyFont="1" applyBorder="1" applyAlignment="1" applyProtection="1">
      <alignment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8</xdr:row>
      <xdr:rowOff>190500</xdr:rowOff>
    </xdr:from>
    <xdr:to>
      <xdr:col>7</xdr:col>
      <xdr:colOff>31242</xdr:colOff>
      <xdr:row>9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815465"/>
          <a:ext cx="366582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301963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91546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8112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44868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70711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87382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91549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2488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436731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40"/>
  <sheetViews>
    <sheetView tabSelected="1" workbookViewId="0"/>
  </sheetViews>
  <sheetFormatPr defaultColWidth="11.42578125" defaultRowHeight="14.95" outlineLevelRow="1" outlineLevelCol="1"/>
  <cols>
    <col min="1" max="1" width="52.85546875" style="53" bestFit="1" customWidth="1"/>
    <col min="2" max="3" width="11.7109375" hidden="1" customWidth="1" outlineLevel="1"/>
    <col min="4" max="4" width="11.7109375" customWidth="1" collapsed="1"/>
    <col min="5" max="6" width="11.7109375" customWidth="1"/>
    <col min="7" max="7" width="14.7109375" customWidth="1"/>
    <col min="8" max="10" width="11.7109375" customWidth="1"/>
    <col min="11" max="11" width="14.7109375" customWidth="1"/>
    <col min="12" max="14" width="11.7109375" customWidth="1"/>
    <col min="15" max="15" width="14.7109375" customWidth="1"/>
    <col min="16" max="17" width="11.85546875" customWidth="1"/>
    <col min="18" max="18" width="14.7109375" customWidth="1"/>
    <col min="19" max="19" width="11.28515625" customWidth="1"/>
    <col min="20" max="20" width="11.7109375" customWidth="1"/>
    <col min="21" max="21" width="14.7109375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3" t="s">
        <v>509</v>
      </c>
      <c s="13"/>
      <c s="13"/>
      <c s="13"/>
      <c s="13"/>
      <c s="10"/>
      <c s="10"/>
      <c s="10"/>
    </row>
    <row>
      <c s="12" t="s">
        <v>304</v>
      </c>
      <c s="12"/>
      <c s="12"/>
      <c s="12"/>
      <c s="12"/>
      <c s="10"/>
      <c s="10"/>
      <c s="10"/>
    </row>
    <row ht="23.25" customHeight="1" s="52" customFormat="1">
      <c s="9" t="s">
        <v>334</v>
      </c>
      <c s="9"/>
      <c s="9"/>
      <c s="9"/>
      <c s="9"/>
      <c s="25"/>
      <c s="25"/>
      <c s="25"/>
    </row>
    <row ht="15" customHeight="1" s="52" customFormat="1">
      <c s="2" t="s">
        <v>484</v>
      </c>
      <c s="2"/>
      <c s="2"/>
      <c s="2"/>
      <c s="2"/>
      <c s="2"/>
      <c s="2"/>
      <c s="2"/>
    </row>
    <row>
      <c s="2" t="s">
        <v>410</v>
      </c>
      <c s="2"/>
      <c s="2"/>
      <c s="2"/>
      <c s="2"/>
      <c s="37"/>
      <c s="37"/>
      <c s="14"/>
      <c s="14"/>
      <c s="14"/>
      <c s="14"/>
      <c s="14"/>
    </row>
    <row>
      <c s="2" t="s">
        <v>370</v>
      </c>
      <c s="2"/>
      <c s="2"/>
      <c s="2"/>
      <c s="34"/>
      <c s="10"/>
      <c s="10"/>
      <c s="14"/>
      <c s="14"/>
      <c s="14"/>
      <c s="14"/>
      <c s="34"/>
    </row>
    <row>
      <c s="2" t="s">
        <v>371</v>
      </c>
      <c s="2"/>
      <c s="2"/>
      <c s="2"/>
      <c s="2"/>
      <c s="2"/>
      <c s="2"/>
      <c s="2"/>
      <c s="2"/>
      <c s="2"/>
    </row>
    <row>
      <c s="2" t="s">
        <v>553</v>
      </c>
      <c s="2"/>
      <c s="2"/>
      <c s="2"/>
      <c s="2"/>
      <c s="2"/>
      <c s="2"/>
      <c s="2"/>
      <c s="2"/>
      <c s="2"/>
      <c s="2"/>
    </row>
    <row ht="15" customHeight="1"/>
    <row>
      <c s="7" t="s">
        <v>407</v>
      </c>
      <c s="45" t="s">
        <v>117</v>
      </c>
    </row>
    <row ht="15" hidden="1" outlineLevel="1">
      <c s="7" t="s">
        <v>442</v>
      </c>
      <c s="45" t="s">
        <v>50</v>
      </c>
    </row>
    <row collapsed="1">
      <c/>
    </row>
    <row>
      <c/>
    </row>
    <row ht="15" hidden="1" outlineLevel="1">
      <c/>
      <c r="D14" s="7" t="s">
        <v>258</v>
      </c>
      <c s="7" t="s">
        <v>225</v>
      </c>
    </row>
    <row collapsed="1">
      <c/>
      <c r="D15" s="4" t="s">
        <v>123</v>
      </c>
      <c s="4"/>
      <c s="4"/>
      <c s="15"/>
      <c s="4" t="s">
        <v>9</v>
      </c>
      <c s="4"/>
      <c s="4"/>
      <c s="15"/>
      <c s="4" t="s">
        <v>488</v>
      </c>
      <c s="4"/>
      <c s="4"/>
      <c s="15"/>
    </row>
    <row>
      <c s="7" t="s">
        <v>41</v>
      </c>
      <c s="7" t="s">
        <v>482</v>
      </c>
      <c s="7" t="s">
        <v>443</v>
      </c>
      <c s="8" t="s">
        <v>257</v>
      </c>
      <c s="8" t="s">
        <v>302</v>
      </c>
      <c s="19" t="s">
        <v>483</v>
      </c>
      <c s="27" t="s">
        <v>558</v>
      </c>
      <c s="8" t="s">
        <v>257</v>
      </c>
      <c s="8" t="s">
        <v>302</v>
      </c>
      <c s="19" t="s">
        <v>483</v>
      </c>
      <c s="27" t="s">
        <v>558</v>
      </c>
      <c s="8" t="s">
        <v>257</v>
      </c>
      <c s="8" t="s">
        <v>302</v>
      </c>
      <c s="19" t="s">
        <v>483</v>
      </c>
      <c s="27" t="s">
        <v>558</v>
      </c>
    </row>
    <row>
      <c s="26" t="s">
        <v>118</v>
      </c>
      <c s="26" t="s">
        <v>373</v>
      </c>
      <c s="26" t="s">
        <v>118</v>
      </c>
      <c s="8">
        <v>0.46364705545939494</v>
      </c>
      <c s="8">
        <v>0.39645265202064028</v>
      </c>
      <c s="19">
        <v>0.43944772123039699</v>
      </c>
      <c s="18" t="s">
        <v>558</v>
      </c>
      <c s="8">
        <v>0.45778363854458487</v>
      </c>
      <c s="8">
        <v>0.40647793327400289</v>
      </c>
      <c s="19">
        <v>0.43929766302094631</v>
      </c>
      <c s="18" t="s">
        <v>558</v>
      </c>
      <c s="8">
        <v>0.38098639087816816</v>
      </c>
      <c s="8">
        <v>0.33413825749651177</v>
      </c>
      <c s="19">
        <v>0.36373241094839542</v>
      </c>
      <c s="18" t="s">
        <v>558</v>
      </c>
    </row>
    <row>
      <c s="26" t="s">
        <v>512</v>
      </c>
      <c s="26" t="s">
        <v>510</v>
      </c>
      <c s="26" t="s">
        <v>512</v>
      </c>
      <c s="8">
        <v>0.52551947578727276</v>
      </c>
      <c s="8">
        <v>0.47900499814124753</v>
      </c>
      <c s="19">
        <v>0.50978003148861317</v>
      </c>
      <c s="18" t="s">
        <v>558</v>
      </c>
      <c s="8">
        <v>0.49619281039721974</v>
      </c>
      <c s="8">
        <v>0.44936004927141754</v>
      </c>
      <c s="19">
        <v>0.47985129729996479</v>
      </c>
      <c s="18" t="s">
        <v>558</v>
      </c>
      <c s="8">
        <v>0.4885206765789194</v>
      </c>
      <c s="8">
        <v>0.45787498495267948</v>
      </c>
      <c s="19">
        <v>0.47799862077137178</v>
      </c>
      <c s="18" t="s">
        <v>558</v>
      </c>
    </row>
    <row>
      <c s="26" t="s">
        <v>228</v>
      </c>
      <c s="26" t="s">
        <v>86</v>
      </c>
      <c s="26" t="s">
        <v>228</v>
      </c>
      <c s="8">
        <v>0.57403540744779002</v>
      </c>
      <c s="8">
        <v>0.54788474988753111</v>
      </c>
      <c s="19">
        <v>0.56208773330529749</v>
      </c>
      <c s="18" t="s">
        <v>558</v>
      </c>
      <c s="8">
        <v>0.54974269564577638</v>
      </c>
      <c s="8">
        <v>0.51575358163615137</v>
      </c>
      <c s="19">
        <v>0.53457242357523094</v>
      </c>
      <c s="18" t="s">
        <v>558</v>
      </c>
      <c s="8">
        <v>0.51425523409973317</v>
      </c>
      <c s="8">
        <v>0.49326762151463605</v>
      </c>
      <c s="19">
        <v>0.50464878749686992</v>
      </c>
      <c s="18" t="s">
        <v>558</v>
      </c>
    </row>
    <row>
      <c s="26" t="s">
        <v>260</v>
      </c>
      <c s="26" t="s">
        <v>556</v>
      </c>
      <c s="26" t="s">
        <v>332</v>
      </c>
      <c s="8">
        <v>0.93706293706293708</v>
      </c>
      <c s="8">
        <v>0.91504178272980496</v>
      </c>
      <c s="19">
        <v>0.92703045685279184</v>
      </c>
      <c s="18" t="s">
        <v>558</v>
      </c>
      <c s="8">
        <v>0.9123287671232877</v>
      </c>
      <c s="8">
        <v>0.87905604719764008</v>
      </c>
      <c s="19">
        <v>0.89630681818181823</v>
      </c>
      <c s="18" t="s">
        <v>558</v>
      </c>
      <c s="8">
        <v>0.89153754469606672</v>
      </c>
      <c s="8">
        <v>0.86874154262516912</v>
      </c>
      <c s="19">
        <v>0.88086185044359955</v>
      </c>
      <c s="18" t="s">
        <v>558</v>
      </c>
    </row>
    <row>
      <c s="26" t="s">
        <v>47</v>
      </c>
      <c s="26" t="s">
        <v>120</v>
      </c>
      <c s="26" t="s">
        <v>162</v>
      </c>
      <c s="8">
        <v>0.89058074081091743</v>
      </c>
      <c s="8">
        <v>0.90843659799950116</v>
      </c>
      <c s="19">
        <v>0.89835689505942617</v>
      </c>
      <c s="18" t="s">
        <v>558</v>
      </c>
      <c s="8">
        <v>0.8920579998421817</v>
      </c>
      <c s="8">
        <v>0.88123785269775967</v>
      </c>
      <c s="19">
        <v>0.88752554467917977</v>
      </c>
      <c s="18" t="s">
        <v>558</v>
      </c>
      <c s="8">
        <v>0.81249736324417043</v>
      </c>
      <c s="8">
        <v>0.82148126799844812</v>
      </c>
      <c s="19">
        <v>0.81729799131178815</v>
      </c>
      <c s="18" t="s">
        <v>558</v>
      </c>
    </row>
    <row>
      <c s="26" t="s">
        <v>557</v>
      </c>
      <c s="26" t="s">
        <v>441</v>
      </c>
      <c s="26" t="s">
        <v>560</v>
      </c>
      <c s="8">
        <v>0.91221374045801529</v>
      </c>
      <c s="8">
        <v>0.90026246719160108</v>
      </c>
      <c s="19">
        <v>0.90718232044198899</v>
      </c>
      <c s="18" t="s">
        <v>558</v>
      </c>
      <c s="8">
        <v>0.89772727272727271</v>
      </c>
      <c s="8">
        <v>0.92462311557788945</v>
      </c>
      <c s="19">
        <v>0.90928725701943847</v>
      </c>
      <c s="18" t="s">
        <v>558</v>
      </c>
      <c s="8">
        <v>0.9098360655737705</v>
      </c>
      <c s="8">
        <v>0.86283185840707965</v>
      </c>
      <c s="19">
        <v>0.88723404255319149</v>
      </c>
      <c s="18" t="s">
        <v>558</v>
      </c>
    </row>
    <row>
      <c s="26" t="s">
        <v>84</v>
      </c>
      <c s="26" t="s">
        <v>230</v>
      </c>
      <c s="26" t="s">
        <v>84</v>
      </c>
      <c s="8">
        <v>0.60333207263922406</v>
      </c>
      <c s="8">
        <v>0.4900898318451995</v>
      </c>
      <c s="19">
        <v>0.5645754169763112</v>
      </c>
      <c s="18" t="s">
        <v>558</v>
      </c>
      <c s="8">
        <v>0.59482938149635001</v>
      </c>
      <c s="8">
        <v>0.50129784926815724</v>
      </c>
      <c s="19">
        <v>0.56239934418144344</v>
      </c>
      <c s="18" t="s">
        <v>558</v>
      </c>
      <c s="8">
        <v>0.51812676012518355</v>
      </c>
      <c s="8">
        <v>0.44132704144315366</v>
      </c>
      <c s="19">
        <v>0.49075498902353221</v>
      </c>
      <c s="18" t="s">
        <v>558</v>
      </c>
    </row>
    <row>
      <c s="26" t="s">
        <v>259</v>
      </c>
      <c s="26" t="s">
        <v>372</v>
      </c>
      <c s="26" t="s">
        <v>45</v>
      </c>
      <c s="8">
        <v>0.58245412576855904</v>
      </c>
      <c s="8">
        <v>0.53136641335121437</v>
      </c>
      <c s="19">
        <v>0.54680622389795686</v>
      </c>
      <c s="18" t="s">
        <v>558</v>
      </c>
      <c s="8">
        <v>0.56706753006475485</v>
      </c>
      <c s="8">
        <v>0.52595863253365815</v>
      </c>
      <c s="19">
        <v>0.53875944112308349</v>
      </c>
      <c s="18" t="s">
        <v>558</v>
      </c>
      <c s="8">
        <v>0.5541666666666667</v>
      </c>
      <c s="8">
        <v>0.48352845085760959</v>
      </c>
      <c s="19">
        <v>0.50458627938085232</v>
      </c>
      <c s="18" t="s">
        <v>558</v>
      </c>
    </row>
    <row>
      <c s="26" t="s">
        <v>82</v>
      </c>
      <c s="26" t="s">
        <v>516</v>
      </c>
      <c s="26" t="s">
        <v>444</v>
      </c>
      <c s="8">
        <v>0.62323946078834502</v>
      </c>
      <c s="8">
        <v>0.61823839660194213</v>
      </c>
      <c s="19">
        <v>0.61964848779319659</v>
      </c>
      <c s="18" t="s">
        <v>558</v>
      </c>
      <c s="8">
        <v>0.58061450341977061</v>
      </c>
      <c s="8">
        <v>0.59408222399403088</v>
      </c>
      <c s="19">
        <v>0.5903277356444947</v>
      </c>
      <c s="18" t="s">
        <v>558</v>
      </c>
      <c s="8">
        <v>0.57092508910999307</v>
      </c>
      <c s="8">
        <v>0.56245858724917142</v>
      </c>
      <c s="19">
        <v>0.56471544887811675</v>
      </c>
      <c s="18" t="s">
        <v>558</v>
      </c>
    </row>
    <row>
      <c s="26" t="s">
        <v>80</v>
      </c>
      <c s="26" t="s">
        <v>85</v>
      </c>
      <c s="26" t="s">
        <v>80</v>
      </c>
      <c s="8">
        <v>0.72891566265060237</v>
      </c>
      <c s="8">
        <v>0.70871985157699446</v>
      </c>
      <c s="19">
        <v>0.71347517730496457</v>
      </c>
      <c s="18" t="s">
        <v>558</v>
      </c>
      <c s="8">
        <v>0.68556701030927836</v>
      </c>
      <c s="8">
        <v>0.72569444444444442</v>
      </c>
      <c s="19">
        <v>0.71558441558441555</v>
      </c>
      <c s="18" t="s">
        <v>558</v>
      </c>
      <c s="8">
        <v>0.65957446808510634</v>
      </c>
      <c s="8">
        <v>0.61538461538461542</v>
      </c>
      <c s="19">
        <v>0.62595419847328249</v>
      </c>
      <c s="18" t="s">
        <v>558</v>
      </c>
    </row>
    <row>
      <c s="26" t="s">
        <v>333</v>
      </c>
      <c s="26" t="s">
        <v>255</v>
      </c>
      <c s="26" t="s">
        <v>515</v>
      </c>
      <c s="8">
        <v>0.5538211216759038</v>
      </c>
      <c s="8">
        <v>0.56165247555976028</v>
      </c>
      <c s="19">
        <v>0.55731659253420418</v>
      </c>
      <c s="18" t="s">
        <v>558</v>
      </c>
      <c s="8">
        <v>0.56284950378393084</v>
      </c>
      <c s="8">
        <v>0.52653838020723198</v>
      </c>
      <c s="19">
        <v>0.54608984212966361</v>
      </c>
      <c s="18" t="s">
        <v>558</v>
      </c>
      <c s="8">
        <v>0.52152004068235402</v>
      </c>
      <c s="8">
        <v>0.49385912672725546</v>
      </c>
      <c s="19">
        <v>0.50847347231212014</v>
      </c>
      <c s="18" t="s">
        <v>558</v>
      </c>
    </row>
    <row>
      <c s="26" t="s">
        <v>256</v>
      </c>
      <c s="26" t="s">
        <v>409</v>
      </c>
      <c s="26" t="s">
        <v>189</v>
      </c>
      <c s="8">
        <v>0.84536082474226804</v>
      </c>
      <c s="8">
        <v>0.81608458827298946</v>
      </c>
      <c s="19">
        <v>0.83896049313533194</v>
      </c>
      <c s="18" t="s">
        <v>558</v>
      </c>
      <c s="8">
        <v>0.86914231856738922</v>
      </c>
      <c s="8">
        <v>0.88940003833620851</v>
      </c>
      <c s="19">
        <v>0.87247180391909773</v>
      </c>
      <c s="18" t="s">
        <v>558</v>
      </c>
      <c s="8">
        <v>0.76223369164499977</v>
      </c>
      <c s="8">
        <v>0.7400288322921672</v>
      </c>
      <c s="19">
        <v>0.75914603588252982</v>
      </c>
      <c s="18" t="s">
        <v>558</v>
      </c>
    </row>
    <row>
      <c s="26" t="s">
        <v>374</v>
      </c>
      <c s="26" t="s">
        <v>555</v>
      </c>
      <c s="26" t="s">
        <v>559</v>
      </c>
      <c s="8">
        <v>0.6254695717505635</v>
      </c>
      <c s="8">
        <v>0.61475409836065575</v>
      </c>
      <c s="19">
        <v>0.6199707388441843</v>
      </c>
      <c s="18" t="s">
        <v>558</v>
      </c>
      <c s="8">
        <v>0.62301886792452832</v>
      </c>
      <c s="8">
        <v>0.62457103637611533</v>
      </c>
      <c s="19">
        <v>0.62383177570093462</v>
      </c>
      <c s="18" t="s">
        <v>558</v>
      </c>
      <c s="8">
        <v>0.54250559284116329</v>
      </c>
      <c s="8">
        <v>0.54356992269852422</v>
      </c>
      <c s="19">
        <v>0.54305354558610708</v>
      </c>
      <c s="18" t="s">
        <v>558</v>
      </c>
    </row>
    <row>
      <c s="26" t="s">
        <v>511</v>
      </c>
      <c s="26" t="s">
        <v>119</v>
      </c>
      <c s="26" t="s">
        <v>511</v>
      </c>
      <c s="8">
        <v>0.49336044091093251</v>
      </c>
      <c s="8">
        <v>0.46243892072042819</v>
      </c>
      <c s="19">
        <v>0.47727434010266623</v>
      </c>
      <c s="18" t="s">
        <v>558</v>
      </c>
      <c s="8">
        <v>0.4325236799476207</v>
      </c>
      <c s="8">
        <v>0.4277504787475957</v>
      </c>
      <c s="19">
        <v>0.43011303210795865</v>
      </c>
      <c s="18" t="s">
        <v>558</v>
      </c>
      <c s="8">
        <v>0.39683256785150572</v>
      </c>
      <c s="8">
        <v>0.39262623364507337</v>
      </c>
      <c s="19">
        <v>0.39476808089131316</v>
      </c>
      <c s="18" t="s">
        <v>558</v>
      </c>
    </row>
    <row>
      <c s="26" t="s">
        <v>513</v>
      </c>
      <c s="26" t="s">
        <v>254</v>
      </c>
      <c s="26" t="s">
        <v>513</v>
      </c>
      <c s="8">
        <v>0.53856619015643015</v>
      </c>
      <c s="8">
        <v>0.464864670970564</v>
      </c>
      <c s="19">
        <v>0.51257211567651673</v>
      </c>
      <c s="18" t="s">
        <v>558</v>
      </c>
      <c s="8">
        <v>0.5267276151415321</v>
      </c>
      <c s="8">
        <v>0.46103931219702532</v>
      </c>
      <c s="19">
        <v>0.50369587180575648</v>
      </c>
      <c s="18" t="s">
        <v>558</v>
      </c>
      <c s="8">
        <v>0.53880603153938411</v>
      </c>
      <c s="8">
        <v>0.43744568755024144</v>
      </c>
      <c s="19">
        <v>0.50198479082319891</v>
      </c>
      <c s="18" t="s">
        <v>558</v>
      </c>
    </row>
    <row>
      <c s="26" t="s">
        <v>122</v>
      </c>
      <c s="26" t="s">
        <v>159</v>
      </c>
      <c s="26" t="s">
        <v>81</v>
      </c>
      <c s="8">
        <v>0.83244680851063835</v>
      </c>
      <c s="8">
        <v>0.79047619047619044</v>
      </c>
      <c s="19">
        <v>0.81740614334470985</v>
      </c>
      <c s="18" t="s">
        <v>558</v>
      </c>
      <c s="8">
        <v>0.81699346405228757</v>
      </c>
      <c s="8">
        <v>0.81327800829875518</v>
      </c>
      <c s="19">
        <v>0.81535648994515542</v>
      </c>
      <c s="18" t="s">
        <v>558</v>
      </c>
      <c s="8">
        <v>0.81422924901185767</v>
      </c>
      <c s="8">
        <v>0.67307692307692313</v>
      </c>
      <c s="19">
        <v>0.76039119804400979</v>
      </c>
      <c s="18" t="s">
        <v>558</v>
      </c>
    </row>
    <row>
      <c s="26" t="s">
        <v>301</v>
      </c>
      <c s="26" t="s">
        <v>305</v>
      </c>
      <c s="26" t="s">
        <v>405</v>
      </c>
      <c s="8">
        <v>0.79166666666666663</v>
      </c>
      <c s="8">
        <v>0.70378619153674837</v>
      </c>
      <c s="19">
        <v>0.75127942681678606</v>
      </c>
      <c s="18" t="s">
        <v>558</v>
      </c>
      <c s="8">
        <v>0.7524946938258309</v>
      </c>
      <c s="8">
        <v>0.66813734893535404</v>
      </c>
      <c s="19">
        <v>0.71434272626318718</v>
      </c>
      <c s="18" t="s">
        <v>558</v>
      </c>
      <c s="8">
        <v>0.66262328534179793</v>
      </c>
      <c s="8">
        <v>0.55450089473274722</v>
      </c>
      <c s="19">
        <v>0.61705197573372683</v>
      </c>
      <c s="18" t="s">
        <v>558</v>
      </c>
    </row>
    <row>
      <c s="26" t="s">
        <v>190</v>
      </c>
      <c s="26" t="s">
        <v>445</v>
      </c>
      <c s="26" t="s">
        <v>554</v>
      </c>
      <c s="8">
        <v>0.80412816693728451</v>
      </c>
      <c s="8">
        <v>0.85581395348837208</v>
      </c>
      <c s="19">
        <v>0.82509893536830492</v>
      </c>
      <c s="18" t="s">
        <v>558</v>
      </c>
      <c s="8">
        <v>0.84317106888562032</v>
      </c>
      <c s="8">
        <v>0.78971212722216977</v>
      </c>
      <c s="19">
        <v>0.82013523892941131</v>
      </c>
      <c s="18" t="s">
        <v>558</v>
      </c>
      <c s="8">
        <v>0.77869246154783267</v>
      </c>
      <c s="8">
        <v>0.78988153059931576</v>
      </c>
      <c s="19">
        <v>0.78351171022958865</v>
      </c>
      <c s="18" t="s">
        <v>558</v>
      </c>
    </row>
    <row>
      <c s="26" t="s">
        <v>121</v>
      </c>
      <c s="26" t="s">
        <v>6</v>
      </c>
      <c s="26" t="s">
        <v>227</v>
      </c>
      <c s="8">
        <v>0.71170871947456171</v>
      </c>
      <c s="8">
        <v>0.61195064675690714</v>
      </c>
      <c s="19">
        <v>0.65937024428044866</v>
      </c>
      <c s="18" t="s">
        <v>558</v>
      </c>
      <c s="8">
        <v>0.74135644899965847</v>
      </c>
      <c s="8">
        <v>0.70554517166181885</v>
      </c>
      <c s="19">
        <v>0.72403809566688526</v>
      </c>
      <c s="18" t="s">
        <v>558</v>
      </c>
      <c s="8">
        <v>0.69877471935284641</v>
      </c>
      <c s="8">
        <v>0.73014344083929394</v>
      </c>
      <c s="19">
        <v>0.71545270318860077</v>
      </c>
      <c s="18" t="s">
        <v>558</v>
      </c>
    </row>
    <row>
      <c s="26" t="s">
        <v>406</v>
      </c>
      <c s="26" t="s">
        <v>158</v>
      </c>
      <c s="26" t="s">
        <v>300</v>
      </c>
      <c s="8">
        <v>0.73378348838957785</v>
      </c>
      <c s="8">
        <v>0.73067101979054017</v>
      </c>
      <c s="19">
        <v>0.73273511940348812</v>
      </c>
      <c s="18" t="s">
        <v>558</v>
      </c>
      <c s="8">
        <v>0.66292484593288381</v>
      </c>
      <c s="8">
        <v>0.62457135244927131</v>
      </c>
      <c s="19">
        <v>0.65055516839380334</v>
      </c>
      <c s="18" t="s">
        <v>558</v>
      </c>
      <c s="8">
        <v>0.62496275788443756</v>
      </c>
      <c s="8">
        <v>0.45133486142411283</v>
      </c>
      <c s="19">
        <v>0.57284292993829222</v>
      </c>
      <c s="18" t="s">
        <v>558</v>
      </c>
    </row>
    <row ht="15" customHeight="1">
      <c s="26" t="s">
        <v>226</v>
      </c>
      <c s="26" t="s">
        <v>4</v>
      </c>
      <c s="26" t="s">
        <v>161</v>
      </c>
      <c s="8">
        <v>0.62068965517241381</v>
      </c>
      <c s="8">
        <v>0.61111111111111116</v>
      </c>
      <c s="19">
        <v>0.61725663716814161</v>
      </c>
      <c s="18" t="s">
        <v>558</v>
      </c>
      <c s="8">
        <v>0.67697594501718217</v>
      </c>
      <c s="8">
        <v>0.51412429378531077</v>
      </c>
      <c s="19">
        <v>0.61538461538461542</v>
      </c>
      <c s="18" t="s">
        <v>558</v>
      </c>
      <c s="8">
        <v>0.59863945578231292</v>
      </c>
      <c s="8">
        <v>0.54973821989528793</v>
      </c>
      <c s="19">
        <v>0.57938144329896912</v>
      </c>
      <c s="18" t="s">
        <v>558</v>
      </c>
    </row>
    <row ht="15" customHeight="1">
      <c s="26" t="s">
        <v>117</v>
      </c>
      <c s="26" t="s">
        <v>117</v>
      </c>
      <c s="26" t="s">
        <v>117</v>
      </c>
      <c s="8">
        <v>0.54589888112601326</v>
      </c>
      <c s="8">
        <v>0.52066558298995247</v>
      </c>
      <c s="19">
        <v>0.53465687617617763</v>
      </c>
      <c s="18" t="s">
        <v>186</v>
      </c>
      <c s="8">
        <v>0.53199108304543119</v>
      </c>
      <c s="8">
        <v>0.51377967668200419</v>
      </c>
      <c s="19">
        <v>0.52382616142464455</v>
      </c>
      <c s="18" t="s">
        <v>186</v>
      </c>
      <c s="8">
        <v>0.47362468995033297</v>
      </c>
      <c s="8">
        <v>0.45969154095494547</v>
      </c>
      <c s="19">
        <v>0.4673819825194932</v>
      </c>
      <c s="18" t="s">
        <v>186</v>
      </c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 ht="15" customHeight="1"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60"/>
      <c s="3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H5:L5"/>
    <mergeCell ref="H6:K6"/>
    <mergeCell ref="D15:G15"/>
    <mergeCell ref="H15:K15"/>
    <mergeCell ref="L15:O15"/>
  </mergeCells>
  <pageMargins left="0.70866141732283472" right="0.70866141732283472" top="0.78740157480314965" bottom="0.78740157480314965" header="0.31496062992125984" footer="0.31496062992125984"/>
  <pageSetup paperSize="9" scale="58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topLeftCell="B1" workbookViewId="0">
      <selection activeCell="I2" sqref="I2"/>
    </sheetView>
  </sheetViews>
  <sheetFormatPr defaultColWidth="11.42578125" defaultRowHeight="15"/>
  <cols>
    <col min="1" max="1" width="40.7109375" bestFit="1" customWidth="1"/>
    <col min="2" max="2" width="13.28515625" bestFit="1" customWidth="1"/>
    <col min="3" max="3" width="14.7109375" bestFit="1" customWidth="1"/>
    <col min="8" max="8" width="3.85546875" bestFit="1" customWidth="1"/>
  </cols>
  <sheetData>
    <row ht="14.95">
      <c t="s">
        <v>191</v>
      </c>
      <c t="s">
        <v>229</v>
      </c>
      <c t="s">
        <v>48</v>
      </c>
      <c r="I1" t="s">
        <v>308</v>
      </c>
      <c t="s">
        <v>164</v>
      </c>
      <c t="s">
        <v>10</v>
      </c>
      <c r="N1" t="s">
        <v>308</v>
      </c>
      <c t="s">
        <v>164</v>
      </c>
      <c t="s">
        <v>10</v>
      </c>
    </row>
    <row ht="14.95">
      <c t="s">
        <v>263</v>
      </c>
      <c>
        <v>314</v>
      </c>
      <c>
        <v>12576</v>
      </c>
      <c r="H2" s="71" t="s">
        <v>261</v>
      </c>
      <c>
        <f t="shared" si="0" ref="I2:I23">SUMIF($A$2:$A$1000,H2&amp;" Wintersemester 2024 (Stichtag: 28.02.2025)",$C$2:$C$1000)</f>
        <v>77166</v>
      </c>
      <c>
        <f t="shared" si="1" ref="J2:J23">SUMIF($A$2:$A$1000,H2&amp;" Wintersemester 2023 (Stichtag: 28.02.2024)",$C$2:$C$1000)</f>
        <v>73761</v>
      </c>
      <c>
        <f t="shared" si="2" ref="K2:K23">SUMIF($A$2:$A$1000,H2&amp;" Wintersemester 2022 (Stichtag: 28.02.2023)",$C$2:$C$1000)</f>
        <v>70282</v>
      </c>
      <c r="N2">
        <v>26500</v>
      </c>
      <c>
        <v>26500</v>
      </c>
      <c>
        <v>26500</v>
      </c>
    </row>
    <row ht="14.95">
      <c t="s">
        <v>11</v>
      </c>
      <c>
        <v>314</v>
      </c>
      <c>
        <v>11592</v>
      </c>
      <c r="H3" s="57" t="s">
        <v>446</v>
      </c>
      <c>
        <f t="shared" si="0"/>
        <v>77276</v>
      </c>
      <c>
        <f t="shared" si="1"/>
        <v>73810</v>
      </c>
      <c>
        <f t="shared" si="2"/>
        <v>70663</v>
      </c>
      <c r="N3">
        <v>26500</v>
      </c>
      <c>
        <v>26500</v>
      </c>
      <c>
        <v>26500</v>
      </c>
    </row>
    <row ht="14.95">
      <c t="s">
        <v>337</v>
      </c>
      <c>
        <v>314</v>
      </c>
      <c>
        <v>16160</v>
      </c>
      <c r="H4" s="57" t="s">
        <v>7</v>
      </c>
      <c>
        <f t="shared" si="0"/>
        <v>76885</v>
      </c>
      <c>
        <f t="shared" si="1"/>
        <v>73479</v>
      </c>
      <c>
        <f t="shared" si="2"/>
        <v>70195</v>
      </c>
      <c r="N4">
        <v>26500</v>
      </c>
      <c>
        <v>26500</v>
      </c>
      <c>
        <v>26500</v>
      </c>
    </row>
    <row ht="14.95">
      <c t="s">
        <v>12</v>
      </c>
      <c>
        <v>314</v>
      </c>
      <c>
        <v>18651</v>
      </c>
      <c r="H5" s="57" t="s">
        <v>485</v>
      </c>
      <c>
        <f t="shared" si="0"/>
        <v>76759</v>
      </c>
      <c>
        <f t="shared" si="1"/>
        <v>73185</v>
      </c>
      <c>
        <f t="shared" si="2"/>
        <v>70159</v>
      </c>
      <c r="N5">
        <v>26500</v>
      </c>
      <c>
        <v>26500</v>
      </c>
      <c>
        <v>26500</v>
      </c>
    </row>
    <row ht="14.95">
      <c t="s">
        <v>165</v>
      </c>
      <c>
        <v>2650</v>
      </c>
      <c>
        <v>21588</v>
      </c>
      <c r="H6" s="57" t="s">
        <v>51</v>
      </c>
      <c>
        <f t="shared" si="0"/>
        <v>77398</v>
      </c>
      <c>
        <f t="shared" si="1"/>
        <v>74018</v>
      </c>
      <c>
        <f t="shared" si="2"/>
        <v>70285</v>
      </c>
      <c r="N6">
        <v>26500</v>
      </c>
      <c>
        <v>26500</v>
      </c>
      <c>
        <v>26500</v>
      </c>
    </row>
    <row ht="14.95">
      <c t="s">
        <v>489</v>
      </c>
      <c>
        <v>2650</v>
      </c>
      <c>
        <v>24893</v>
      </c>
      <c r="H7" s="57" t="s">
        <v>335</v>
      </c>
      <c>
        <f t="shared" si="0"/>
        <v>77322</v>
      </c>
      <c>
        <f t="shared" si="1"/>
        <v>74020</v>
      </c>
      <c>
        <f t="shared" si="2"/>
        <v>70631</v>
      </c>
      <c r="N7">
        <v>26500</v>
      </c>
      <c>
        <v>26500</v>
      </c>
      <c>
        <v>26500</v>
      </c>
    </row>
    <row ht="14.95">
      <c t="s">
        <v>233</v>
      </c>
      <c>
        <v>2650</v>
      </c>
      <c>
        <v>28439</v>
      </c>
      <c r="H8" s="57" t="str">
        <f>CONCATENATE("U","D")</f>
        <v>UD</v>
      </c>
      <c>
        <f t="shared" si="0"/>
        <v>76927</v>
      </c>
      <c>
        <f t="shared" si="1"/>
        <v>73566</v>
      </c>
      <c>
        <f t="shared" si="2"/>
        <v>70246</v>
      </c>
      <c r="N8">
        <v>26500</v>
      </c>
      <c>
        <v>26500</v>
      </c>
      <c>
        <v>26500</v>
      </c>
    </row>
    <row ht="14.95">
      <c t="s">
        <v>561</v>
      </c>
      <c>
        <v>2650</v>
      </c>
      <c>
        <v>41059</v>
      </c>
      <c r="H9" s="57" t="s">
        <v>306</v>
      </c>
      <c>
        <f t="shared" si="0"/>
        <v>77195</v>
      </c>
      <c>
        <f t="shared" si="1"/>
        <v>73776</v>
      </c>
      <c>
        <f t="shared" si="2"/>
        <v>70685</v>
      </c>
      <c r="N9">
        <v>26500</v>
      </c>
      <c>
        <v>26500</v>
      </c>
      <c>
        <v>26500</v>
      </c>
    </row>
    <row ht="14.95">
      <c t="s">
        <v>309</v>
      </c>
      <c>
        <v>2650</v>
      </c>
      <c>
        <v>42878</v>
      </c>
      <c r="H10" s="57" t="s">
        <v>447</v>
      </c>
      <c>
        <f t="shared" si="0"/>
        <v>77010</v>
      </c>
      <c>
        <f t="shared" si="1"/>
        <v>73561</v>
      </c>
      <c>
        <f t="shared" si="2"/>
        <v>70310</v>
      </c>
      <c r="N10">
        <v>26500</v>
      </c>
      <c>
        <v>26500</v>
      </c>
      <c>
        <v>26500</v>
      </c>
    </row>
    <row ht="14.95">
      <c t="s">
        <v>54</v>
      </c>
      <c>
        <v>2650</v>
      </c>
      <c>
        <v>45004</v>
      </c>
      <c r="H11" s="57" t="s">
        <v>8</v>
      </c>
      <c>
        <f t="shared" si="0"/>
        <v>77377</v>
      </c>
      <c>
        <f t="shared" si="1"/>
        <v>73964</v>
      </c>
      <c>
        <f t="shared" si="2"/>
        <v>70798</v>
      </c>
      <c r="N11">
        <v>26500</v>
      </c>
      <c>
        <v>26500</v>
      </c>
      <c>
        <v>26500</v>
      </c>
    </row>
    <row ht="14.95">
      <c t="s">
        <v>377</v>
      </c>
      <c>
        <v>26500</v>
      </c>
      <c>
        <v>46666</v>
      </c>
      <c r="H12" s="57" t="s">
        <v>163</v>
      </c>
      <c>
        <f t="shared" si="0"/>
        <v>76803</v>
      </c>
      <c>
        <f t="shared" si="1"/>
        <v>74297</v>
      </c>
      <c>
        <f t="shared" si="2"/>
        <v>70678</v>
      </c>
      <c r="N12">
        <v>26500</v>
      </c>
      <c>
        <v>26500</v>
      </c>
      <c>
        <v>26500</v>
      </c>
    </row>
    <row ht="14.95">
      <c t="s">
        <v>124</v>
      </c>
      <c>
        <v>26500</v>
      </c>
      <c>
        <v>48927</v>
      </c>
      <c r="H13" s="57" t="s">
        <v>307</v>
      </c>
      <c>
        <f t="shared" si="0"/>
        <v>77075</v>
      </c>
      <c>
        <f t="shared" si="1"/>
        <v>73260</v>
      </c>
      <c>
        <f t="shared" si="2"/>
        <v>70343</v>
      </c>
      <c r="N13">
        <v>26500</v>
      </c>
      <c>
        <v>26500</v>
      </c>
      <c>
        <v>26500</v>
      </c>
    </row>
    <row ht="14.95">
      <c t="s">
        <v>449</v>
      </c>
      <c>
        <v>26500</v>
      </c>
      <c>
        <v>53449</v>
      </c>
      <c r="H14" s="57" t="s">
        <v>448</v>
      </c>
      <c>
        <f t="shared" si="0"/>
        <v>77141</v>
      </c>
      <c>
        <f t="shared" si="1"/>
        <v>73795</v>
      </c>
      <c>
        <f t="shared" si="2"/>
        <v>70929</v>
      </c>
      <c r="N14">
        <v>26500</v>
      </c>
      <c>
        <v>26500</v>
      </c>
      <c>
        <v>26500</v>
      </c>
    </row>
    <row ht="14.95">
      <c t="s">
        <v>125</v>
      </c>
      <c>
        <v>26500</v>
      </c>
      <c>
        <v>57766</v>
      </c>
      <c r="H15" s="57" t="s">
        <v>52</v>
      </c>
      <c>
        <f t="shared" si="0"/>
        <v>76835</v>
      </c>
      <c>
        <f t="shared" si="1"/>
        <v>73386</v>
      </c>
      <c>
        <f t="shared" si="2"/>
        <v>69975</v>
      </c>
      <c r="N15">
        <v>26500</v>
      </c>
      <c>
        <v>26500</v>
      </c>
      <c>
        <v>26500</v>
      </c>
    </row>
    <row ht="14.95">
      <c t="s">
        <v>264</v>
      </c>
      <c>
        <v>26500</v>
      </c>
      <c>
        <v>65511</v>
      </c>
      <c r="H16" s="57" t="s">
        <v>193</v>
      </c>
      <c>
        <f t="shared" si="0"/>
        <v>77114</v>
      </c>
      <c>
        <f t="shared" si="1"/>
        <v>73709</v>
      </c>
      <c>
        <f t="shared" si="2"/>
        <v>70781</v>
      </c>
      <c r="N16">
        <v>26500</v>
      </c>
      <c>
        <v>26500</v>
      </c>
      <c>
        <v>26500</v>
      </c>
    </row>
    <row ht="14.95">
      <c t="s">
        <v>13</v>
      </c>
      <c>
        <v>26500</v>
      </c>
      <c>
        <v>67822</v>
      </c>
      <c r="H17" s="57" t="s">
        <v>53</v>
      </c>
      <c>
        <f t="shared" si="0"/>
        <v>77460</v>
      </c>
      <c>
        <f t="shared" si="1"/>
        <v>74102</v>
      </c>
      <c>
        <f t="shared" si="2"/>
        <v>70430</v>
      </c>
      <c r="N17">
        <v>26500</v>
      </c>
      <c>
        <v>26500</v>
      </c>
      <c>
        <v>26500</v>
      </c>
    </row>
    <row ht="14.95">
      <c t="s">
        <v>338</v>
      </c>
      <c>
        <v>26500</v>
      </c>
      <c>
        <v>70282</v>
      </c>
      <c r="H18" s="57" t="s">
        <v>231</v>
      </c>
      <c>
        <f t="shared" si="0"/>
        <v>77549</v>
      </c>
      <c>
        <f t="shared" si="1"/>
        <v>74075</v>
      </c>
      <c>
        <f t="shared" si="2"/>
        <v>70897</v>
      </c>
      <c r="N18">
        <v>26500</v>
      </c>
      <c>
        <v>26500</v>
      </c>
      <c>
        <v>26500</v>
      </c>
    </row>
    <row ht="14.95">
      <c t="s">
        <v>88</v>
      </c>
      <c>
        <v>26500</v>
      </c>
      <c>
        <v>73761</v>
      </c>
      <c r="H19" s="57" t="s">
        <v>375</v>
      </c>
      <c>
        <f t="shared" si="0"/>
        <v>77043</v>
      </c>
      <c>
        <f t="shared" si="1"/>
        <v>73634</v>
      </c>
      <c>
        <f t="shared" si="2"/>
        <v>70585</v>
      </c>
      <c r="N19">
        <v>26500</v>
      </c>
      <c>
        <v>26500</v>
      </c>
      <c>
        <v>26500</v>
      </c>
    </row>
    <row ht="14.95">
      <c t="s">
        <v>411</v>
      </c>
      <c>
        <v>26500</v>
      </c>
      <c>
        <v>77166</v>
      </c>
      <c r="H20" s="57" t="s">
        <v>517</v>
      </c>
      <c>
        <f t="shared" si="0"/>
        <v>77220</v>
      </c>
      <c>
        <f t="shared" si="1"/>
        <v>73933</v>
      </c>
      <c>
        <f t="shared" si="2"/>
        <v>70867</v>
      </c>
      <c r="N20">
        <v>26500</v>
      </c>
      <c>
        <v>26500</v>
      </c>
      <c>
        <v>26500</v>
      </c>
    </row>
    <row ht="14.95">
      <c t="s">
        <v>339</v>
      </c>
      <c>
        <v>314</v>
      </c>
      <c>
        <v>13217</v>
      </c>
      <c r="H21" s="57" t="s">
        <v>87</v>
      </c>
      <c>
        <f t="shared" si="0"/>
        <v>76745</v>
      </c>
      <c>
        <f t="shared" si="1"/>
        <v>73447</v>
      </c>
      <c>
        <f t="shared" si="2"/>
        <v>70293</v>
      </c>
      <c r="N21">
        <v>26500</v>
      </c>
      <c>
        <v>26500</v>
      </c>
      <c>
        <v>26500</v>
      </c>
    </row>
    <row ht="14.95">
      <c t="s">
        <v>89</v>
      </c>
      <c>
        <v>314</v>
      </c>
      <c>
        <v>13223</v>
      </c>
      <c r="H22" s="57" t="s">
        <v>486</v>
      </c>
      <c>
        <f t="shared" si="0"/>
        <v>76862</v>
      </c>
      <c>
        <f t="shared" si="1"/>
        <v>73445</v>
      </c>
      <c>
        <f t="shared" si="2"/>
        <v>70499</v>
      </c>
      <c r="N22">
        <v>26500</v>
      </c>
      <c>
        <v>26500</v>
      </c>
      <c>
        <v>26500</v>
      </c>
    </row>
    <row ht="14.95">
      <c t="s">
        <v>412</v>
      </c>
      <c>
        <v>314</v>
      </c>
      <c>
        <v>16049</v>
      </c>
      <c r="H23" s="57" t="s">
        <v>336</v>
      </c>
      <c>
        <f t="shared" si="0"/>
        <v>76997</v>
      </c>
      <c>
        <f t="shared" si="1"/>
        <v>73685</v>
      </c>
      <c>
        <f t="shared" si="2"/>
        <v>70720</v>
      </c>
      <c r="N23">
        <v>26500</v>
      </c>
      <c>
        <v>26500</v>
      </c>
      <c>
        <v>26500</v>
      </c>
    </row>
    <row ht="14.95">
      <c t="s">
        <v>90</v>
      </c>
      <c>
        <v>314</v>
      </c>
      <c>
        <v>19139</v>
      </c>
    </row>
    <row ht="14.95">
      <c t="s">
        <v>234</v>
      </c>
      <c>
        <v>2650</v>
      </c>
      <c>
        <v>22069</v>
      </c>
    </row>
    <row ht="14.95">
      <c t="s">
        <v>562</v>
      </c>
      <c>
        <v>2650</v>
      </c>
      <c>
        <v>25177</v>
      </c>
    </row>
    <row ht="14.95">
      <c t="s">
        <v>310</v>
      </c>
      <c>
        <v>2650</v>
      </c>
      <c>
        <v>28478</v>
      </c>
    </row>
    <row ht="14.95">
      <c t="s">
        <v>55</v>
      </c>
      <c>
        <v>2650</v>
      </c>
      <c>
        <v>41072</v>
      </c>
    </row>
    <row ht="14.95">
      <c t="s">
        <v>378</v>
      </c>
      <c>
        <v>2650</v>
      </c>
      <c>
        <v>42632</v>
      </c>
    </row>
    <row ht="14.95">
      <c t="s">
        <v>126</v>
      </c>
      <c>
        <v>2650</v>
      </c>
      <c>
        <v>44902</v>
      </c>
    </row>
    <row ht="14.95">
      <c t="s">
        <v>450</v>
      </c>
      <c>
        <v>26500</v>
      </c>
      <c>
        <v>45947</v>
      </c>
    </row>
    <row ht="14.95">
      <c t="s">
        <v>194</v>
      </c>
      <c>
        <v>26500</v>
      </c>
      <c>
        <v>49498</v>
      </c>
    </row>
    <row ht="14.95">
      <c t="s">
        <v>518</v>
      </c>
      <c>
        <v>26500</v>
      </c>
      <c>
        <v>53209</v>
      </c>
    </row>
    <row ht="14.95">
      <c t="s">
        <v>195</v>
      </c>
      <c>
        <v>26500</v>
      </c>
      <c>
        <v>59570</v>
      </c>
    </row>
    <row ht="14.95">
      <c t="s">
        <v>340</v>
      </c>
      <c>
        <v>26500</v>
      </c>
      <c>
        <v>65415</v>
      </c>
    </row>
    <row ht="14.95">
      <c t="s">
        <v>91</v>
      </c>
      <c>
        <v>26500</v>
      </c>
      <c>
        <v>68034</v>
      </c>
    </row>
    <row ht="14.95">
      <c t="s">
        <v>413</v>
      </c>
      <c>
        <v>26500</v>
      </c>
      <c>
        <v>70663</v>
      </c>
    </row>
    <row ht="14.95">
      <c t="s">
        <v>166</v>
      </c>
      <c>
        <v>26500</v>
      </c>
      <c>
        <v>73810</v>
      </c>
    </row>
    <row ht="14.95">
      <c t="s">
        <v>490</v>
      </c>
      <c>
        <v>26500</v>
      </c>
      <c>
        <v>77276</v>
      </c>
    </row>
    <row ht="14.95">
      <c t="s">
        <v>414</v>
      </c>
      <c>
        <v>314</v>
      </c>
      <c>
        <v>8020</v>
      </c>
    </row>
    <row ht="14.95">
      <c t="s">
        <v>167</v>
      </c>
      <c>
        <v>314</v>
      </c>
      <c>
        <v>13165</v>
      </c>
    </row>
    <row ht="14.95">
      <c t="s">
        <v>491</v>
      </c>
      <c>
        <v>314</v>
      </c>
      <c>
        <v>16099</v>
      </c>
    </row>
    <row ht="14.95">
      <c t="s">
        <v>341</v>
      </c>
      <c>
        <v>2650</v>
      </c>
      <c>
        <v>22937</v>
      </c>
    </row>
    <row ht="14.95">
      <c t="s">
        <v>92</v>
      </c>
      <c>
        <v>2650</v>
      </c>
      <c>
        <v>24744</v>
      </c>
    </row>
    <row ht="14.95">
      <c t="s">
        <v>415</v>
      </c>
      <c>
        <v>2650</v>
      </c>
      <c>
        <v>28423</v>
      </c>
    </row>
    <row ht="14.95">
      <c t="s">
        <v>168</v>
      </c>
      <c>
        <v>2650</v>
      </c>
      <c>
        <v>40963</v>
      </c>
    </row>
    <row ht="14.95">
      <c t="s">
        <v>492</v>
      </c>
      <c>
        <v>2650</v>
      </c>
      <c>
        <v>42643</v>
      </c>
    </row>
    <row ht="14.95">
      <c t="s">
        <v>196</v>
      </c>
      <c>
        <v>2650</v>
      </c>
      <c>
        <v>44706</v>
      </c>
    </row>
    <row ht="14.95">
      <c t="s">
        <v>519</v>
      </c>
      <c>
        <v>26500</v>
      </c>
      <c>
        <v>46132</v>
      </c>
    </row>
    <row ht="14.95">
      <c t="s">
        <v>265</v>
      </c>
      <c>
        <v>26500</v>
      </c>
      <c>
        <v>49665</v>
      </c>
    </row>
    <row ht="14.95">
      <c t="s">
        <v>14</v>
      </c>
      <c>
        <v>26500</v>
      </c>
      <c>
        <v>55097</v>
      </c>
    </row>
    <row ht="14.95">
      <c t="s">
        <v>311</v>
      </c>
      <c>
        <v>26500</v>
      </c>
      <c>
        <v>57693</v>
      </c>
    </row>
    <row ht="14.95">
      <c t="s">
        <v>451</v>
      </c>
      <c>
        <v>26500</v>
      </c>
      <c>
        <v>65001</v>
      </c>
    </row>
    <row ht="14.95">
      <c t="s">
        <v>197</v>
      </c>
      <c>
        <v>26500</v>
      </c>
      <c>
        <v>67558</v>
      </c>
    </row>
    <row ht="14.95">
      <c t="s">
        <v>520</v>
      </c>
      <c>
        <v>26500</v>
      </c>
      <c>
        <v>70195</v>
      </c>
    </row>
    <row ht="14.95">
      <c t="s">
        <v>266</v>
      </c>
      <c>
        <v>26500</v>
      </c>
      <c>
        <v>73479</v>
      </c>
    </row>
    <row ht="14.95">
      <c t="s">
        <v>15</v>
      </c>
      <c>
        <v>26500</v>
      </c>
      <c>
        <v>76885</v>
      </c>
    </row>
    <row ht="14.95">
      <c t="s">
        <v>521</v>
      </c>
      <c>
        <v>314</v>
      </c>
      <c>
        <v>5329</v>
      </c>
    </row>
    <row ht="14.95">
      <c t="s">
        <v>267</v>
      </c>
      <c>
        <v>314</v>
      </c>
      <c>
        <v>13234</v>
      </c>
    </row>
    <row ht="14.95">
      <c t="s">
        <v>16</v>
      </c>
      <c>
        <v>314</v>
      </c>
      <c>
        <v>18332</v>
      </c>
    </row>
    <row ht="14.95">
      <c t="s">
        <v>268</v>
      </c>
      <c>
        <v>314</v>
      </c>
      <c>
        <v>18973</v>
      </c>
    </row>
    <row ht="14.95">
      <c t="s">
        <v>416</v>
      </c>
      <c>
        <v>2650</v>
      </c>
      <c>
        <v>22744</v>
      </c>
    </row>
    <row ht="14.95">
      <c t="s">
        <v>169</v>
      </c>
      <c>
        <v>2650</v>
      </c>
      <c>
        <v>25189</v>
      </c>
    </row>
    <row ht="14.95">
      <c t="s">
        <v>493</v>
      </c>
      <c>
        <v>2650</v>
      </c>
      <c>
        <v>28524</v>
      </c>
    </row>
    <row ht="14.95">
      <c t="s">
        <v>235</v>
      </c>
      <c>
        <v>2650</v>
      </c>
      <c>
        <v>40941</v>
      </c>
    </row>
    <row ht="14.95">
      <c t="s">
        <v>563</v>
      </c>
      <c>
        <v>2650</v>
      </c>
      <c>
        <v>42548</v>
      </c>
    </row>
    <row ht="14.95">
      <c t="s">
        <v>312</v>
      </c>
      <c>
        <v>2650</v>
      </c>
      <c>
        <v>44925</v>
      </c>
    </row>
    <row ht="14.95">
      <c t="s">
        <v>56</v>
      </c>
      <c>
        <v>26500</v>
      </c>
      <c>
        <v>45858</v>
      </c>
    </row>
    <row ht="14.95">
      <c t="s">
        <v>379</v>
      </c>
      <c>
        <v>26500</v>
      </c>
      <c>
        <v>47874</v>
      </c>
    </row>
    <row ht="14.95">
      <c t="s">
        <v>127</v>
      </c>
      <c>
        <v>26500</v>
      </c>
      <c>
        <v>52576</v>
      </c>
    </row>
    <row ht="14.95">
      <c t="s">
        <v>380</v>
      </c>
      <c>
        <v>26500</v>
      </c>
      <c>
        <v>59455</v>
      </c>
    </row>
    <row ht="14.95">
      <c t="s">
        <v>522</v>
      </c>
      <c>
        <v>26500</v>
      </c>
      <c>
        <v>65928</v>
      </c>
    </row>
    <row ht="14.95">
      <c t="s">
        <v>269</v>
      </c>
      <c>
        <v>26500</v>
      </c>
      <c>
        <v>67951</v>
      </c>
    </row>
    <row ht="14.95">
      <c t="s">
        <v>17</v>
      </c>
      <c>
        <v>26500</v>
      </c>
      <c>
        <v>70246</v>
      </c>
    </row>
    <row ht="14.95">
      <c t="s">
        <v>342</v>
      </c>
      <c>
        <v>26500</v>
      </c>
      <c>
        <v>73566</v>
      </c>
    </row>
    <row ht="14.95">
      <c t="s">
        <v>93</v>
      </c>
      <c>
        <v>26500</v>
      </c>
      <c>
        <v>76927</v>
      </c>
    </row>
    <row ht="14.95">
      <c t="s">
        <v>18</v>
      </c>
      <c>
        <v>314</v>
      </c>
      <c>
        <v>14238</v>
      </c>
    </row>
    <row ht="14.95">
      <c t="s">
        <v>343</v>
      </c>
      <c>
        <v>314</v>
      </c>
      <c>
        <v>13488</v>
      </c>
    </row>
    <row ht="14.95">
      <c t="s">
        <v>94</v>
      </c>
      <c>
        <v>314</v>
      </c>
      <c>
        <v>16031</v>
      </c>
    </row>
    <row ht="14.95">
      <c t="s">
        <v>344</v>
      </c>
      <c>
        <v>314</v>
      </c>
      <c>
        <v>18616</v>
      </c>
    </row>
    <row ht="14.95">
      <c t="s">
        <v>494</v>
      </c>
      <c>
        <v>2650</v>
      </c>
      <c>
        <v>21640</v>
      </c>
    </row>
    <row ht="14.95">
      <c t="s">
        <v>236</v>
      </c>
      <c>
        <v>2650</v>
      </c>
      <c>
        <v>24954</v>
      </c>
    </row>
    <row ht="14.95">
      <c t="s">
        <v>564</v>
      </c>
      <c>
        <v>2650</v>
      </c>
      <c>
        <v>28413</v>
      </c>
    </row>
    <row ht="14.95">
      <c t="s">
        <v>313</v>
      </c>
      <c>
        <v>2650</v>
      </c>
      <c>
        <v>40899</v>
      </c>
    </row>
    <row ht="14.95">
      <c t="s">
        <v>57</v>
      </c>
      <c>
        <v>2650</v>
      </c>
      <c>
        <v>42413</v>
      </c>
    </row>
    <row ht="14.95">
      <c t="s">
        <v>381</v>
      </c>
      <c>
        <v>2650</v>
      </c>
      <c>
        <v>44956</v>
      </c>
    </row>
    <row ht="14.95">
      <c t="s">
        <v>128</v>
      </c>
      <c>
        <v>26500</v>
      </c>
      <c>
        <v>46573</v>
      </c>
    </row>
    <row ht="14.95">
      <c t="s">
        <v>452</v>
      </c>
      <c>
        <v>26500</v>
      </c>
      <c>
        <v>49053</v>
      </c>
    </row>
    <row ht="14.95">
      <c t="s">
        <v>198</v>
      </c>
      <c>
        <v>26500</v>
      </c>
      <c>
        <v>55205</v>
      </c>
    </row>
    <row ht="14.95">
      <c t="s">
        <v>453</v>
      </c>
      <c>
        <v>26500</v>
      </c>
      <c>
        <v>59586</v>
      </c>
    </row>
    <row ht="14.95">
      <c t="s">
        <v>19</v>
      </c>
      <c>
        <v>26500</v>
      </c>
      <c>
        <v>65429</v>
      </c>
    </row>
    <row ht="14.95">
      <c t="s">
        <v>345</v>
      </c>
      <c>
        <v>26500</v>
      </c>
      <c>
        <v>68008</v>
      </c>
    </row>
    <row ht="14.95">
      <c t="s">
        <v>95</v>
      </c>
      <c>
        <v>26500</v>
      </c>
      <c>
        <v>70685</v>
      </c>
    </row>
    <row ht="14.95">
      <c t="s">
        <v>417</v>
      </c>
      <c>
        <v>26500</v>
      </c>
      <c>
        <v>73776</v>
      </c>
    </row>
    <row ht="14.95">
      <c t="s">
        <v>170</v>
      </c>
      <c>
        <v>26500</v>
      </c>
      <c>
        <v>77195</v>
      </c>
    </row>
    <row ht="14.95">
      <c t="s">
        <v>96</v>
      </c>
      <c>
        <v>314</v>
      </c>
      <c>
        <v>4009</v>
      </c>
    </row>
    <row ht="14.95">
      <c t="s">
        <v>418</v>
      </c>
      <c>
        <v>314</v>
      </c>
      <c>
        <v>11074</v>
      </c>
    </row>
    <row ht="14.95">
      <c t="s">
        <v>171</v>
      </c>
      <c>
        <v>314</v>
      </c>
      <c>
        <v>15894</v>
      </c>
    </row>
    <row ht="14.95">
      <c t="s">
        <v>454</v>
      </c>
      <c>
        <v>314</v>
      </c>
      <c>
        <v>18516</v>
      </c>
    </row>
    <row ht="14.95">
      <c t="s">
        <v>20</v>
      </c>
      <c>
        <v>2650</v>
      </c>
      <c>
        <v>22662</v>
      </c>
    </row>
    <row ht="14.95">
      <c t="s">
        <v>346</v>
      </c>
      <c>
        <v>2650</v>
      </c>
      <c>
        <v>24826</v>
      </c>
    </row>
    <row ht="14.95">
      <c t="s">
        <v>97</v>
      </c>
      <c>
        <v>2650</v>
      </c>
      <c>
        <v>28208</v>
      </c>
    </row>
    <row ht="14.95">
      <c t="s">
        <v>419</v>
      </c>
      <c>
        <v>2650</v>
      </c>
      <c>
        <v>40832</v>
      </c>
    </row>
    <row ht="14.95">
      <c t="s">
        <v>172</v>
      </c>
      <c>
        <v>2650</v>
      </c>
      <c>
        <v>42735</v>
      </c>
    </row>
    <row ht="14.95">
      <c t="s">
        <v>455</v>
      </c>
      <c>
        <v>2650</v>
      </c>
      <c>
        <v>44686</v>
      </c>
    </row>
    <row ht="14.95">
      <c t="s">
        <v>199</v>
      </c>
      <c>
        <v>26500</v>
      </c>
      <c>
        <v>45894</v>
      </c>
    </row>
    <row ht="14.95">
      <c t="s">
        <v>523</v>
      </c>
      <c>
        <v>26500</v>
      </c>
      <c>
        <v>49116</v>
      </c>
    </row>
    <row ht="14.95">
      <c t="s">
        <v>270</v>
      </c>
      <c>
        <v>26500</v>
      </c>
      <c>
        <v>53186</v>
      </c>
    </row>
    <row ht="14.95">
      <c t="s">
        <v>565</v>
      </c>
      <c>
        <v>26500</v>
      </c>
      <c>
        <v>59726</v>
      </c>
    </row>
    <row ht="14.95">
      <c t="s">
        <v>129</v>
      </c>
      <c>
        <v>26500</v>
      </c>
      <c>
        <v>65248</v>
      </c>
    </row>
    <row ht="14.95">
      <c t="s">
        <v>456</v>
      </c>
      <c>
        <v>26500</v>
      </c>
      <c>
        <v>67738</v>
      </c>
    </row>
    <row ht="14.95">
      <c t="s">
        <v>200</v>
      </c>
      <c>
        <v>26500</v>
      </c>
      <c>
        <v>70310</v>
      </c>
    </row>
    <row ht="14.95">
      <c t="s">
        <v>524</v>
      </c>
      <c>
        <v>26500</v>
      </c>
      <c>
        <v>73561</v>
      </c>
    </row>
    <row ht="14.95">
      <c t="s">
        <v>271</v>
      </c>
      <c>
        <v>26500</v>
      </c>
      <c>
        <v>77010</v>
      </c>
    </row>
    <row ht="14.95">
      <c t="s">
        <v>201</v>
      </c>
      <c>
        <v>314</v>
      </c>
      <c>
        <v>13374</v>
      </c>
    </row>
    <row ht="14.95">
      <c t="s">
        <v>525</v>
      </c>
      <c>
        <v>314</v>
      </c>
      <c>
        <v>11534</v>
      </c>
    </row>
    <row ht="14.95">
      <c t="s">
        <v>272</v>
      </c>
      <c>
        <v>314</v>
      </c>
      <c>
        <v>16142</v>
      </c>
    </row>
    <row ht="14.95">
      <c t="s">
        <v>526</v>
      </c>
      <c>
        <v>314</v>
      </c>
      <c>
        <v>18626</v>
      </c>
    </row>
    <row ht="14.95">
      <c t="s">
        <v>98</v>
      </c>
      <c>
        <v>2650</v>
      </c>
      <c>
        <v>21619</v>
      </c>
    </row>
    <row ht="14.95">
      <c t="s">
        <v>420</v>
      </c>
      <c>
        <v>2650</v>
      </c>
      <c>
        <v>25197</v>
      </c>
    </row>
    <row ht="14.95">
      <c t="s">
        <v>173</v>
      </c>
      <c>
        <v>2650</v>
      </c>
      <c>
        <v>28486</v>
      </c>
    </row>
    <row ht="14.95">
      <c t="s">
        <v>495</v>
      </c>
      <c>
        <v>2650</v>
      </c>
      <c>
        <v>41271</v>
      </c>
    </row>
    <row ht="14.95">
      <c t="s">
        <v>237</v>
      </c>
      <c>
        <v>2650</v>
      </c>
      <c>
        <v>42842</v>
      </c>
    </row>
    <row ht="14.95">
      <c t="s">
        <v>566</v>
      </c>
      <c>
        <v>2650</v>
      </c>
      <c>
        <v>44979</v>
      </c>
    </row>
    <row ht="14.95">
      <c t="s">
        <v>314</v>
      </c>
      <c>
        <v>26500</v>
      </c>
      <c>
        <v>45983</v>
      </c>
    </row>
    <row ht="14.95">
      <c t="s">
        <v>58</v>
      </c>
      <c>
        <v>26500</v>
      </c>
      <c>
        <v>48646</v>
      </c>
    </row>
    <row ht="14.95">
      <c t="s">
        <v>382</v>
      </c>
      <c>
        <v>26500</v>
      </c>
      <c>
        <v>53437</v>
      </c>
    </row>
    <row ht="14.95">
      <c t="s">
        <v>59</v>
      </c>
      <c>
        <v>26500</v>
      </c>
      <c>
        <v>59661</v>
      </c>
    </row>
    <row ht="14.95">
      <c t="s">
        <v>202</v>
      </c>
      <c>
        <v>26500</v>
      </c>
      <c>
        <v>65361</v>
      </c>
    </row>
    <row ht="14.95">
      <c t="s">
        <v>527</v>
      </c>
      <c>
        <v>26500</v>
      </c>
      <c>
        <v>67712</v>
      </c>
    </row>
    <row ht="14.95">
      <c t="s">
        <v>273</v>
      </c>
      <c>
        <v>26500</v>
      </c>
      <c>
        <v>70798</v>
      </c>
    </row>
    <row ht="14.95">
      <c t="s">
        <v>21</v>
      </c>
      <c>
        <v>26500</v>
      </c>
      <c>
        <v>73964</v>
      </c>
    </row>
    <row ht="14.95">
      <c t="s">
        <v>347</v>
      </c>
      <c>
        <v>26500</v>
      </c>
      <c>
        <v>77377</v>
      </c>
    </row>
    <row ht="14.95">
      <c t="s">
        <v>274</v>
      </c>
      <c>
        <v>314</v>
      </c>
      <c>
        <v>4029</v>
      </c>
    </row>
    <row ht="14.95">
      <c t="s">
        <v>22</v>
      </c>
      <c>
        <v>314</v>
      </c>
      <c>
        <v>12645</v>
      </c>
    </row>
    <row ht="14.95">
      <c t="s">
        <v>348</v>
      </c>
      <c>
        <v>314</v>
      </c>
      <c>
        <v>15831</v>
      </c>
    </row>
    <row ht="14.95">
      <c t="s">
        <v>23</v>
      </c>
      <c>
        <v>314</v>
      </c>
      <c>
        <v>18482</v>
      </c>
    </row>
    <row ht="14.95">
      <c t="s">
        <v>174</v>
      </c>
      <c>
        <v>2650</v>
      </c>
      <c>
        <v>21733</v>
      </c>
    </row>
    <row ht="14.95">
      <c t="s">
        <v>496</v>
      </c>
      <c>
        <v>2650</v>
      </c>
      <c>
        <v>25019</v>
      </c>
    </row>
    <row ht="14.95">
      <c t="s">
        <v>238</v>
      </c>
      <c>
        <v>2650</v>
      </c>
      <c>
        <v>28419</v>
      </c>
    </row>
    <row ht="14.95">
      <c t="s">
        <v>567</v>
      </c>
      <c>
        <v>2650</v>
      </c>
      <c>
        <v>41250</v>
      </c>
    </row>
    <row ht="14.95">
      <c t="s">
        <v>315</v>
      </c>
      <c>
        <v>2650</v>
      </c>
      <c>
        <v>42363</v>
      </c>
    </row>
    <row ht="14.95">
      <c t="s">
        <v>60</v>
      </c>
      <c>
        <v>2650</v>
      </c>
      <c>
        <v>44668</v>
      </c>
    </row>
    <row ht="14.95">
      <c t="s">
        <v>383</v>
      </c>
      <c>
        <v>26500</v>
      </c>
      <c>
        <v>46230</v>
      </c>
    </row>
    <row ht="14.95">
      <c t="s">
        <v>130</v>
      </c>
      <c>
        <v>26500</v>
      </c>
      <c>
        <v>47707</v>
      </c>
    </row>
    <row ht="14.95">
      <c t="s">
        <v>457</v>
      </c>
      <c>
        <v>26500</v>
      </c>
      <c>
        <v>52708</v>
      </c>
    </row>
    <row ht="14.95">
      <c t="s">
        <v>131</v>
      </c>
      <c>
        <v>26500</v>
      </c>
      <c>
        <v>60246</v>
      </c>
    </row>
    <row ht="14.95">
      <c t="s">
        <v>275</v>
      </c>
      <c>
        <v>26500</v>
      </c>
      <c>
        <v>65598</v>
      </c>
    </row>
    <row ht="14.95">
      <c t="s">
        <v>24</v>
      </c>
      <c>
        <v>26500</v>
      </c>
      <c>
        <v>68210</v>
      </c>
    </row>
    <row ht="14.95">
      <c t="s">
        <v>349</v>
      </c>
      <c>
        <v>26500</v>
      </c>
      <c>
        <v>70678</v>
      </c>
    </row>
    <row ht="14.95">
      <c t="s">
        <v>99</v>
      </c>
      <c>
        <v>26500</v>
      </c>
      <c>
        <v>74297</v>
      </c>
    </row>
    <row ht="14.95">
      <c t="s">
        <v>421</v>
      </c>
      <c>
        <v>26500</v>
      </c>
      <c>
        <v>76803</v>
      </c>
    </row>
    <row ht="14.95">
      <c t="s">
        <v>350</v>
      </c>
      <c>
        <v>314</v>
      </c>
      <c>
        <v>13498</v>
      </c>
    </row>
    <row ht="14.95">
      <c t="s">
        <v>100</v>
      </c>
      <c>
        <v>314</v>
      </c>
      <c>
        <v>12764</v>
      </c>
    </row>
    <row ht="14.95">
      <c t="s">
        <v>422</v>
      </c>
      <c>
        <v>314</v>
      </c>
      <c>
        <v>16195</v>
      </c>
    </row>
    <row ht="14.95">
      <c t="s">
        <v>132</v>
      </c>
      <c>
        <v>314</v>
      </c>
      <c>
        <v>19851</v>
      </c>
    </row>
    <row ht="14.95">
      <c t="s">
        <v>276</v>
      </c>
      <c>
        <v>2650</v>
      </c>
      <c>
        <v>21568</v>
      </c>
    </row>
    <row ht="14.95">
      <c t="s">
        <v>25</v>
      </c>
      <c>
        <v>2650</v>
      </c>
      <c>
        <v>24881</v>
      </c>
    </row>
    <row ht="14.95">
      <c t="s">
        <v>351</v>
      </c>
      <c>
        <v>2650</v>
      </c>
      <c>
        <v>28315</v>
      </c>
    </row>
    <row ht="14.95">
      <c t="s">
        <v>101</v>
      </c>
      <c>
        <v>2650</v>
      </c>
      <c>
        <v>41504</v>
      </c>
    </row>
    <row ht="14.95">
      <c t="s">
        <v>423</v>
      </c>
      <c>
        <v>2650</v>
      </c>
      <c>
        <v>43317</v>
      </c>
    </row>
    <row ht="14.95">
      <c t="s">
        <v>133</v>
      </c>
      <c>
        <v>2650</v>
      </c>
      <c>
        <v>45241</v>
      </c>
    </row>
    <row ht="14.95">
      <c t="s">
        <v>458</v>
      </c>
      <c>
        <v>26500</v>
      </c>
      <c>
        <v>45558</v>
      </c>
    </row>
    <row ht="14.95">
      <c t="s">
        <v>203</v>
      </c>
      <c>
        <v>26500</v>
      </c>
      <c>
        <v>48195</v>
      </c>
    </row>
    <row ht="14.95">
      <c t="s">
        <v>528</v>
      </c>
      <c>
        <v>26500</v>
      </c>
      <c>
        <v>52178</v>
      </c>
    </row>
    <row ht="14.95">
      <c t="s">
        <v>239</v>
      </c>
      <c>
        <v>26500</v>
      </c>
      <c>
        <v>56951</v>
      </c>
    </row>
    <row ht="14.95">
      <c t="s">
        <v>384</v>
      </c>
      <c>
        <v>26500</v>
      </c>
      <c>
        <v>64962</v>
      </c>
    </row>
    <row ht="14.95">
      <c t="s">
        <v>134</v>
      </c>
      <c>
        <v>26500</v>
      </c>
      <c>
        <v>67657</v>
      </c>
    </row>
    <row ht="14.95">
      <c t="s">
        <v>459</v>
      </c>
      <c>
        <v>26500</v>
      </c>
      <c>
        <v>70343</v>
      </c>
    </row>
    <row ht="14.95">
      <c t="s">
        <v>204</v>
      </c>
      <c>
        <v>26500</v>
      </c>
      <c>
        <v>73260</v>
      </c>
    </row>
    <row ht="14.95">
      <c t="s">
        <v>529</v>
      </c>
      <c>
        <v>26500</v>
      </c>
      <c>
        <v>77075</v>
      </c>
    </row>
    <row ht="14.95">
      <c t="s">
        <v>460</v>
      </c>
      <c>
        <v>314</v>
      </c>
      <c>
        <v>3563</v>
      </c>
    </row>
    <row ht="14.95">
      <c t="s">
        <v>205</v>
      </c>
      <c>
        <v>314</v>
      </c>
      <c>
        <v>11493</v>
      </c>
    </row>
    <row ht="14.95">
      <c t="s">
        <v>530</v>
      </c>
      <c>
        <v>314</v>
      </c>
      <c>
        <v>16060</v>
      </c>
    </row>
    <row ht="14.95">
      <c t="s">
        <v>206</v>
      </c>
      <c>
        <v>314</v>
      </c>
      <c>
        <v>18570</v>
      </c>
    </row>
    <row ht="14.95">
      <c t="s">
        <v>352</v>
      </c>
      <c>
        <v>2650</v>
      </c>
      <c>
        <v>22028</v>
      </c>
    </row>
    <row ht="14.95">
      <c t="s">
        <v>102</v>
      </c>
      <c>
        <v>2650</v>
      </c>
      <c>
        <v>24949</v>
      </c>
    </row>
    <row ht="14.95">
      <c t="s">
        <v>424</v>
      </c>
      <c>
        <v>2650</v>
      </c>
      <c>
        <v>28301</v>
      </c>
    </row>
    <row ht="14.95">
      <c t="s">
        <v>175</v>
      </c>
      <c>
        <v>2650</v>
      </c>
      <c>
        <v>40927</v>
      </c>
    </row>
    <row ht="14.95">
      <c t="s">
        <v>497</v>
      </c>
      <c>
        <v>2650</v>
      </c>
      <c>
        <v>42426</v>
      </c>
    </row>
    <row ht="14.95">
      <c t="s">
        <v>240</v>
      </c>
      <c>
        <v>2650</v>
      </c>
      <c>
        <v>44935</v>
      </c>
    </row>
    <row ht="14.95">
      <c t="s">
        <v>568</v>
      </c>
      <c>
        <v>26500</v>
      </c>
      <c>
        <v>46005</v>
      </c>
    </row>
    <row ht="14.95">
      <c t="s">
        <v>316</v>
      </c>
      <c>
        <v>26500</v>
      </c>
      <c>
        <v>49273</v>
      </c>
    </row>
    <row ht="14.95">
      <c t="s">
        <v>61</v>
      </c>
      <c>
        <v>26500</v>
      </c>
      <c>
        <v>52365</v>
      </c>
    </row>
    <row ht="14.95">
      <c t="s">
        <v>317</v>
      </c>
      <c>
        <v>26500</v>
      </c>
      <c>
        <v>59529</v>
      </c>
    </row>
    <row ht="14.95">
      <c t="s">
        <v>461</v>
      </c>
      <c>
        <v>26500</v>
      </c>
      <c>
        <v>65227</v>
      </c>
    </row>
    <row ht="14.95">
      <c t="s">
        <v>207</v>
      </c>
      <c>
        <v>26500</v>
      </c>
      <c>
        <v>67689</v>
      </c>
    </row>
    <row ht="14.95">
      <c t="s">
        <v>531</v>
      </c>
      <c>
        <v>26500</v>
      </c>
      <c>
        <v>70929</v>
      </c>
    </row>
    <row ht="14.95">
      <c t="s">
        <v>277</v>
      </c>
      <c>
        <v>26500</v>
      </c>
      <c>
        <v>73795</v>
      </c>
    </row>
    <row ht="14.95">
      <c t="s">
        <v>26</v>
      </c>
      <c>
        <v>26500</v>
      </c>
      <c>
        <v>77141</v>
      </c>
    </row>
    <row ht="14.95">
      <c t="s">
        <v>425</v>
      </c>
      <c>
        <v>2650</v>
      </c>
      <c>
        <v>21466</v>
      </c>
    </row>
    <row ht="14.95">
      <c t="s">
        <v>176</v>
      </c>
      <c>
        <v>2650</v>
      </c>
      <c>
        <v>24814</v>
      </c>
    </row>
    <row ht="14.95">
      <c t="s">
        <v>498</v>
      </c>
      <c>
        <v>2650</v>
      </c>
      <c>
        <v>28170</v>
      </c>
    </row>
    <row ht="14.95">
      <c t="s">
        <v>241</v>
      </c>
      <c>
        <v>2650</v>
      </c>
      <c>
        <v>41219</v>
      </c>
    </row>
    <row ht="14.95">
      <c t="s">
        <v>569</v>
      </c>
      <c>
        <v>2650</v>
      </c>
      <c>
        <v>42333</v>
      </c>
    </row>
    <row ht="14.95">
      <c t="s">
        <v>318</v>
      </c>
      <c>
        <v>2650</v>
      </c>
      <c>
        <v>44824</v>
      </c>
    </row>
    <row ht="14.95">
      <c t="s">
        <v>62</v>
      </c>
      <c>
        <v>26500</v>
      </c>
      <c>
        <v>45675</v>
      </c>
    </row>
    <row ht="14.95">
      <c t="s">
        <v>385</v>
      </c>
      <c>
        <v>26500</v>
      </c>
      <c>
        <v>48967</v>
      </c>
    </row>
    <row ht="14.95">
      <c t="s">
        <v>135</v>
      </c>
      <c>
        <v>26500</v>
      </c>
      <c>
        <v>52206</v>
      </c>
    </row>
    <row ht="14.95">
      <c t="s">
        <v>386</v>
      </c>
      <c>
        <v>26500</v>
      </c>
      <c>
        <v>57125</v>
      </c>
    </row>
    <row ht="14.95">
      <c t="s">
        <v>532</v>
      </c>
      <c>
        <v>26500</v>
      </c>
      <c>
        <v>64986</v>
      </c>
    </row>
    <row ht="14.95">
      <c t="s">
        <v>278</v>
      </c>
      <c>
        <v>26500</v>
      </c>
      <c>
        <v>67550</v>
      </c>
    </row>
    <row ht="14.95">
      <c t="s">
        <v>27</v>
      </c>
      <c>
        <v>26500</v>
      </c>
      <c>
        <v>69975</v>
      </c>
    </row>
    <row ht="14.95">
      <c t="s">
        <v>353</v>
      </c>
      <c>
        <v>26500</v>
      </c>
      <c>
        <v>73386</v>
      </c>
    </row>
    <row ht="14.95">
      <c t="s">
        <v>103</v>
      </c>
      <c>
        <v>26500</v>
      </c>
      <c>
        <v>76835</v>
      </c>
    </row>
    <row ht="14.95">
      <c t="s">
        <v>28</v>
      </c>
      <c>
        <v>314</v>
      </c>
      <c>
        <v>6152</v>
      </c>
    </row>
    <row ht="14.95">
      <c t="s">
        <v>354</v>
      </c>
      <c>
        <v>314</v>
      </c>
      <c>
        <v>11665</v>
      </c>
    </row>
    <row ht="14.95">
      <c t="s">
        <v>104</v>
      </c>
      <c>
        <v>314</v>
      </c>
      <c>
        <v>16007</v>
      </c>
    </row>
    <row ht="14.95">
      <c t="s">
        <v>387</v>
      </c>
      <c>
        <v>314</v>
      </c>
      <c>
        <v>18706</v>
      </c>
    </row>
    <row ht="14.95">
      <c t="s">
        <v>533</v>
      </c>
      <c>
        <v>2650</v>
      </c>
      <c>
        <v>21904</v>
      </c>
    </row>
    <row ht="14.95">
      <c t="s">
        <v>279</v>
      </c>
      <c>
        <v>2650</v>
      </c>
      <c>
        <v>25200</v>
      </c>
    </row>
    <row ht="14.95">
      <c t="s">
        <v>29</v>
      </c>
      <c>
        <v>2650</v>
      </c>
      <c>
        <v>28575</v>
      </c>
    </row>
    <row ht="14.95">
      <c t="s">
        <v>355</v>
      </c>
      <c>
        <v>2650</v>
      </c>
      <c>
        <v>41221</v>
      </c>
    </row>
    <row ht="14.95">
      <c t="s">
        <v>105</v>
      </c>
      <c>
        <v>2650</v>
      </c>
      <c>
        <v>43417</v>
      </c>
    </row>
    <row ht="14.95">
      <c t="s">
        <v>426</v>
      </c>
      <c>
        <v>2650</v>
      </c>
      <c>
        <v>45049</v>
      </c>
    </row>
    <row ht="14.95">
      <c t="s">
        <v>136</v>
      </c>
      <c>
        <v>26500</v>
      </c>
      <c>
        <v>46110</v>
      </c>
    </row>
    <row ht="14.95">
      <c t="s">
        <v>462</v>
      </c>
      <c>
        <v>26500</v>
      </c>
      <c>
        <v>49725</v>
      </c>
    </row>
    <row ht="14.95">
      <c t="s">
        <v>208</v>
      </c>
      <c>
        <v>26500</v>
      </c>
      <c>
        <v>53625</v>
      </c>
    </row>
    <row ht="14.95">
      <c t="s">
        <v>499</v>
      </c>
      <c>
        <v>26500</v>
      </c>
      <c>
        <v>60085</v>
      </c>
    </row>
    <row ht="14.95">
      <c t="s">
        <v>63</v>
      </c>
      <c>
        <v>26500</v>
      </c>
      <c>
        <v>65485</v>
      </c>
    </row>
    <row ht="14.95">
      <c t="s">
        <v>388</v>
      </c>
      <c>
        <v>26500</v>
      </c>
      <c>
        <v>68113</v>
      </c>
    </row>
    <row ht="14.95">
      <c t="s">
        <v>137</v>
      </c>
      <c>
        <v>26500</v>
      </c>
      <c>
        <v>70781</v>
      </c>
    </row>
    <row ht="14.95">
      <c t="s">
        <v>463</v>
      </c>
      <c>
        <v>26500</v>
      </c>
      <c>
        <v>73709</v>
      </c>
    </row>
    <row ht="14.95">
      <c t="s">
        <v>209</v>
      </c>
      <c>
        <v>26500</v>
      </c>
      <c>
        <v>77114</v>
      </c>
    </row>
    <row ht="14.95">
      <c t="s">
        <v>138</v>
      </c>
      <c>
        <v>314</v>
      </c>
      <c>
        <v>6332</v>
      </c>
    </row>
    <row ht="14.95">
      <c t="s">
        <v>464</v>
      </c>
      <c>
        <v>314</v>
      </c>
      <c>
        <v>11462</v>
      </c>
    </row>
    <row ht="14.95">
      <c t="s">
        <v>210</v>
      </c>
      <c>
        <v>314</v>
      </c>
      <c>
        <v>16685</v>
      </c>
    </row>
    <row ht="14.95">
      <c t="s">
        <v>465</v>
      </c>
      <c>
        <v>314</v>
      </c>
      <c>
        <v>18787</v>
      </c>
    </row>
    <row ht="14.95">
      <c t="s">
        <v>356</v>
      </c>
      <c>
        <v>2650</v>
      </c>
      <c>
        <v>25138</v>
      </c>
    </row>
    <row ht="14.95">
      <c t="s">
        <v>106</v>
      </c>
      <c>
        <v>2650</v>
      </c>
      <c>
        <v>28267</v>
      </c>
    </row>
    <row ht="14.95">
      <c t="s">
        <v>427</v>
      </c>
      <c>
        <v>2650</v>
      </c>
      <c>
        <v>40838</v>
      </c>
    </row>
    <row ht="14.95">
      <c t="s">
        <v>177</v>
      </c>
      <c>
        <v>2650</v>
      </c>
      <c>
        <v>42569</v>
      </c>
    </row>
    <row ht="14.95">
      <c t="s">
        <v>500</v>
      </c>
      <c>
        <v>2650</v>
      </c>
      <c>
        <v>44257</v>
      </c>
    </row>
    <row ht="14.95">
      <c t="s">
        <v>242</v>
      </c>
      <c>
        <v>26500</v>
      </c>
      <c>
        <v>45830</v>
      </c>
    </row>
    <row ht="14.95">
      <c t="s">
        <v>570</v>
      </c>
      <c>
        <v>26500</v>
      </c>
      <c>
        <v>49289</v>
      </c>
    </row>
    <row ht="14.95">
      <c t="s">
        <v>319</v>
      </c>
      <c>
        <v>26500</v>
      </c>
      <c>
        <v>52893</v>
      </c>
    </row>
    <row ht="14.95">
      <c t="s">
        <v>571</v>
      </c>
      <c>
        <v>26500</v>
      </c>
      <c>
        <v>59134</v>
      </c>
    </row>
    <row ht="14.95">
      <c t="s">
        <v>139</v>
      </c>
      <c>
        <v>26500</v>
      </c>
      <c>
        <v>65111</v>
      </c>
    </row>
    <row ht="14.95">
      <c t="s">
        <v>466</v>
      </c>
      <c>
        <v>26500</v>
      </c>
      <c>
        <v>67603</v>
      </c>
    </row>
    <row ht="14.95">
      <c t="s">
        <v>211</v>
      </c>
      <c>
        <v>26500</v>
      </c>
      <c>
        <v>70720</v>
      </c>
    </row>
    <row ht="14.95">
      <c t="s">
        <v>534</v>
      </c>
      <c>
        <v>26500</v>
      </c>
      <c>
        <v>73685</v>
      </c>
    </row>
    <row ht="14.95">
      <c t="s">
        <v>280</v>
      </c>
      <c>
        <v>26500</v>
      </c>
      <c>
        <v>76997</v>
      </c>
    </row>
    <row ht="14.95">
      <c t="s">
        <v>212</v>
      </c>
      <c>
        <v>314</v>
      </c>
      <c>
        <v>4497</v>
      </c>
    </row>
    <row ht="14.95">
      <c t="s">
        <v>535</v>
      </c>
      <c>
        <v>314</v>
      </c>
      <c>
        <v>13730</v>
      </c>
    </row>
    <row ht="14.95">
      <c t="s">
        <v>281</v>
      </c>
      <c>
        <v>314</v>
      </c>
      <c>
        <v>16082</v>
      </c>
    </row>
    <row ht="14.95">
      <c t="s">
        <v>536</v>
      </c>
      <c>
        <v>314</v>
      </c>
      <c>
        <v>19198</v>
      </c>
    </row>
    <row ht="14.95">
      <c t="s">
        <v>107</v>
      </c>
      <c>
        <v>2650</v>
      </c>
      <c>
        <v>21935</v>
      </c>
    </row>
    <row ht="14.95">
      <c t="s">
        <v>428</v>
      </c>
      <c>
        <v>2650</v>
      </c>
      <c>
        <v>25450</v>
      </c>
    </row>
    <row ht="14.95">
      <c t="s">
        <v>178</v>
      </c>
      <c>
        <v>2650</v>
      </c>
      <c>
        <v>28836</v>
      </c>
    </row>
    <row ht="14.95">
      <c t="s">
        <v>501</v>
      </c>
      <c>
        <v>2650</v>
      </c>
      <c>
        <v>41372</v>
      </c>
    </row>
    <row ht="14.95">
      <c t="s">
        <v>243</v>
      </c>
      <c>
        <v>2650</v>
      </c>
      <c>
        <v>43398</v>
      </c>
    </row>
    <row ht="14.95">
      <c t="s">
        <v>572</v>
      </c>
      <c>
        <v>2650</v>
      </c>
      <c>
        <v>44806</v>
      </c>
    </row>
    <row ht="14.95">
      <c t="s">
        <v>320</v>
      </c>
      <c>
        <v>26500</v>
      </c>
      <c>
        <v>45697</v>
      </c>
    </row>
    <row ht="14.95">
      <c t="s">
        <v>64</v>
      </c>
      <c>
        <v>26500</v>
      </c>
      <c>
        <v>48257</v>
      </c>
    </row>
    <row ht="14.95">
      <c t="s">
        <v>389</v>
      </c>
      <c>
        <v>26500</v>
      </c>
      <c>
        <v>53187</v>
      </c>
    </row>
    <row ht="14.95">
      <c t="s">
        <v>65</v>
      </c>
      <c>
        <v>26500</v>
      </c>
      <c>
        <v>58125</v>
      </c>
    </row>
    <row ht="14.95">
      <c t="s">
        <v>213</v>
      </c>
      <c>
        <v>26500</v>
      </c>
      <c>
        <v>65147</v>
      </c>
    </row>
    <row ht="14.95">
      <c t="s">
        <v>537</v>
      </c>
      <c>
        <v>26500</v>
      </c>
      <c>
        <v>67757</v>
      </c>
    </row>
    <row ht="14.95">
      <c t="s">
        <v>282</v>
      </c>
      <c>
        <v>26500</v>
      </c>
      <c>
        <v>70159</v>
      </c>
    </row>
    <row ht="14.95">
      <c t="s">
        <v>30</v>
      </c>
      <c>
        <v>26500</v>
      </c>
      <c>
        <v>73185</v>
      </c>
    </row>
    <row ht="14.95">
      <c t="s">
        <v>357</v>
      </c>
      <c>
        <v>26500</v>
      </c>
      <c>
        <v>76759</v>
      </c>
    </row>
    <row ht="14.95">
      <c t="s">
        <v>283</v>
      </c>
      <c>
        <v>314</v>
      </c>
      <c>
        <v>4372</v>
      </c>
    </row>
    <row ht="14.95">
      <c t="s">
        <v>31</v>
      </c>
      <c>
        <v>314</v>
      </c>
      <c>
        <v>13194</v>
      </c>
    </row>
    <row ht="14.95">
      <c t="s">
        <v>358</v>
      </c>
      <c>
        <v>314</v>
      </c>
      <c>
        <v>17483</v>
      </c>
    </row>
    <row ht="14.95">
      <c t="s">
        <v>66</v>
      </c>
      <c>
        <v>314</v>
      </c>
      <c>
        <v>18965</v>
      </c>
    </row>
    <row ht="14.95">
      <c t="s">
        <v>214</v>
      </c>
      <c>
        <v>2650</v>
      </c>
      <c>
        <v>21666</v>
      </c>
    </row>
    <row ht="14.95">
      <c t="s">
        <v>538</v>
      </c>
      <c>
        <v>2650</v>
      </c>
      <c>
        <v>25038</v>
      </c>
    </row>
    <row ht="14.95">
      <c t="s">
        <v>284</v>
      </c>
      <c>
        <v>2650</v>
      </c>
      <c>
        <v>28495</v>
      </c>
    </row>
    <row ht="14.95">
      <c t="s">
        <v>32</v>
      </c>
      <c>
        <v>2650</v>
      </c>
      <c>
        <v>40952</v>
      </c>
    </row>
    <row ht="14.95">
      <c t="s">
        <v>359</v>
      </c>
      <c>
        <v>2650</v>
      </c>
      <c>
        <v>42861</v>
      </c>
    </row>
    <row ht="14.95">
      <c t="s">
        <v>108</v>
      </c>
      <c>
        <v>2650</v>
      </c>
      <c>
        <v>45024</v>
      </c>
    </row>
    <row ht="14.95">
      <c t="s">
        <v>390</v>
      </c>
      <c>
        <v>26500</v>
      </c>
      <c>
        <v>46065</v>
      </c>
    </row>
    <row ht="14.95">
      <c t="s">
        <v>140</v>
      </c>
      <c>
        <v>26500</v>
      </c>
      <c>
        <v>49107</v>
      </c>
    </row>
    <row ht="14.95">
      <c t="s">
        <v>467</v>
      </c>
      <c>
        <v>26500</v>
      </c>
      <c>
        <v>53452</v>
      </c>
    </row>
    <row ht="14.95">
      <c t="s">
        <v>179</v>
      </c>
      <c>
        <v>26500</v>
      </c>
      <c>
        <v>59969</v>
      </c>
    </row>
    <row ht="14.95">
      <c t="s">
        <v>321</v>
      </c>
      <c>
        <v>26500</v>
      </c>
      <c>
        <v>65607</v>
      </c>
    </row>
    <row ht="14.95">
      <c t="s">
        <v>67</v>
      </c>
      <c>
        <v>26500</v>
      </c>
      <c>
        <v>67790</v>
      </c>
    </row>
    <row ht="14.95">
      <c t="s">
        <v>391</v>
      </c>
      <c>
        <v>26500</v>
      </c>
      <c>
        <v>70285</v>
      </c>
    </row>
    <row ht="14.95">
      <c t="s">
        <v>141</v>
      </c>
      <c>
        <v>26500</v>
      </c>
      <c>
        <v>74018</v>
      </c>
    </row>
    <row ht="14.95">
      <c t="s">
        <v>468</v>
      </c>
      <c>
        <v>26500</v>
      </c>
      <c>
        <v>77398</v>
      </c>
    </row>
    <row ht="14.95">
      <c t="s">
        <v>469</v>
      </c>
      <c>
        <v>314</v>
      </c>
      <c>
        <v>3022</v>
      </c>
    </row>
    <row ht="14.95">
      <c t="s">
        <v>215</v>
      </c>
      <c>
        <v>314</v>
      </c>
      <c>
        <v>12385</v>
      </c>
    </row>
    <row ht="14.95">
      <c t="s">
        <v>539</v>
      </c>
      <c>
        <v>314</v>
      </c>
      <c>
        <v>16390</v>
      </c>
    </row>
    <row ht="14.95">
      <c t="s">
        <v>216</v>
      </c>
      <c>
        <v>314</v>
      </c>
      <c>
        <v>19345</v>
      </c>
    </row>
    <row ht="14.95">
      <c t="s">
        <v>360</v>
      </c>
      <c>
        <v>2650</v>
      </c>
      <c>
        <v>23103</v>
      </c>
    </row>
    <row ht="14.95">
      <c t="s">
        <v>109</v>
      </c>
      <c>
        <v>2650</v>
      </c>
      <c>
        <v>25052</v>
      </c>
    </row>
    <row ht="14.95">
      <c t="s">
        <v>429</v>
      </c>
      <c>
        <v>2650</v>
      </c>
      <c>
        <v>30029</v>
      </c>
    </row>
    <row ht="14.95">
      <c t="s">
        <v>180</v>
      </c>
      <c>
        <v>2650</v>
      </c>
      <c>
        <v>40802</v>
      </c>
    </row>
    <row ht="14.95">
      <c t="s">
        <v>502</v>
      </c>
      <c>
        <v>2650</v>
      </c>
      <c>
        <v>43623</v>
      </c>
    </row>
    <row ht="14.95">
      <c t="s">
        <v>244</v>
      </c>
      <c>
        <v>2650</v>
      </c>
      <c>
        <v>45081</v>
      </c>
    </row>
    <row ht="14.95">
      <c t="s">
        <v>573</v>
      </c>
      <c>
        <v>26500</v>
      </c>
      <c>
        <v>46276</v>
      </c>
    </row>
    <row ht="14.95">
      <c t="s">
        <v>322</v>
      </c>
      <c>
        <v>26500</v>
      </c>
      <c>
        <v>49980</v>
      </c>
    </row>
    <row ht="14.95">
      <c t="s">
        <v>68</v>
      </c>
      <c>
        <v>26500</v>
      </c>
      <c>
        <v>53674</v>
      </c>
    </row>
    <row ht="14.95">
      <c t="s">
        <v>323</v>
      </c>
      <c>
        <v>26500</v>
      </c>
      <c>
        <v>59495</v>
      </c>
    </row>
    <row ht="14.95">
      <c t="s">
        <v>470</v>
      </c>
      <c>
        <v>26500</v>
      </c>
      <c>
        <v>65682</v>
      </c>
    </row>
    <row ht="14.95">
      <c t="s">
        <v>217</v>
      </c>
      <c>
        <v>26500</v>
      </c>
      <c>
        <v>67847</v>
      </c>
    </row>
    <row ht="14.95">
      <c t="s">
        <v>540</v>
      </c>
      <c>
        <v>26500</v>
      </c>
      <c>
        <v>70631</v>
      </c>
    </row>
    <row ht="14.95">
      <c t="s">
        <v>285</v>
      </c>
      <c>
        <v>26500</v>
      </c>
      <c>
        <v>74020</v>
      </c>
    </row>
    <row ht="14.95">
      <c t="s">
        <v>33</v>
      </c>
      <c>
        <v>26500</v>
      </c>
      <c>
        <v>77322</v>
      </c>
    </row>
    <row ht="14.95">
      <c t="s">
        <v>541</v>
      </c>
      <c>
        <v>314</v>
      </c>
      <c>
        <v>4935</v>
      </c>
    </row>
    <row ht="14.95">
      <c t="s">
        <v>286</v>
      </c>
      <c>
        <v>314</v>
      </c>
      <c>
        <v>15476</v>
      </c>
    </row>
    <row ht="14.95">
      <c t="s">
        <v>34</v>
      </c>
      <c>
        <v>314</v>
      </c>
      <c>
        <v>15885</v>
      </c>
    </row>
    <row ht="14.95">
      <c t="s">
        <v>324</v>
      </c>
      <c>
        <v>314</v>
      </c>
      <c>
        <v>18411</v>
      </c>
    </row>
    <row ht="14.95">
      <c t="s">
        <v>471</v>
      </c>
      <c>
        <v>2650</v>
      </c>
      <c>
        <v>21844</v>
      </c>
    </row>
    <row ht="14.95">
      <c t="s">
        <v>218</v>
      </c>
      <c>
        <v>2650</v>
      </c>
      <c>
        <v>25245</v>
      </c>
    </row>
    <row ht="14.95">
      <c t="s">
        <v>542</v>
      </c>
      <c>
        <v>2650</v>
      </c>
      <c>
        <v>28639</v>
      </c>
    </row>
    <row ht="14.95">
      <c t="s">
        <v>287</v>
      </c>
      <c>
        <v>2650</v>
      </c>
      <c>
        <v>40704</v>
      </c>
    </row>
    <row ht="14.95">
      <c t="s">
        <v>35</v>
      </c>
      <c>
        <v>2650</v>
      </c>
      <c>
        <v>42387</v>
      </c>
    </row>
    <row ht="14.95">
      <c t="s">
        <v>361</v>
      </c>
      <c>
        <v>2650</v>
      </c>
      <c>
        <v>44703</v>
      </c>
    </row>
    <row ht="14.95">
      <c t="s">
        <v>69</v>
      </c>
      <c>
        <v>26500</v>
      </c>
      <c>
        <v>45806</v>
      </c>
    </row>
    <row ht="14.95">
      <c t="s">
        <v>392</v>
      </c>
      <c>
        <v>26500</v>
      </c>
      <c>
        <v>50712</v>
      </c>
    </row>
    <row ht="14.95">
      <c t="s">
        <v>142</v>
      </c>
      <c>
        <v>26500</v>
      </c>
      <c>
        <v>52659</v>
      </c>
    </row>
    <row ht="14.95">
      <c t="s">
        <v>430</v>
      </c>
      <c>
        <v>26500</v>
      </c>
      <c>
        <v>59177</v>
      </c>
    </row>
    <row ht="14.95">
      <c t="s">
        <v>574</v>
      </c>
      <c>
        <v>26500</v>
      </c>
      <c>
        <v>65535</v>
      </c>
    </row>
    <row ht="14.95">
      <c t="s">
        <v>325</v>
      </c>
      <c>
        <v>26500</v>
      </c>
      <c>
        <v>67621</v>
      </c>
    </row>
    <row ht="14.95">
      <c t="s">
        <v>70</v>
      </c>
      <c>
        <v>26500</v>
      </c>
      <c>
        <v>70499</v>
      </c>
    </row>
    <row ht="14.95">
      <c t="s">
        <v>393</v>
      </c>
      <c>
        <v>26500</v>
      </c>
      <c>
        <v>73445</v>
      </c>
    </row>
    <row ht="14.95">
      <c t="s">
        <v>143</v>
      </c>
      <c>
        <v>26500</v>
      </c>
      <c>
        <v>76862</v>
      </c>
    </row>
    <row ht="14.95">
      <c t="s">
        <v>71</v>
      </c>
      <c>
        <v>314</v>
      </c>
      <c>
        <v>6925</v>
      </c>
    </row>
    <row ht="14.95">
      <c t="s">
        <v>394</v>
      </c>
      <c>
        <v>314</v>
      </c>
      <c>
        <v>11731</v>
      </c>
    </row>
    <row ht="14.95">
      <c t="s">
        <v>144</v>
      </c>
      <c>
        <v>314</v>
      </c>
      <c>
        <v>16363</v>
      </c>
    </row>
    <row ht="14.95">
      <c t="s">
        <v>395</v>
      </c>
      <c>
        <v>314</v>
      </c>
      <c>
        <v>18776</v>
      </c>
    </row>
    <row ht="14.95">
      <c t="s">
        <v>543</v>
      </c>
      <c>
        <v>2650</v>
      </c>
      <c>
        <v>22916</v>
      </c>
    </row>
    <row ht="14.95">
      <c t="s">
        <v>288</v>
      </c>
      <c>
        <v>2650</v>
      </c>
      <c>
        <v>25220</v>
      </c>
    </row>
    <row ht="14.95">
      <c t="s">
        <v>36</v>
      </c>
      <c>
        <v>2650</v>
      </c>
      <c>
        <v>28502</v>
      </c>
    </row>
    <row ht="14.95">
      <c t="s">
        <v>362</v>
      </c>
      <c>
        <v>2650</v>
      </c>
      <c>
        <v>41136</v>
      </c>
    </row>
    <row ht="14.95">
      <c t="s">
        <v>110</v>
      </c>
      <c>
        <v>2650</v>
      </c>
      <c>
        <v>42898</v>
      </c>
    </row>
    <row ht="14.95">
      <c t="s">
        <v>431</v>
      </c>
      <c>
        <v>2650</v>
      </c>
      <c>
        <v>44771</v>
      </c>
    </row>
    <row ht="14.95">
      <c t="s">
        <v>181</v>
      </c>
      <c>
        <v>26500</v>
      </c>
      <c>
        <v>46067</v>
      </c>
    </row>
    <row ht="14.95">
      <c t="s">
        <v>503</v>
      </c>
      <c>
        <v>26500</v>
      </c>
      <c>
        <v>49866</v>
      </c>
    </row>
    <row ht="14.95">
      <c t="s">
        <v>245</v>
      </c>
      <c>
        <v>26500</v>
      </c>
      <c>
        <v>53013</v>
      </c>
    </row>
    <row ht="14.95">
      <c t="s">
        <v>504</v>
      </c>
      <c>
        <v>26500</v>
      </c>
      <c>
        <v>59247</v>
      </c>
    </row>
    <row ht="14.95">
      <c t="s">
        <v>72</v>
      </c>
      <c>
        <v>26500</v>
      </c>
      <c>
        <v>65351</v>
      </c>
    </row>
    <row ht="14.95">
      <c t="s">
        <v>396</v>
      </c>
      <c>
        <v>26500</v>
      </c>
      <c>
        <v>68077</v>
      </c>
    </row>
    <row ht="14.95">
      <c t="s">
        <v>145</v>
      </c>
      <c>
        <v>26500</v>
      </c>
      <c>
        <v>70430</v>
      </c>
    </row>
    <row ht="14.95">
      <c t="s">
        <v>472</v>
      </c>
      <c>
        <v>26500</v>
      </c>
      <c>
        <v>74102</v>
      </c>
    </row>
    <row ht="14.95">
      <c t="s">
        <v>219</v>
      </c>
      <c>
        <v>26500</v>
      </c>
      <c>
        <v>77460</v>
      </c>
    </row>
    <row ht="14.95">
      <c t="s">
        <v>146</v>
      </c>
      <c>
        <v>314</v>
      </c>
      <c>
        <v>4472</v>
      </c>
    </row>
    <row ht="14.95">
      <c t="s">
        <v>473</v>
      </c>
      <c>
        <v>314</v>
      </c>
      <c>
        <v>14321</v>
      </c>
    </row>
    <row ht="14.95">
      <c t="s">
        <v>220</v>
      </c>
      <c>
        <v>314</v>
      </c>
      <c>
        <v>16234</v>
      </c>
    </row>
    <row ht="14.95">
      <c t="s">
        <v>474</v>
      </c>
      <c>
        <v>314</v>
      </c>
      <c>
        <v>18986</v>
      </c>
    </row>
    <row ht="14.95">
      <c t="s">
        <v>37</v>
      </c>
      <c>
        <v>2650</v>
      </c>
      <c>
        <v>21949</v>
      </c>
    </row>
    <row ht="14.95">
      <c t="s">
        <v>363</v>
      </c>
      <c>
        <v>2650</v>
      </c>
      <c>
        <v>25005</v>
      </c>
    </row>
    <row ht="14.95">
      <c t="s">
        <v>111</v>
      </c>
      <c>
        <v>2650</v>
      </c>
      <c>
        <v>28601</v>
      </c>
    </row>
    <row ht="14.95">
      <c t="s">
        <v>432</v>
      </c>
      <c>
        <v>2650</v>
      </c>
      <c>
        <v>41745</v>
      </c>
    </row>
    <row ht="14.95">
      <c t="s">
        <v>182</v>
      </c>
      <c>
        <v>2650</v>
      </c>
      <c>
        <v>43016</v>
      </c>
    </row>
    <row ht="14.95">
      <c t="s">
        <v>505</v>
      </c>
      <c>
        <v>2650</v>
      </c>
      <c>
        <v>45164</v>
      </c>
    </row>
    <row ht="14.95">
      <c t="s">
        <v>246</v>
      </c>
      <c>
        <v>26500</v>
      </c>
      <c>
        <v>46204</v>
      </c>
    </row>
    <row ht="14.95">
      <c t="s">
        <v>575</v>
      </c>
      <c>
        <v>26500</v>
      </c>
      <c>
        <v>50253</v>
      </c>
    </row>
    <row ht="14.95">
      <c t="s">
        <v>326</v>
      </c>
      <c>
        <v>26500</v>
      </c>
      <c>
        <v>53026</v>
      </c>
    </row>
    <row ht="14.95">
      <c t="s">
        <v>576</v>
      </c>
      <c>
        <v>26500</v>
      </c>
      <c>
        <v>59333</v>
      </c>
    </row>
    <row ht="14.95">
      <c t="s">
        <v>147</v>
      </c>
      <c>
        <v>26500</v>
      </c>
      <c>
        <v>65505</v>
      </c>
    </row>
    <row ht="14.95">
      <c t="s">
        <v>475</v>
      </c>
      <c>
        <v>26500</v>
      </c>
      <c>
        <v>68161</v>
      </c>
    </row>
    <row ht="14.95">
      <c t="s">
        <v>221</v>
      </c>
      <c>
        <v>26500</v>
      </c>
      <c>
        <v>70897</v>
      </c>
    </row>
    <row ht="14.95">
      <c t="s">
        <v>544</v>
      </c>
      <c>
        <v>26500</v>
      </c>
      <c>
        <v>74075</v>
      </c>
    </row>
    <row ht="14.95">
      <c t="s">
        <v>289</v>
      </c>
      <c>
        <v>26500</v>
      </c>
      <c>
        <v>77549</v>
      </c>
    </row>
    <row ht="14.95">
      <c t="s">
        <v>247</v>
      </c>
      <c>
        <v>314</v>
      </c>
      <c>
        <v>4443</v>
      </c>
    </row>
    <row ht="14.95">
      <c t="s">
        <v>545</v>
      </c>
      <c>
        <v>314</v>
      </c>
      <c>
        <v>11617</v>
      </c>
    </row>
    <row ht="14.95">
      <c t="s">
        <v>290</v>
      </c>
      <c>
        <v>314</v>
      </c>
      <c>
        <v>16283</v>
      </c>
    </row>
    <row ht="14.95">
      <c t="s">
        <v>577</v>
      </c>
      <c>
        <v>314</v>
      </c>
      <c>
        <v>18666</v>
      </c>
    </row>
    <row ht="14.95">
      <c t="s">
        <v>148</v>
      </c>
      <c>
        <v>2650</v>
      </c>
      <c>
        <v>21393</v>
      </c>
    </row>
    <row ht="14.95">
      <c t="s">
        <v>476</v>
      </c>
      <c>
        <v>2650</v>
      </c>
      <c>
        <v>24774</v>
      </c>
    </row>
    <row ht="14.95">
      <c t="s">
        <v>222</v>
      </c>
      <c>
        <v>2650</v>
      </c>
      <c>
        <v>28059</v>
      </c>
    </row>
    <row ht="14.95">
      <c t="s">
        <v>546</v>
      </c>
      <c>
        <v>2650</v>
      </c>
      <c>
        <v>41301</v>
      </c>
    </row>
    <row ht="14.95">
      <c t="s">
        <v>291</v>
      </c>
      <c>
        <v>2650</v>
      </c>
      <c>
        <v>43192</v>
      </c>
    </row>
    <row ht="14.95">
      <c t="s">
        <v>38</v>
      </c>
      <c>
        <v>2650</v>
      </c>
      <c>
        <v>44819</v>
      </c>
    </row>
    <row ht="14.95">
      <c t="s">
        <v>327</v>
      </c>
      <c>
        <v>26500</v>
      </c>
      <c>
        <v>45773</v>
      </c>
    </row>
    <row ht="14.95">
      <c t="s">
        <v>73</v>
      </c>
      <c>
        <v>26500</v>
      </c>
      <c>
        <v>48446</v>
      </c>
    </row>
    <row ht="14.95">
      <c t="s">
        <v>397</v>
      </c>
      <c>
        <v>26500</v>
      </c>
      <c>
        <v>52351</v>
      </c>
    </row>
    <row ht="14.95">
      <c t="s">
        <v>112</v>
      </c>
      <c>
        <v>26500</v>
      </c>
      <c>
        <v>59684</v>
      </c>
    </row>
    <row ht="14.95">
      <c t="s">
        <v>248</v>
      </c>
      <c>
        <v>26500</v>
      </c>
      <c>
        <v>65037</v>
      </c>
    </row>
    <row ht="14.95">
      <c t="s">
        <v>578</v>
      </c>
      <c>
        <v>26500</v>
      </c>
      <c>
        <v>67875</v>
      </c>
    </row>
    <row ht="14.95">
      <c t="s">
        <v>328</v>
      </c>
      <c>
        <v>26500</v>
      </c>
      <c>
        <v>70585</v>
      </c>
    </row>
    <row ht="14.95">
      <c t="s">
        <v>74</v>
      </c>
      <c>
        <v>26500</v>
      </c>
      <c>
        <v>73634</v>
      </c>
    </row>
    <row ht="14.95">
      <c t="s">
        <v>398</v>
      </c>
      <c>
        <v>26500</v>
      </c>
      <c>
        <v>77043</v>
      </c>
    </row>
    <row ht="14.95">
      <c t="s">
        <v>329</v>
      </c>
      <c>
        <v>314</v>
      </c>
      <c>
        <v>3578</v>
      </c>
    </row>
    <row ht="14.95">
      <c t="s">
        <v>75</v>
      </c>
      <c>
        <v>314</v>
      </c>
      <c>
        <v>11082</v>
      </c>
    </row>
    <row ht="14.95">
      <c t="s">
        <v>399</v>
      </c>
      <c>
        <v>314</v>
      </c>
      <c>
        <v>15978</v>
      </c>
    </row>
    <row ht="14.95">
      <c t="s">
        <v>76</v>
      </c>
      <c>
        <v>314</v>
      </c>
      <c>
        <v>18539</v>
      </c>
    </row>
    <row ht="14.95">
      <c t="s">
        <v>223</v>
      </c>
      <c>
        <v>2650</v>
      </c>
      <c>
        <v>22456</v>
      </c>
    </row>
    <row ht="14.95">
      <c t="s">
        <v>547</v>
      </c>
      <c>
        <v>2650</v>
      </c>
      <c>
        <v>24510</v>
      </c>
    </row>
    <row ht="14.95">
      <c t="s">
        <v>292</v>
      </c>
      <c>
        <v>2650</v>
      </c>
      <c>
        <v>28311</v>
      </c>
    </row>
    <row ht="14.95">
      <c t="s">
        <v>39</v>
      </c>
      <c>
        <v>2650</v>
      </c>
      <c>
        <v>40670</v>
      </c>
    </row>
    <row ht="14.95">
      <c t="s">
        <v>364</v>
      </c>
      <c>
        <v>2650</v>
      </c>
      <c>
        <v>42300</v>
      </c>
    </row>
    <row ht="14.95">
      <c t="s">
        <v>113</v>
      </c>
      <c>
        <v>2650</v>
      </c>
      <c>
        <v>44701</v>
      </c>
    </row>
    <row ht="14.95">
      <c t="s">
        <v>433</v>
      </c>
      <c>
        <v>26500</v>
      </c>
      <c>
        <v>45749</v>
      </c>
    </row>
    <row ht="14.95">
      <c t="s">
        <v>183</v>
      </c>
      <c>
        <v>26500</v>
      </c>
      <c>
        <v>47779</v>
      </c>
    </row>
    <row ht="14.95">
      <c t="s">
        <v>506</v>
      </c>
      <c>
        <v>26500</v>
      </c>
      <c>
        <v>52530</v>
      </c>
    </row>
    <row ht="14.95">
      <c t="s">
        <v>184</v>
      </c>
      <c>
        <v>26500</v>
      </c>
      <c>
        <v>59892</v>
      </c>
    </row>
    <row ht="14.95">
      <c t="s">
        <v>330</v>
      </c>
      <c>
        <v>26500</v>
      </c>
      <c>
        <v>65581</v>
      </c>
    </row>
    <row ht="14.95">
      <c t="s">
        <v>77</v>
      </c>
      <c>
        <v>26500</v>
      </c>
      <c>
        <v>68067</v>
      </c>
    </row>
    <row ht="14.95">
      <c t="s">
        <v>400</v>
      </c>
      <c>
        <v>26500</v>
      </c>
      <c>
        <v>70867</v>
      </c>
    </row>
    <row ht="14.95">
      <c t="s">
        <v>149</v>
      </c>
      <c>
        <v>26500</v>
      </c>
      <c>
        <v>73933</v>
      </c>
    </row>
    <row ht="14.95">
      <c t="s">
        <v>477</v>
      </c>
      <c>
        <v>26500</v>
      </c>
      <c>
        <v>77220</v>
      </c>
    </row>
    <row ht="14.95">
      <c t="s">
        <v>401</v>
      </c>
      <c>
        <v>314</v>
      </c>
      <c>
        <v>4941</v>
      </c>
    </row>
    <row ht="14.95">
      <c t="s">
        <v>150</v>
      </c>
      <c>
        <v>314</v>
      </c>
      <c>
        <v>11221</v>
      </c>
    </row>
    <row ht="14.95">
      <c t="s">
        <v>478</v>
      </c>
      <c>
        <v>314</v>
      </c>
      <c>
        <v>16779</v>
      </c>
    </row>
    <row ht="14.95">
      <c t="s">
        <v>151</v>
      </c>
      <c>
        <v>314</v>
      </c>
      <c>
        <v>18673</v>
      </c>
    </row>
    <row ht="14.95">
      <c t="s">
        <v>293</v>
      </c>
      <c>
        <v>2650</v>
      </c>
      <c>
        <v>21885</v>
      </c>
    </row>
    <row ht="14.95">
      <c t="s">
        <v>40</v>
      </c>
      <c>
        <v>2650</v>
      </c>
      <c>
        <v>25315</v>
      </c>
    </row>
    <row ht="14.95">
      <c t="s">
        <v>365</v>
      </c>
      <c>
        <v>2650</v>
      </c>
      <c>
        <v>28319</v>
      </c>
    </row>
    <row ht="14.95">
      <c t="s">
        <v>114</v>
      </c>
      <c>
        <v>2650</v>
      </c>
      <c>
        <v>40935</v>
      </c>
    </row>
    <row ht="14.95">
      <c t="s">
        <v>434</v>
      </c>
      <c>
        <v>2650</v>
      </c>
      <c>
        <v>43483</v>
      </c>
    </row>
    <row ht="14.95">
      <c t="s">
        <v>185</v>
      </c>
      <c>
        <v>2650</v>
      </c>
      <c>
        <v>44595</v>
      </c>
    </row>
    <row ht="14.95">
      <c t="s">
        <v>507</v>
      </c>
      <c>
        <v>26500</v>
      </c>
      <c>
        <v>46160</v>
      </c>
    </row>
    <row ht="14.95">
      <c t="s">
        <v>249</v>
      </c>
      <c>
        <v>26500</v>
      </c>
      <c>
        <v>49306</v>
      </c>
    </row>
    <row ht="14.95">
      <c t="s">
        <v>579</v>
      </c>
      <c>
        <v>26500</v>
      </c>
      <c>
        <v>53245</v>
      </c>
    </row>
    <row ht="14.95">
      <c t="s">
        <v>250</v>
      </c>
      <c>
        <v>26500</v>
      </c>
      <c>
        <v>59646</v>
      </c>
    </row>
    <row ht="14.95">
      <c t="s">
        <v>402</v>
      </c>
      <c>
        <v>26500</v>
      </c>
      <c>
        <v>65161</v>
      </c>
    </row>
    <row ht="14.95">
      <c t="s">
        <v>152</v>
      </c>
      <c>
        <v>26500</v>
      </c>
      <c>
        <v>67501</v>
      </c>
    </row>
    <row ht="14.95">
      <c t="s">
        <v>479</v>
      </c>
      <c>
        <v>26500</v>
      </c>
      <c>
        <v>70293</v>
      </c>
    </row>
    <row ht="14.95">
      <c t="s">
        <v>224</v>
      </c>
      <c>
        <v>26500</v>
      </c>
      <c>
        <v>73447</v>
      </c>
    </row>
    <row ht="14.95">
      <c t="s">
        <v>548</v>
      </c>
      <c>
        <v>26500</v>
      </c>
      <c>
        <v>76745</v>
      </c>
    </row>
    <row r="416"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  <row ht="14.95">
      <c s="59"/>
      <c s="33"/>
      <c s="33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51"/>
  <sheetViews>
    <sheetView topLeftCell="B33" zoomScale="115" workbookViewId="0">
      <selection activeCell="C52" sqref="C52"/>
    </sheetView>
  </sheetViews>
  <sheetFormatPr defaultColWidth="9.140625" defaultRowHeight="13.6"/>
  <cols>
    <col min="1" max="1" width="13.7109375" style="38" customWidth="1"/>
    <col min="2" max="2" width="40.85546875" style="38" customWidth="1"/>
    <col min="3" max="3" width="28.140625" style="38" customWidth="1"/>
    <col min="4" max="4" width="17.7109375" style="38" customWidth="1"/>
    <col min="5" max="5" width="19.28515625" style="38" customWidth="1"/>
    <col min="6" max="6" width="11.140625" style="38" customWidth="1"/>
    <col min="7" max="7" width="9.140625" style="38"/>
    <col min="8" max="8" width="17.28515625" style="38" customWidth="1"/>
    <col min="9" max="9" width="19.7109375" style="38" customWidth="1"/>
    <col min="10" max="12" width="12.28515625" style="38" customWidth="1"/>
    <col min="13" max="13" width="16" style="38" bestFit="1" customWidth="1"/>
    <col min="14" max="14" width="14.28515625" style="38" bestFit="1" customWidth="1"/>
    <col min="15" max="15" width="18.28515625" style="38" bestFit="1" customWidth="1"/>
    <col min="16" max="25" width="9.140625" style="38"/>
    <col min="26" max="26" width="9.140625" style="38" hidden="1" customWidth="1"/>
    <col min="27" max="16384" width="9.140625" style="38"/>
  </cols>
  <sheetData>
    <row>
      <c s="62"/>
      <c r="H1" s="69">
        <v>129806172700000000</v>
      </c>
      <c r="Z1" s="58" t="b">
        <f>0=1</f>
        <v>0</v>
      </c>
    </row>
    <row>
      <c r="Z2" s="58" t="b">
        <f>1=1</f>
        <v>1</v>
      </c>
    </row>
    <row>
      <c r="Z3" s="58"/>
    </row>
    <row>
      <c r="I4" s="38" t="s">
        <v>187</v>
      </c>
      <c s="51" t="s">
        <v>403</v>
      </c>
      <c s="11"/>
      <c s="11"/>
      <c s="11"/>
      <c s="11"/>
      <c s="11"/>
    </row>
    <row>
      <c r="J5" s="35" t="s">
        <v>153</v>
      </c>
      <c s="23" t="s">
        <v>294</v>
      </c>
      <c s="23" t="s">
        <v>366</v>
      </c>
      <c s="35" t="s">
        <v>549</v>
      </c>
      <c s="41" t="s">
        <v>435</v>
      </c>
      <c s="23" t="s">
        <v>0</v>
      </c>
    </row>
    <row>
      <c r="B6" s="31" t="s">
        <v>436</v>
      </c>
      <c s="16" t="s">
        <v>480</v>
      </c>
      <c s="64" t="s">
        <v>42</v>
      </c>
      <c s="6" t="s">
        <v>295</v>
      </c>
    </row>
    <row>
      <c r="C7" s="20"/>
      <c s="36" t="s">
        <v>43</v>
      </c>
      <c s="6" t="s">
        <v>331</v>
      </c>
    </row>
    <row>
      <c r="C8" s="36" t="s">
        <v>1</v>
      </c>
      <c s="20"/>
    </row>
    <row>
      <c r="C9" s="20"/>
      <c s="16" t="s">
        <v>154</v>
      </c>
      <c s="44"/>
    </row>
    <row>
      <c r="C10" s="16" t="s">
        <v>251</v>
      </c>
      <c s="40" t="s">
        <v>367</v>
      </c>
      <c s="6" t="s">
        <v>78</v>
      </c>
    </row>
    <row>
      <c r="B11" s="31" t="s">
        <v>296</v>
      </c>
      <c s="46" t="s">
        <v>252</v>
      </c>
      <c s="63">
        <v>60398</v>
      </c>
      <c s="6" t="s">
        <v>155</v>
      </c>
    </row>
    <row>
      <c r="B12" s="31"/>
      <c s="67"/>
      <c s="50"/>
      <c s="49" t="s">
        <v>404</v>
      </c>
    </row>
    <row>
      <c r="B13" s="31" t="s">
        <v>253</v>
      </c>
      <c s="68" t="s">
        <v>115</v>
      </c>
      <c s="65">
        <v>1212</v>
      </c>
      <c s="38" t="b">
        <v>0</v>
      </c>
      <c s="6" t="s">
        <v>368</v>
      </c>
    </row>
    <row ht="12.75" hidden="1">
      <c r="B14" s="31"/>
      <c s="68"/>
      <c s="54"/>
      <c s="38" t="b">
        <v>0</v>
      </c>
    </row>
    <row>
      <c r="B15" s="31" t="s">
        <v>481</v>
      </c>
      <c s="38" t="s">
        <v>508</v>
      </c>
      <c s="66">
        <v>1212</v>
      </c>
      <c s="38" t="b">
        <v>0</v>
      </c>
      <c s="6" t="s">
        <v>116</v>
      </c>
    </row>
    <row ht="12.75" hidden="1">
      <c r="B16" s="31"/>
      <c r="D16" s="17"/>
      <c s="38" t="b">
        <v>0</v>
      </c>
      <c s="6"/>
    </row>
    <row>
      <c r="B17" s="31"/>
      <c s="38" t="s">
        <v>156</v>
      </c>
      <c s="48">
        <v>3434</v>
      </c>
      <c s="38" t="b">
        <v>0</v>
      </c>
      <c s="6" t="s">
        <v>369</v>
      </c>
    </row>
    <row>
      <c r="B18" s="31"/>
      <c r="D18" s="17"/>
      <c s="38" t="b">
        <v>0</v>
      </c>
      <c s="6"/>
    </row>
    <row>
      <c r="B19" s="31"/>
      <c s="38" t="s">
        <v>2</v>
      </c>
      <c s="39">
        <v>3434</v>
      </c>
      <c s="38" t="b">
        <v>0</v>
      </c>
      <c s="6" t="s">
        <v>437</v>
      </c>
    </row>
    <row>
      <c r="B20" s="31"/>
      <c r="D20" s="17"/>
      <c s="38" t="b">
        <v>0</v>
      </c>
      <c s="6"/>
    </row>
    <row>
      <c r="B21" s="31"/>
      <c s="38" t="s">
        <v>438</v>
      </c>
      <c s="61">
        <v>5656</v>
      </c>
      <c s="38" t="b">
        <v>0</v>
      </c>
      <c s="6" t="s">
        <v>550</v>
      </c>
    </row>
    <row>
      <c r="B22" s="31"/>
      <c r="E22" s="6"/>
      <c r="I22" s="56"/>
    </row>
    <row>
      <c r="B23" s="24" t="s">
        <v>3</v>
      </c>
      <c s="24"/>
    </row>
    <row>
      <c r="B24" s="5" t="s">
        <v>297</v>
      </c>
      <c s="5" t="s">
        <v>157</v>
      </c>
      <c s="5" t="s">
        <v>44</v>
      </c>
      <c s="5" t="s">
        <v>439</v>
      </c>
      <c s="5"/>
      <c s="5"/>
      <c s="5" t="s">
        <v>551</v>
      </c>
    </row>
    <row>
      <c r="C25" s="28" t="s">
        <v>298</v>
      </c>
      <c s="30" t="s">
        <v>552</v>
      </c>
      <c s="29">
        <v>1234.5599999999999</v>
      </c>
      <c s="6"/>
    </row>
    <row>
      <c r="C26" s="28" t="s">
        <v>298</v>
      </c>
      <c s="30" t="s">
        <v>552</v>
      </c>
      <c s="29">
        <v>1234.5599999999999</v>
      </c>
      <c s="6"/>
    </row>
    <row>
      <c r="C27" s="32" t="s">
        <v>298</v>
      </c>
      <c s="29" t="s">
        <v>440</v>
      </c>
      <c s="29">
        <v>1234.5599999999999</v>
      </c>
    </row>
    <row>
      <c r="C28" s="32" t="s">
        <v>298</v>
      </c>
      <c s="29" t="s">
        <v>79</v>
      </c>
      <c s="29">
        <v>1234.5599999999999</v>
      </c>
    </row>
    <row>
      <c r="C29" s="28" t="s">
        <v>298</v>
      </c>
      <c s="29" t="s">
        <v>552</v>
      </c>
      <c s="29">
        <v>1234.5599999999999</v>
      </c>
    </row>
    <row>
      <c r="C30" s="32" t="s">
        <v>298</v>
      </c>
      <c s="24" t="s">
        <v>83</v>
      </c>
      <c s="29">
        <v>1234.5599999999999</v>
      </c>
    </row>
    <row>
      <c r="C31" s="32" t="s">
        <v>298</v>
      </c>
      <c s="24" t="s">
        <v>192</v>
      </c>
      <c s="29">
        <v>1234.5599999999999</v>
      </c>
    </row>
    <row>
      <c r="C32" s="32" t="s">
        <v>298</v>
      </c>
      <c s="24" t="s">
        <v>303</v>
      </c>
      <c s="29">
        <v>1234.5599999999999</v>
      </c>
    </row>
    <row>
      <c r="C33" s="32" t="s">
        <v>298</v>
      </c>
      <c s="24" t="s">
        <v>408</v>
      </c>
      <c s="29">
        <v>1234.5599999999999</v>
      </c>
    </row>
    <row>
      <c r="C34" s="32" t="s">
        <v>298</v>
      </c>
      <c s="24" t="s">
        <v>514</v>
      </c>
      <c s="29">
        <v>1234.5599999999999</v>
      </c>
    </row>
    <row>
      <c r="C35" s="32" t="s">
        <v>298</v>
      </c>
      <c s="24" t="s">
        <v>49</v>
      </c>
      <c s="29">
        <v>1234.5599999999999</v>
      </c>
    </row>
    <row>
      <c r="C36" s="32" t="s">
        <v>298</v>
      </c>
      <c s="24" t="s">
        <v>160</v>
      </c>
      <c s="29">
        <v>1234.5599999999999</v>
      </c>
    </row>
    <row>
      <c r="C37" s="32" t="s">
        <v>298</v>
      </c>
      <c s="24" t="s">
        <v>262</v>
      </c>
      <c s="29">
        <v>1234.5599999999999</v>
      </c>
    </row>
    <row>
      <c r="C38" s="32" t="s">
        <v>298</v>
      </c>
      <c s="24" t="s">
        <v>487</v>
      </c>
      <c s="29">
        <v>1234.5599999999999</v>
      </c>
    </row>
    <row>
      <c r="C39" s="32" t="s">
        <v>298</v>
      </c>
      <c s="24" t="s">
        <v>376</v>
      </c>
      <c s="29">
        <v>1234.5599999999999</v>
      </c>
    </row>
    <row>
      <c r="C40" s="32" t="s">
        <v>298</v>
      </c>
      <c s="24" t="s">
        <v>488</v>
      </c>
      <c s="29">
        <v>1234.5599999999999</v>
      </c>
    </row>
    <row>
      <c r="C41" s="32" t="s">
        <v>298</v>
      </c>
      <c s="24" t="s">
        <v>9</v>
      </c>
      <c s="29">
        <v>1234.5599999999999</v>
      </c>
    </row>
    <row>
      <c r="C42" s="32" t="s">
        <v>298</v>
      </c>
      <c s="24" t="s">
        <v>123</v>
      </c>
      <c s="29">
        <v>1234.5599999999999</v>
      </c>
    </row>
    <row>
      <c r="C43" s="32" t="s">
        <v>298</v>
      </c>
      <c s="24" t="s">
        <v>232</v>
      </c>
      <c s="29">
        <v>1234.5599999999999</v>
      </c>
    </row>
    <row>
      <c r="C44" s="32" t="s">
        <v>299</v>
      </c>
      <c s="21" t="s">
        <v>5</v>
      </c>
      <c s="22">
        <v>1234.5599999999999</v>
      </c>
    </row>
    <row>
      <c r="C45" s="32" t="s">
        <v>299</v>
      </c>
      <c s="21" t="s">
        <v>188</v>
      </c>
      <c s="22">
        <v>1234.5599999999999</v>
      </c>
    </row>
    <row>
      <c r="C46" s="32" t="s">
        <v>299</v>
      </c>
      <c s="43" t="s">
        <v>117</v>
      </c>
      <c s="47">
        <v>1234.5599999999999</v>
      </c>
    </row>
    <row>
      <c r="C47" s="32" t="s">
        <v>299</v>
      </c>
      <c s="21" t="s">
        <v>46</v>
      </c>
      <c s="22">
        <v>1234.5599999999999</v>
      </c>
    </row>
    <row>
      <c r="C48" s="32" t="s">
        <v>299</v>
      </c>
      <c s="30" t="s">
        <v>558</v>
      </c>
      <c s="42">
        <v>1234.5599999999999</v>
      </c>
    </row>
    <row>
      <c r="C49" s="32" t="s">
        <v>299</v>
      </c>
      <c s="21" t="s">
        <v>302</v>
      </c>
      <c s="22">
        <v>1234.5599999999999</v>
      </c>
    </row>
    <row>
      <c r="C50" s="32" t="s">
        <v>299</v>
      </c>
      <c s="21" t="s">
        <v>257</v>
      </c>
      <c s="22">
        <v>1234.5599999999999</v>
      </c>
    </row>
    <row>
      <c r="C51" s="32" t="s">
        <v>299</v>
      </c>
      <c s="55" t="s">
        <v>483</v>
      </c>
      <c s="7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
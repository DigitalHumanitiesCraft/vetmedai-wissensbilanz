
<file path=[Content_Types].xml><?xml version="1.0" encoding="utf-8"?>
<Types xmlns="http://schemas.openxmlformats.org/package/2006/content-types">
  <Default Extension="rels" ContentType="application/vnd.openxmlformats-package.relationships+xml"/>
  <Override PartName="/xl/media/image1.png" ContentType="image/png"/>
  <Override PartName="/xl/media/image2.png" ContentType="image/pn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3.25.102"/>
  <workbookPr defaultThemeVersion="124226"/>
  <bookViews>
    <workbookView xWindow="0" yWindow="0" windowWidth="18570" windowHeight="7860"/>
  </bookViews>
  <sheets>
    <sheet name="Tab" sheetId="1" r:id="rId1"/>
    <sheet name="Tabelle2" sheetId="2" state="hidden" r:id="rId2"/>
    <sheet name="XLCubedFormats" sheetId="3" state="hidden" r:id="rId3"/>
  </sheets>
  <definedNames>
    <definedName name="_xlnm.Print_Area" localSheetId="0">Tab!$A$1:$I$31</definedName>
    <definedName name="XL3DisableCameraObjects" hidden="1">XLCubedFormats!A1</definedName>
    <definedName name="XL3ObjLocation7d41dea0_6272_4705_889d_608b8bc2396e">Tab!$A$9</definedName>
  </definedNames>
  <calcPr calcId="40001"/>
</workbook>
</file>

<file path=xl/sharedStrings.xml><?xml version="1.0" encoding="utf-8"?>
<sst xmlns="http://schemas.openxmlformats.org/spreadsheetml/2006/main" uniqueCount="488">
  <si>
    <t>Slicer Button Background</t>
  </si>
  <si>
    <t>Grid Title</t>
  </si>
  <si>
    <t>Oth Written Member</t>
  </si>
  <si>
    <t>Fill in Grid Name, Dimension or Both</t>
  </si>
  <si>
    <t>Universität</t>
  </si>
  <si>
    <t>UA Studienjahr 2008/09</t>
  </si>
  <si>
    <t>UB Studienjahr 2014/15</t>
  </si>
  <si>
    <t>UC Studienjahr 2007/08</t>
  </si>
  <si>
    <t>UD Studienjahr 2013/14</t>
  </si>
  <si>
    <t>UE Studienjahr 2006/07</t>
  </si>
  <si>
    <t>UF Studienjahr 2017/18</t>
  </si>
  <si>
    <t>UH Studienjahr 2016/17</t>
  </si>
  <si>
    <t>UJ Studienjahr 2015/16</t>
  </si>
  <si>
    <t>UL Studienjahr 2014/15</t>
  </si>
  <si>
    <t>UM Studienjahr 2007/08</t>
  </si>
  <si>
    <t>UN Studienjahr 2013/14</t>
  </si>
  <si>
    <t>UO Studienjahr 2006/07</t>
  </si>
  <si>
    <t>UR Studienjahr 2016/17</t>
  </si>
  <si>
    <t>UT Studienjahr 2015/16</t>
  </si>
  <si>
    <t>UU Studienjahr 2019/20</t>
  </si>
  <si>
    <t>UV Studienjahr 2014/15</t>
  </si>
  <si>
    <t>UW Studienjahr 2007/08</t>
  </si>
  <si>
    <t>UW Studienjahr 2020/21</t>
  </si>
  <si>
    <t>UK Studienjahr 2021/22</t>
  </si>
  <si>
    <t>UU Studienjahr 2021/22</t>
  </si>
  <si>
    <t>UI Studienjahr 2022/23</t>
  </si>
  <si>
    <t>US Studienjahr 2022/23</t>
  </si>
  <si>
    <t>UG Studienjahr 2023/24</t>
  </si>
  <si>
    <t>UQ Studienjahr 2023/24</t>
  </si>
  <si>
    <t>UE Studienjahr 2024/25</t>
  </si>
  <si>
    <t>UO Studienjahr 2024/25</t>
  </si>
  <si>
    <t>All Marital Status</t>
  </si>
  <si>
    <t>Male</t>
  </si>
  <si>
    <t>Member1 Name</t>
  </si>
  <si>
    <t>Staatengruppe (Ö, EU, andere)</t>
  </si>
  <si>
    <t xml:space="preserve">      Studienjahr 2021/22</t>
  </si>
  <si>
    <t>UA Studienjahr 2019/20</t>
  </si>
  <si>
    <t>UB Studienjahr 2008/09</t>
  </si>
  <si>
    <t>UC Studienjahr 2020/21</t>
  </si>
  <si>
    <t>UE Studienjahr 2018/19</t>
  </si>
  <si>
    <t>UF Studienjahr 2012/13</t>
  </si>
  <si>
    <t>UG Studienjahr 2017/18</t>
  </si>
  <si>
    <t>UH Studienjahr 2009/10</t>
  </si>
  <si>
    <t>UH Studienjahr 2011/12</t>
  </si>
  <si>
    <t>UI Studienjahr 2016/17</t>
  </si>
  <si>
    <t>UJ Studienjahr 2010/11</t>
  </si>
  <si>
    <t>UK Studienjahr 2019/20</t>
  </si>
  <si>
    <t>UL Studienjahr 2008/09</t>
  </si>
  <si>
    <t>UM Studienjahr 2020/21</t>
  </si>
  <si>
    <t>UN Studienjahr 2007/08</t>
  </si>
  <si>
    <t>UO Studienjahr 2018/19</t>
  </si>
  <si>
    <t>UQ Studienjahr 2017/18</t>
  </si>
  <si>
    <t>UR Studienjahr 2009/10</t>
  </si>
  <si>
    <t>UR Studienjahr 2011/12</t>
  </si>
  <si>
    <t>US Studienjahr 2016/17</t>
  </si>
  <si>
    <t>UT Studienjahr 2010/11</t>
  </si>
  <si>
    <t>UU Studienjahr 2015/16</t>
  </si>
  <si>
    <t>UV Studienjahr 2008/09</t>
  </si>
  <si>
    <t>UW Studienjahr 2014/15</t>
  </si>
  <si>
    <t>UA Studienjahr 2021/22</t>
  </si>
  <si>
    <t xml:space="preserve">      Drittstaaten</t>
  </si>
  <si>
    <t>UR Studienjahr 2023/24</t>
  </si>
  <si>
    <t>&lt;-- default Column Member Format</t>
  </si>
  <si>
    <t>Kennzahl 3.A.1 - Universität für Weiterbildung Krems</t>
  </si>
  <si>
    <t>(Members of Studienjahr und Datenstand) - (Studienjahr 2024/25 (vorläufig), Studienjahr 2023/24 (endgültig), Studienjahr 2022/23 (vorläufig), Studienjahr 2021/22 (vorläufig), Studienjahr 2020/21 (vorläufig), Studienjahr 2019/20 (vorläufig), Studienjahr 2018/19 (vorläufig), Studienjahr 2017/18 (vorläufig), Studienjahr 2016/17 (vorläufig))</t>
  </si>
  <si>
    <t>UA Studienjahr 2015/16</t>
  </si>
  <si>
    <t>UB Studienjahr 2019/20</t>
  </si>
  <si>
    <t>UC Studienjahr 2014/15</t>
  </si>
  <si>
    <t>UD Studienjahr 2007/08</t>
  </si>
  <si>
    <t>UD Studienjahr 2020/21</t>
  </si>
  <si>
    <t>UE Studienjahr 2013/14</t>
  </si>
  <si>
    <t>UF Studienjahr 2006/07</t>
  </si>
  <si>
    <t>UG Studienjahr 2012/13</t>
  </si>
  <si>
    <t>UI Studienjahr 2009/10</t>
  </si>
  <si>
    <t>UI Studienjahr 2011/12</t>
  </si>
  <si>
    <t>UK Studienjahr 2015/16</t>
  </si>
  <si>
    <t>UL Studienjahr 2019/20</t>
  </si>
  <si>
    <t>UM Studienjahr 2014/15</t>
  </si>
  <si>
    <t>UN Studienjahr 2020/21</t>
  </si>
  <si>
    <t>UO Studienjahr 2013/14</t>
  </si>
  <si>
    <t>UQ Studienjahr 2012/13</t>
  </si>
  <si>
    <t>US Studienjahr 2009/10</t>
  </si>
  <si>
    <t>US Studienjahr 2011/12</t>
  </si>
  <si>
    <t>UU Studienjahr 2010/11</t>
  </si>
  <si>
    <t>UV Studienjahr 2019/20</t>
  </si>
  <si>
    <t>UB Studienjahr 2021/22</t>
  </si>
  <si>
    <t>UL Studienjahr 2021/22</t>
  </si>
  <si>
    <t>UV Studienjahr 2021/22</t>
  </si>
  <si>
    <t>UJ Studienjahr 2022/23</t>
  </si>
  <si>
    <t>UT Studienjahr 2022/23</t>
  </si>
  <si>
    <t>UH Studienjahr 2023/24</t>
  </si>
  <si>
    <t>UF Studienjahr 2024/25</t>
  </si>
  <si>
    <t>ISCED2013 2.Ebene (Langtext)</t>
  </si>
  <si>
    <t>Alternate Rows</t>
  </si>
  <si>
    <t>&lt;--  writeable cell format</t>
  </si>
  <si>
    <t>Gesamt</t>
  </si>
  <si>
    <t>UA Studienjahr 2010/11</t>
  </si>
  <si>
    <t>UB Studienjahr 2015/16</t>
  </si>
  <si>
    <t>UC Studienjahr 2008/09</t>
  </si>
  <si>
    <t>UD Studienjahr 2014/15</t>
  </si>
  <si>
    <t>UE Studienjahr 2007/08</t>
  </si>
  <si>
    <t>UF Studienjahr 2018/19</t>
  </si>
  <si>
    <t>UG Studienjahr 2006/07</t>
  </si>
  <si>
    <t>UH Studienjahr 2017/18</t>
  </si>
  <si>
    <t>UJ Studienjahr 2016/17</t>
  </si>
  <si>
    <t>UK Studienjahr 2010/11</t>
  </si>
  <si>
    <t>UL Studienjahr 2015/16</t>
  </si>
  <si>
    <t>UM Studienjahr 2008/09</t>
  </si>
  <si>
    <t>UN Studienjahr 2014/15</t>
  </si>
  <si>
    <t>UO Studienjahr 2007/08</t>
  </si>
  <si>
    <t>UQ Studienjahr 2006/07</t>
  </si>
  <si>
    <t>UR Studienjahr 2017/18</t>
  </si>
  <si>
    <t>UT Studienjahr 2016/17</t>
  </si>
  <si>
    <t>UV Studienjahr 2015/16</t>
  </si>
  <si>
    <t>UW Studienjahr 2008/09</t>
  </si>
  <si>
    <t>UW Studienjahr 2019/20</t>
  </si>
  <si>
    <t>UW Studienjahr 2021/22</t>
  </si>
  <si>
    <t>UK Studienjahr 2022/23</t>
  </si>
  <si>
    <t>UU Studienjahr 2022/23</t>
  </si>
  <si>
    <t>UI Studienjahr 2023/24</t>
  </si>
  <si>
    <t>US Studienjahr 2023/24</t>
  </si>
  <si>
    <t>UG Studienjahr 2024/25</t>
  </si>
  <si>
    <t>UQ Studienjahr 2024/25</t>
  </si>
  <si>
    <t>Slicer Title</t>
  </si>
  <si>
    <t>Calendar Period</t>
  </si>
  <si>
    <t>&lt;-- default cell format</t>
  </si>
  <si>
    <t>Written Member</t>
  </si>
  <si>
    <t>Dimension/Column</t>
  </si>
  <si>
    <t xml:space="preserve"> </t>
  </si>
  <si>
    <t>ISCED2013 1.Ebene (Langtext)</t>
  </si>
  <si>
    <t>UB Studienjahr 2010/11</t>
  </si>
  <si>
    <t>UC Studienjahr 2019/20</t>
  </si>
  <si>
    <t>UE Studienjahr 2020/21</t>
  </si>
  <si>
    <t>UF Studienjahr 2013/14</t>
  </si>
  <si>
    <t>UG Studienjahr 2018/19</t>
  </si>
  <si>
    <t>UH Studienjahr 2012/13</t>
  </si>
  <si>
    <t>UI Studienjahr 2017/18</t>
  </si>
  <si>
    <t>UJ Studienjahr 2009/10</t>
  </si>
  <si>
    <t>UJ Studienjahr 2011/12</t>
  </si>
  <si>
    <t>UK Studienjahr 2016/17</t>
  </si>
  <si>
    <t>UL Studienjahr 2010/11</t>
  </si>
  <si>
    <t>UM Studienjahr 2019/20</t>
  </si>
  <si>
    <t>UN Studienjahr 2008/09</t>
  </si>
  <si>
    <t>UO Studienjahr 2020/21</t>
  </si>
  <si>
    <t>UQ Studienjahr 2018/19</t>
  </si>
  <si>
    <t>UR Studienjahr 2012/13</t>
  </si>
  <si>
    <t>US Studienjahr 2017/18</t>
  </si>
  <si>
    <t>UT Studienjahr 2009/10</t>
  </si>
  <si>
    <t>UT Studienjahr 2011/12</t>
  </si>
  <si>
    <t>UU Studienjahr 2016/17</t>
  </si>
  <si>
    <t>UV Studienjahr 2010/11</t>
  </si>
  <si>
    <t>UW Studienjahr 2015/16</t>
  </si>
  <si>
    <t>UC Studienjahr 2021/22</t>
  </si>
  <si>
    <t>UM Studienjahr 2021/22</t>
  </si>
  <si>
    <t>UA Studienjahr 2022/23</t>
  </si>
  <si>
    <t xml:space="preserve">      Studienjahr 2022/23</t>
  </si>
  <si>
    <t>UR Studienjahr 2024/25</t>
  </si>
  <si>
    <t>Slice Name (Optional)</t>
  </si>
  <si>
    <t>Anzahl der außerordentlichen Studienabschlüsse</t>
  </si>
  <si>
    <t xml:space="preserve">      Österreich</t>
  </si>
  <si>
    <t>STICHTAG</t>
  </si>
  <si>
    <t>UA Studienjahr 2016/17</t>
  </si>
  <si>
    <t>UC Studienjahr 2015/16</t>
  </si>
  <si>
    <t>UD Studienjahr 2008/09</t>
  </si>
  <si>
    <t>UD Studienjahr 2019/20</t>
  </si>
  <si>
    <t>UE Studienjahr 2014/15</t>
  </si>
  <si>
    <t>UF Studienjahr 2007/08</t>
  </si>
  <si>
    <t>UG Studienjahr 2013/14</t>
  </si>
  <si>
    <t>UH Studienjahr 2006/07</t>
  </si>
  <si>
    <t>UI Studienjahr 2012/13</t>
  </si>
  <si>
    <t>UM Studienjahr 2015/16</t>
  </si>
  <si>
    <t>UN Studienjahr 2019/20</t>
  </si>
  <si>
    <t>UO Studienjahr 2014/15</t>
  </si>
  <si>
    <t>UQ Studienjahr 2013/14</t>
  </si>
  <si>
    <t>US Studienjahr 2012/13</t>
  </si>
  <si>
    <t>UU Studienjahr 2009/10</t>
  </si>
  <si>
    <t>UU Studienjahr 2011/12</t>
  </si>
  <si>
    <t>UD Studienjahr 2021/22</t>
  </si>
  <si>
    <t>UN Studienjahr 2021/22</t>
  </si>
  <si>
    <t>UB Studienjahr 2022/23</t>
  </si>
  <si>
    <t>UL Studienjahr 2022/23</t>
  </si>
  <si>
    <t>UV Studienjahr 2022/23</t>
  </si>
  <si>
    <t>UJ Studienjahr 2023/24</t>
  </si>
  <si>
    <t>UT Studienjahr 2023/24</t>
  </si>
  <si>
    <t>UH Studienjahr 2024/25</t>
  </si>
  <si>
    <t>Measures</t>
  </si>
  <si>
    <t>UA Studienjahr 2009/10</t>
  </si>
  <si>
    <t>UA Studienjahr 2011/12</t>
  </si>
  <si>
    <t>UB Studienjahr 2016/17</t>
  </si>
  <si>
    <t>UC Studienjahr 2010/11</t>
  </si>
  <si>
    <t>UD Studienjahr 2015/16</t>
  </si>
  <si>
    <t>UE Studienjahr 2008/09</t>
  </si>
  <si>
    <t>UF Studienjahr 2020/21</t>
  </si>
  <si>
    <t>UG Studienjahr 2007/08</t>
  </si>
  <si>
    <t>UH Studienjahr 2018/19</t>
  </si>
  <si>
    <t>UI Studienjahr 2006/07</t>
  </si>
  <si>
    <t>UJ Studienjahr 2017/18</t>
  </si>
  <si>
    <t>UK Studienjahr 2011/12</t>
  </si>
  <si>
    <t>UL Studienjahr 2016/17</t>
  </si>
  <si>
    <t>UM Studienjahr 2010/11</t>
  </si>
  <si>
    <t>UN Studienjahr 2015/16</t>
  </si>
  <si>
    <t>UO Studienjahr 2008/09</t>
  </si>
  <si>
    <t>UQ Studienjahr 2007/08</t>
  </si>
  <si>
    <t>UR Studienjahr 2018/19</t>
  </si>
  <si>
    <t>US Studienjahr 2006/07</t>
  </si>
  <si>
    <t>UT Studienjahr 2017/18</t>
  </si>
  <si>
    <t>UV Studienjahr 2016/17</t>
  </si>
  <si>
    <t>UW Studienjahr 2010/11</t>
  </si>
  <si>
    <t>UW Studienjahr 2022/23</t>
  </si>
  <si>
    <t>UK Studienjahr 2023/24</t>
  </si>
  <si>
    <t>UU Studienjahr 2023/24</t>
  </si>
  <si>
    <t>UI Studienjahr 2024/25</t>
  </si>
  <si>
    <t>US Studienjahr 2024/25</t>
  </si>
  <si>
    <t>Customer</t>
  </si>
  <si>
    <t>-All Customer</t>
  </si>
  <si>
    <t>Default Alternate Row Member Format --&gt;</t>
  </si>
  <si>
    <t xml:space="preserve">      Studienjahr 2023/24</t>
  </si>
  <si>
    <t>UB Studienjahr 2011/12</t>
  </si>
  <si>
    <t>UE Studienjahr 2019/20</t>
  </si>
  <si>
    <t>UF Studienjahr 2014/15</t>
  </si>
  <si>
    <t>UG Studienjahr 2020/21</t>
  </si>
  <si>
    <t>UH Studienjahr 2013/14</t>
  </si>
  <si>
    <t>UI Studienjahr 2018/19</t>
  </si>
  <si>
    <t>UJ Studienjahr 2012/13</t>
  </si>
  <si>
    <t>UK Studienjahr 2017/18</t>
  </si>
  <si>
    <t>UL Studienjahr 2009/10</t>
  </si>
  <si>
    <t>UL Studienjahr 2011/12</t>
  </si>
  <si>
    <t>UN Studienjahr 2010/11</t>
  </si>
  <si>
    <t>UO Studienjahr 2019/20</t>
  </si>
  <si>
    <t>UQ Studienjahr 2020/21</t>
  </si>
  <si>
    <t>UR Studienjahr 2013/14</t>
  </si>
  <si>
    <t>US Studienjahr 2018/19</t>
  </si>
  <si>
    <t>UT Studienjahr 2012/13</t>
  </si>
  <si>
    <t>UU Studienjahr 2017/18</t>
  </si>
  <si>
    <t>UV Studienjahr 2009/10</t>
  </si>
  <si>
    <t>UV Studienjahr 2011/12</t>
  </si>
  <si>
    <t>UW Studienjahr 2016/17</t>
  </si>
  <si>
    <t>UE Studienjahr 2021/22</t>
  </si>
  <si>
    <t>UO Studienjahr 2021/22</t>
  </si>
  <si>
    <t>Universität für Weiterbildung Krems</t>
  </si>
  <si>
    <t>UC Studienjahr 2022/23</t>
  </si>
  <si>
    <t>UM Studienjahr 2022/23</t>
  </si>
  <si>
    <t>UA Studienjahr 2023/24</t>
  </si>
  <si>
    <t xml:space="preserve">      Univ.f.Weiterbild.Krems</t>
  </si>
  <si>
    <t>Slicer Item</t>
  </si>
  <si>
    <t>&lt;-- default Slicer Member Format</t>
  </si>
  <si>
    <t>Default Row Member Format --&gt;</t>
  </si>
  <si>
    <t>Grid/Table Name</t>
  </si>
  <si>
    <t>[Measures]</t>
  </si>
  <si>
    <t>UA Studienjahr 2017/18</t>
  </si>
  <si>
    <t>UC Studienjahr 2016/17</t>
  </si>
  <si>
    <t>UD Studienjahr 2010/11</t>
  </si>
  <si>
    <t>UE Studienjahr 2015/16</t>
  </si>
  <si>
    <t>UF Studienjahr 2008/09</t>
  </si>
  <si>
    <t>UG Studienjahr 2014/15</t>
  </si>
  <si>
    <t>UH Studienjahr 2007/08</t>
  </si>
  <si>
    <t>UI Studienjahr 2013/14</t>
  </si>
  <si>
    <t>UJ Studienjahr 2006/07</t>
  </si>
  <si>
    <t>UM Studienjahr 2016/17</t>
  </si>
  <si>
    <t>UO Studienjahr 2015/16</t>
  </si>
  <si>
    <t>UQ Studienjahr 2014/15</t>
  </si>
  <si>
    <t>UR Studienjahr 2007/08</t>
  </si>
  <si>
    <t>US Studienjahr 2013/14</t>
  </si>
  <si>
    <t>UT Studienjahr 2006/07</t>
  </si>
  <si>
    <t>UU Studienjahr 2012/13</t>
  </si>
  <si>
    <t>UD Studienjahr 2022/23</t>
  </si>
  <si>
    <t>UN Studienjahr 2022/23</t>
  </si>
  <si>
    <t>UB Studienjahr 2023/24</t>
  </si>
  <si>
    <t>UL Studienjahr 2023/24</t>
  </si>
  <si>
    <t>UV Studienjahr 2023/24</t>
  </si>
  <si>
    <t>UJ Studienjahr 2024/25</t>
  </si>
  <si>
    <t>UT Studienjahr 2024/25</t>
  </si>
  <si>
    <t>&lt;-- writeable Slicer Member Format</t>
  </si>
  <si>
    <t xml:space="preserve">      EU</t>
  </si>
  <si>
    <t>UA Studienjahr 2012/13</t>
  </si>
  <si>
    <t>UB Studienjahr 2017/18</t>
  </si>
  <si>
    <t>UC Studienjahr 2009/10</t>
  </si>
  <si>
    <t>UC Studienjahr 2011/12</t>
  </si>
  <si>
    <t>UD Studienjahr 2016/17</t>
  </si>
  <si>
    <t>UE Studienjahr 2010/11</t>
  </si>
  <si>
    <t>UF Studienjahr 2019/20</t>
  </si>
  <si>
    <t>UG Studienjahr 2008/09</t>
  </si>
  <si>
    <t>UH Studienjahr 2020/21</t>
  </si>
  <si>
    <t>UI Studienjahr 2007/08</t>
  </si>
  <si>
    <t>UJ Studienjahr 2018/19</t>
  </si>
  <si>
    <t>UK Studienjahr 2012/13</t>
  </si>
  <si>
    <t>UL Studienjahr 2017/18</t>
  </si>
  <si>
    <t>UM Studienjahr 2009/10</t>
  </si>
  <si>
    <t>UM Studienjahr 2011/12</t>
  </si>
  <si>
    <t>UN Studienjahr 2016/17</t>
  </si>
  <si>
    <t>UO Studienjahr 2010/11</t>
  </si>
  <si>
    <t>UQ Studienjahr 2008/09</t>
  </si>
  <si>
    <t>UR Studienjahr 2020/21</t>
  </si>
  <si>
    <t>US Studienjahr 2007/08</t>
  </si>
  <si>
    <t>UT Studienjahr 2018/19</t>
  </si>
  <si>
    <t>UU Studienjahr 2006/07</t>
  </si>
  <si>
    <t>UV Studienjahr 2017/18</t>
  </si>
  <si>
    <t>UW Studienjahr 2009/10</t>
  </si>
  <si>
    <t>UW Studienjahr 2011/12</t>
  </si>
  <si>
    <t>UF Studienjahr 2021/22</t>
  </si>
  <si>
    <t>UW Studienjahr 2023/24</t>
  </si>
  <si>
    <t>UK Studienjahr 2024/25</t>
  </si>
  <si>
    <t>UU Studienjahr 2024/25</t>
  </si>
  <si>
    <t>Slicer Button</t>
  </si>
  <si>
    <t>+2009</t>
  </si>
  <si>
    <t>&lt;-- default alternate row cell format</t>
  </si>
  <si>
    <t>&lt;--  written cell format</t>
  </si>
  <si>
    <t>Anmerkung: Aufgrund von Änderungen in den Erhebungsmethoden sind die Indikatorwerte im zeitlichen Verlauf nicht immer direkt vergleichbar.</t>
  </si>
  <si>
    <t>UA Studienjahr 2006/07</t>
  </si>
  <si>
    <t>UB Studienjahr 2012/13</t>
  </si>
  <si>
    <t>UF Studienjahr 2015/16</t>
  </si>
  <si>
    <t>UG Studienjahr 2019/20</t>
  </si>
  <si>
    <t>UH Studienjahr 2014/15</t>
  </si>
  <si>
    <t>UI Studienjahr 2020/21</t>
  </si>
  <si>
    <t>UJ Studienjahr 2013/14</t>
  </si>
  <si>
    <t>UK Studienjahr 2018/19</t>
  </si>
  <si>
    <t>UL Studienjahr 2012/13</t>
  </si>
  <si>
    <t>UN Studienjahr 2009/10</t>
  </si>
  <si>
    <t>UN Studienjahr 2011/12</t>
  </si>
  <si>
    <t>UQ Studienjahr 2019/20</t>
  </si>
  <si>
    <t>UR Studienjahr 2014/15</t>
  </si>
  <si>
    <t>US Studienjahr 2020/21</t>
  </si>
  <si>
    <t>UT Studienjahr 2013/14</t>
  </si>
  <si>
    <t>UU Studienjahr 2018/19</t>
  </si>
  <si>
    <t>UV Studienjahr 2012/13</t>
  </si>
  <si>
    <t>UW Studienjahr 2017/18</t>
  </si>
  <si>
    <t>UG Studienjahr 2021/22</t>
  </si>
  <si>
    <t>UQ Studienjahr 2021/22</t>
  </si>
  <si>
    <t>UE Studienjahr 2022/23</t>
  </si>
  <si>
    <t>UO Studienjahr 2022/23</t>
  </si>
  <si>
    <t>UC Studienjahr 2023/24</t>
  </si>
  <si>
    <t>UM Studienjahr 2023/24</t>
  </si>
  <si>
    <t>UA Studienjahr 2024/25</t>
  </si>
  <si>
    <t>Display Formats For:</t>
  </si>
  <si>
    <t>Enabled?</t>
  </si>
  <si>
    <t>KZIDF_IV_1_1</t>
  </si>
  <si>
    <t xml:space="preserve">      UM</t>
  </si>
  <si>
    <t>UA Studienjahr 2018/19</t>
  </si>
  <si>
    <t>UB Studienjahr 2006/07</t>
  </si>
  <si>
    <t>UC Studienjahr 2017/18</t>
  </si>
  <si>
    <t>UD Studienjahr 2009/10</t>
  </si>
  <si>
    <t>UD Studienjahr 2011/12</t>
  </si>
  <si>
    <t>UE Studienjahr 2016/17</t>
  </si>
  <si>
    <t>UF Studienjahr 2010/11</t>
  </si>
  <si>
    <t>UG Studienjahr 2015/16</t>
  </si>
  <si>
    <t>UH Studienjahr 2008/09</t>
  </si>
  <si>
    <t>UI Studienjahr 2014/15</t>
  </si>
  <si>
    <t>UJ Studienjahr 2007/08</t>
  </si>
  <si>
    <t>UL Studienjahr 2006/07</t>
  </si>
  <si>
    <t>UM Studienjahr 2017/18</t>
  </si>
  <si>
    <t>UO Studienjahr 2016/17</t>
  </si>
  <si>
    <t>UQ Studienjahr 2015/16</t>
  </si>
  <si>
    <t>UR Studienjahr 2008/09</t>
  </si>
  <si>
    <t>US Studienjahr 2014/15</t>
  </si>
  <si>
    <t>UT Studienjahr 2007/08</t>
  </si>
  <si>
    <t>UU Studienjahr 2013/14</t>
  </si>
  <si>
    <t>UV Studienjahr 2006/07</t>
  </si>
  <si>
    <t>UD Studienjahr 2023/24</t>
  </si>
  <si>
    <t>UN Studienjahr 2023/24</t>
  </si>
  <si>
    <t>Datenprüfung und -aufbereitung: bmfwf, Abt. I/10</t>
  </si>
  <si>
    <t>UB Studienjahr 2024/25</t>
  </si>
  <si>
    <t>UL Studienjahr 2024/25</t>
  </si>
  <si>
    <t>UV Studienjahr 2024/25</t>
  </si>
  <si>
    <t>Slicer Button Hover</t>
  </si>
  <si>
    <t>Label Format--&gt;</t>
  </si>
  <si>
    <t>&lt;--  written cell by another user cell format</t>
  </si>
  <si>
    <t>Summary Written Member</t>
  </si>
  <si>
    <t>Data Format</t>
  </si>
  <si>
    <t>Außerordentliche Studienabschlüsse</t>
  </si>
  <si>
    <t>Universität (Langtext)</t>
  </si>
  <si>
    <t>LIEFIDF_IV_1_1</t>
  </si>
  <si>
    <t>Quelle: Datenmeldungen der Universitäten auf Basis UHSBV</t>
  </si>
  <si>
    <t>UA Studienjahr 2013/14</t>
  </si>
  <si>
    <t>UB Studienjahr 2018/19</t>
  </si>
  <si>
    <t>UC Studienjahr 2012/13</t>
  </si>
  <si>
    <t>UD Studienjahr 2017/18</t>
  </si>
  <si>
    <t>UE Studienjahr 2009/10</t>
  </si>
  <si>
    <t>UE Studienjahr 2011/12</t>
  </si>
  <si>
    <t>UG Studienjahr 2010/11</t>
  </si>
  <si>
    <t>UH Studienjahr 2019/20</t>
  </si>
  <si>
    <t>UI Studienjahr 2008/09</t>
  </si>
  <si>
    <t>UJ Studienjahr 2020/21</t>
  </si>
  <si>
    <t>UK Studienjahr 2013/14</t>
  </si>
  <si>
    <t>UL Studienjahr 2018/19</t>
  </si>
  <si>
    <t>UM Studienjahr 2012/13</t>
  </si>
  <si>
    <t>UN Studienjahr 2017/18</t>
  </si>
  <si>
    <t>UO Studienjahr 2009/10</t>
  </si>
  <si>
    <t>UO Studienjahr 2011/12</t>
  </si>
  <si>
    <t>UQ Studienjahr 2010/11</t>
  </si>
  <si>
    <t>UR Studienjahr 2019/20</t>
  </si>
  <si>
    <t>US Studienjahr 2008/09</t>
  </si>
  <si>
    <t>UT Studienjahr 2020/21</t>
  </si>
  <si>
    <t>UU Studienjahr 2007/08</t>
  </si>
  <si>
    <t>UV Studienjahr 2018/19</t>
  </si>
  <si>
    <t>UW Studienjahr 2012/13</t>
  </si>
  <si>
    <t>UH Studienjahr 2021/22</t>
  </si>
  <si>
    <t>UR Studienjahr 2021/22</t>
  </si>
  <si>
    <t>UF Studienjahr 2022/23</t>
  </si>
  <si>
    <t>UW Studienjahr 2024/25</t>
  </si>
  <si>
    <t>Marital Status</t>
  </si>
  <si>
    <t>Default Writeable Member Format --&gt;</t>
  </si>
  <si>
    <t>Universität (Codex)</t>
  </si>
  <si>
    <t>WB Studienjahr (Langbezeichnung)</t>
  </si>
  <si>
    <t>UA Studienjahr 2007/08</t>
  </si>
  <si>
    <t>UB Studienjahr 2013/14</t>
  </si>
  <si>
    <t>UC Studienjahr 2006/07</t>
  </si>
  <si>
    <t>UD Studienjahr 2012/13</t>
  </si>
  <si>
    <t>UF Studienjahr 2016/17</t>
  </si>
  <si>
    <t>UH Studienjahr 2015/16</t>
  </si>
  <si>
    <t>UI Studienjahr 2019/20</t>
  </si>
  <si>
    <t>UJ Studienjahr 2014/15</t>
  </si>
  <si>
    <t>UK Studienjahr 2020/21</t>
  </si>
  <si>
    <t>UL Studienjahr 2013/14</t>
  </si>
  <si>
    <t>UM Studienjahr 2006/07</t>
  </si>
  <si>
    <t>UN Studienjahr 2012/13</t>
  </si>
  <si>
    <t>UR Studienjahr 2015/16</t>
  </si>
  <si>
    <t>US Studienjahr 2019/20</t>
  </si>
  <si>
    <t>UT Studienjahr 2014/15</t>
  </si>
  <si>
    <t>UU Studienjahr 2020/21</t>
  </si>
  <si>
    <t>UV Studienjahr 2013/14</t>
  </si>
  <si>
    <t>UW Studienjahr 2006/07</t>
  </si>
  <si>
    <t>UW Studienjahr 2018/19</t>
  </si>
  <si>
    <t>UI Studienjahr 2021/22</t>
  </si>
  <si>
    <t>US Studienjahr 2021/22</t>
  </si>
  <si>
    <t>UG Studienjahr 2022/23</t>
  </si>
  <si>
    <t>UQ Studienjahr 2022/23</t>
  </si>
  <si>
    <t>UE Studienjahr 2023/24</t>
  </si>
  <si>
    <t>UO Studienjahr 2023/24</t>
  </si>
  <si>
    <t>UC Studienjahr 2024/25</t>
  </si>
  <si>
    <t>UM Studienjahr 2024/25</t>
  </si>
  <si>
    <t>Writeable Member</t>
  </si>
  <si>
    <t>Wissensbilanz</t>
  </si>
  <si>
    <t>Studienjahr und Datenstand</t>
  </si>
  <si>
    <t>UA Studienjahr 2020/21</t>
  </si>
  <si>
    <t>UB Studienjahr 2007/08</t>
  </si>
  <si>
    <t>UC Studienjahr 2018/19</t>
  </si>
  <si>
    <t>UE Studienjahr 2017/18</t>
  </si>
  <si>
    <t>UF Studienjahr 2009/10</t>
  </si>
  <si>
    <t>UF Studienjahr 2011/12</t>
  </si>
  <si>
    <t>UG Studienjahr 2016/17</t>
  </si>
  <si>
    <t>UH Studienjahr 2010/11</t>
  </si>
  <si>
    <t>UI Studienjahr 2015/16</t>
  </si>
  <si>
    <t>UJ Studienjahr 2008/09</t>
  </si>
  <si>
    <t>UL Studienjahr 2007/08</t>
  </si>
  <si>
    <t>UM Studienjahr 2018/19</t>
  </si>
  <si>
    <t>UN Studienjahr 2006/07</t>
  </si>
  <si>
    <t>UO Studienjahr 2017/18</t>
  </si>
  <si>
    <t>UQ Studienjahr 2016/17</t>
  </si>
  <si>
    <t>UR Studienjahr 2010/11</t>
  </si>
  <si>
    <t>US Studienjahr 2015/16</t>
  </si>
  <si>
    <t>UT Studienjahr 2008/09</t>
  </si>
  <si>
    <t>UU Studienjahr 2014/15</t>
  </si>
  <si>
    <t>UV Studienjahr 2007/08</t>
  </si>
  <si>
    <t>UW Studienjahr 2013/14</t>
  </si>
  <si>
    <t>UR Studienjahr 2022/23</t>
  </si>
  <si>
    <t>UD Studienjahr 2024/25</t>
  </si>
  <si>
    <t>UN Studienjahr 2024/25</t>
  </si>
  <si>
    <t>Slicer Button Selected</t>
  </si>
  <si>
    <t>&lt;--  summary written cell</t>
  </si>
  <si>
    <t>Formatierungsrichtlinien</t>
  </si>
  <si>
    <t>Geschlecht</t>
  </si>
  <si>
    <t>Interpretation</t>
  </si>
  <si>
    <t>Nähere Informationen zu den Kennzahlen bzw. deren Definition finden sich in der aktuellen Ausgabe des Arbeitsbehelfs zur Wissensbilanz-Verordnung.</t>
  </si>
  <si>
    <t>UA Studienjahr 2014/15</t>
  </si>
  <si>
    <t>UB Studienjahr 2020/21</t>
  </si>
  <si>
    <t>UC Studienjahr 2013/14</t>
  </si>
  <si>
    <t>UD Studienjahr 2006/07</t>
  </si>
  <si>
    <t>UD Studienjahr 2018/19</t>
  </si>
  <si>
    <t>UE Studienjahr 2012/13</t>
  </si>
  <si>
    <t>UG Studienjahr 2009/10</t>
  </si>
  <si>
    <t>UG Studienjahr 2011/12</t>
  </si>
  <si>
    <t>UI Studienjahr 2010/11</t>
  </si>
  <si>
    <t>UJ Studienjahr 2019/20</t>
  </si>
  <si>
    <t>UK Studienjahr 2014/15</t>
  </si>
  <si>
    <t>UL Studienjahr 2020/21</t>
  </si>
  <si>
    <t>UM Studienjahr 2013/14</t>
  </si>
  <si>
    <t>UN Studienjahr 2018/19</t>
  </si>
  <si>
    <t>UO Studienjahr 2012/13</t>
  </si>
  <si>
    <t>UQ Studienjahr 2009/10</t>
  </si>
  <si>
    <t>UQ Studienjahr 2011/12</t>
  </si>
  <si>
    <t>US Studienjahr 2010/11</t>
  </si>
  <si>
    <t>UT Studienjahr 2019/20</t>
  </si>
  <si>
    <t>UU Studienjahr 2008/09</t>
  </si>
  <si>
    <t>UV Studienjahr 2020/21</t>
  </si>
  <si>
    <t>UJ Studienjahr 2021/22</t>
  </si>
  <si>
    <t>UT Studienjahr 2021/22</t>
  </si>
  <si>
    <t>UH Studienjahr 2022/23</t>
  </si>
  <si>
    <t>UF Studienjahr 2023/24</t>
  </si>
</sst>
</file>

<file path=xl/styles.xml><?xml version="1.0" encoding="utf-8"?>
<styleSheet xmlns="http://schemas.openxmlformats.org/spreadsheetml/2006/main">
  <numFmts count="1">
    <numFmt numFmtId="164" formatCode=";;;"/>
  </numFmts>
  <fonts count="36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0000"/>
      <name val="Tahoma"/>
      <family val="2"/>
    </font>
    <font>
      <b/>
      <sz val="10"/>
      <name val="Tahoma"/>
      <family val="2"/>
    </font>
    <font>
      <sz val="10"/>
      <color rgb="FF595959"/>
      <name val="Tahoma"/>
      <family val="2"/>
    </font>
    <font>
      <b/>
      <sz val="8"/>
      <color indexed="23"/>
      <name val="Tahoma"/>
      <family val="2"/>
    </font>
    <font>
      <sz val="11"/>
      <color rgb="FF000000"/>
      <name val="Tahoma"/>
      <family val="2"/>
    </font>
    <font>
      <b/>
      <sz val="11"/>
      <color rgb="FF000000"/>
      <name val="Tahoma"/>
      <family val="2"/>
    </font>
    <font>
      <sz val="9"/>
      <name val="Tahoma"/>
      <family val="2"/>
    </font>
    <font>
      <sz val="10"/>
      <color rgb="FF262626"/>
      <name val="Tahoma"/>
      <family val="2"/>
    </font>
    <font>
      <sz val="10"/>
      <color theme="1" tint="0.34998626667073579"/>
      <name val="Tahoma"/>
      <family val="2"/>
    </font>
    <font>
      <sz val="8"/>
      <name val="Tahoma"/>
      <family val="2"/>
    </font>
    <font>
      <b/>
      <sz val="11"/>
      <color theme="1"/>
      <name val="Calibri"/>
      <family val="2"/>
      <scheme val="minor"/>
    </font>
    <font>
      <sz val="10"/>
      <color theme="1" tint="0.0499893185216834"/>
      <name val="Tahoma"/>
      <family val="2"/>
    </font>
    <font>
      <sz val="10"/>
      <name val="Tahoma"/>
      <family val="2"/>
    </font>
    <font>
      <sz val="10"/>
      <color theme="1" tint="0.14999847407452621"/>
      <name val="Tahoma"/>
      <family val="2"/>
    </font>
    <font>
      <sz val="11"/>
      <color theme="1"/>
      <name val="Tahoma"/>
      <family val="2"/>
    </font>
    <font>
      <sz val="10"/>
      <color rgb="FFFF0000"/>
      <name val="Tahoma"/>
      <family val="2"/>
    </font>
    <font>
      <b/>
      <sz val="8"/>
      <color rgb="FFFF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0006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D9F1"/>
        <bgColor rgb="FFFFFFFF"/>
      </patternFill>
    </fill>
    <fill>
      <patternFill patternType="solid">
        <fgColor indexed="2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</fills>
  <borders count="8">
    <border>
      <left/>
      <right/>
      <top/>
      <bottom/>
      <diagonal/>
    </border>
    <border>
      <left/>
      <right style="hair">
        <color rgb="FFC0C0C0"/>
      </right>
      <top/>
      <bottom/>
      <diagonal/>
    </border>
    <border>
      <left style="hair">
        <color rgb="FFC0C0C0"/>
      </left>
      <right style="hair">
        <color rgb="FFC0C0C0"/>
      </right>
      <top style="hair">
        <color rgb="FFC0C0C0"/>
      </top>
      <bottom style="hair">
        <color rgb="FFC0C0C0"/>
      </bottom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hair">
        <color rgb="FFC0C0C0"/>
      </left>
      <right style="hair">
        <color rgb="FFC0C0C0"/>
      </right>
      <top style="hair">
        <color rgb="FFC0C0C0"/>
      </top>
      <bottom/>
      <diagonal/>
    </border>
    <border>
      <left style="thin">
        <color indexed="23"/>
      </left>
      <right/>
      <top/>
      <bottom/>
      <diagonal/>
    </border>
    <border>
      <left style="hair">
        <color rgb="FFC0C0C0"/>
      </left>
      <right/>
      <top style="hair">
        <color rgb="FFC0C0C0"/>
      </top>
      <bottom/>
      <diagonal/>
    </border>
    <border>
      <left style="hair">
        <color rgb="FFC0C0C0"/>
      </left>
      <right/>
      <top style="hair">
        <color rgb="FFC0C0C0"/>
      </top>
      <bottom style="hair">
        <color rgb="FFC0C0C0"/>
      </bottom>
      <diagonal/>
    </border>
  </borders>
  <cellStyleXfs count="2">
    <xf numFmtId="0" fontId="0" fillId="0" borderId="0"/>
    <xf numFmtId="0" fontId="1" fillId="0" borderId="0"/>
  </cellStyleXfs>
  <cellXfs count="65">
    <xf numFmtId="0" fontId="0" fillId="0" borderId="0" xfId="0"/>
    <xf numFmtId="0" fontId="2" fillId="0" borderId="0" xfId="0" applyFont="1" applyFill="1" applyBorder="1"/>
    <xf numFmtId="3" fontId="3" fillId="0" borderId="0" xfId="0" applyNumberFormat="1" applyFont="1" applyFill="1" applyBorder="1"/>
    <xf numFmtId="0" fontId="0" fillId="0" borderId="0" xfId="0" applyFill="1" applyBorder="1" applyAlignment="1"/>
    <xf numFmtId="0" fontId="4" fillId="0" borderId="0" xfId="0" applyFont="1" applyFill="1" applyBorder="1" applyAlignment="1">
      <alignment horizontal="left" vertical="center"/>
    </xf>
    <xf numFmtId="0" fontId="5" fillId="0" borderId="0" xfId="0" applyFont="1"/>
    <xf numFmtId="0" fontId="6" fillId="2" borderId="1" xfId="0" quotePrefix="1" applyFont="1" applyFill="1" applyBorder="1" applyAlignment="1" applyProtection="1"/>
    <xf numFmtId="0" fontId="4" fillId="0" borderId="0" xfId="0" applyFont="1" applyFill="1" applyBorder="1" applyAlignment="1">
      <alignment vertical="center"/>
    </xf>
    <xf numFmtId="0" fontId="7" fillId="0" borderId="0" xfId="0" applyFont="1"/>
    <xf numFmtId="0" fontId="8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vertical="top"/>
    </xf>
    <xf numFmtId="0" fontId="10" fillId="3" borderId="0" xfId="1" applyFont="1" applyFill="1" applyBorder="1" applyAlignment="1">
      <alignment horizontal="center"/>
    </xf>
    <xf numFmtId="0" fontId="11" fillId="0" borderId="2" xfId="0" applyFont="1" applyFill="1" applyBorder="1" applyAlignment="1" applyProtection="1">
      <alignment vertical="center"/>
    </xf>
    <xf numFmtId="0" fontId="12" fillId="4" borderId="0" xfId="0" applyFont="1" applyFill="1" applyAlignment="1"/>
    <xf numFmtId="0" fontId="13" fillId="0" borderId="0" xfId="1" applyFont="1"/>
    <xf numFmtId="0" fontId="14" fillId="0" borderId="0" xfId="0" applyFont="1" applyFill="1" applyBorder="1" applyAlignment="1"/>
    <xf numFmtId="0" fontId="15" fillId="0" borderId="0" xfId="0" applyFont="1"/>
    <xf numFmtId="0" fontId="16" fillId="0" borderId="0" xfId="0" applyNumberFormat="1" applyFont="1" applyAlignment="1"/>
    <xf numFmtId="0" fontId="16" fillId="0" borderId="0" xfId="0" applyFont="1"/>
    <xf numFmtId="0" fontId="17" fillId="0" borderId="0" xfId="0" applyFont="1"/>
    <xf numFmtId="0" fontId="13" fillId="4" borderId="0" xfId="1" applyFont="1" applyFill="1"/>
    <xf numFmtId="0" fontId="7" fillId="0" borderId="0" xfId="0" applyFont="1" applyAlignment="1">
      <alignment horizontal="right"/>
    </xf>
    <xf numFmtId="3" fontId="11" fillId="0" borderId="2" xfId="0" applyNumberFormat="1" applyFont="1" applyBorder="1" applyAlignment="1" applyProtection="1"/>
    <xf numFmtId="0" fontId="16" fillId="0" borderId="0" xfId="0" applyFont="1" applyAlignment="1">
      <alignment horizontal="center"/>
    </xf>
    <xf numFmtId="0" fontId="17" fillId="0" borderId="3" xfId="0" quotePrefix="1" applyFont="1" applyFill="1" applyBorder="1" applyAlignment="1">
      <alignment horizontal="right"/>
    </xf>
    <xf numFmtId="0" fontId="11" fillId="0" borderId="2" xfId="0" quotePrefix="1" applyFont="1" applyBorder="1" applyAlignment="1" applyProtection="1"/>
    <xf numFmtId="3" fontId="16" fillId="5" borderId="0" xfId="0" applyNumberFormat="1" applyFont="1" applyFill="1" applyAlignment="1"/>
    <xf numFmtId="0" fontId="16" fillId="0" borderId="0" xfId="0" applyNumberFormat="1" applyFont="1"/>
    <xf numFmtId="0" fontId="5" fillId="0" borderId="0" xfId="0" applyFont="1" applyFill="1" applyBorder="1" applyAlignment="1">
      <alignment vertical="center"/>
    </xf>
    <xf numFmtId="3" fontId="16" fillId="6" borderId="0" xfId="0" applyNumberFormat="1" applyFont="1" applyFill="1" applyAlignment="1"/>
    <xf numFmtId="0" fontId="11" fillId="0" borderId="2" xfId="0" applyFont="1" applyBorder="1" applyAlignment="1" applyProtection="1">
      <alignment horizontal="right"/>
    </xf>
    <xf numFmtId="0" fontId="16" fillId="0" borderId="0" xfId="0" quotePrefix="1" applyFont="1"/>
    <xf numFmtId="0" fontId="17" fillId="0" borderId="3" xfId="0" applyFont="1" applyFill="1" applyBorder="1" applyAlignment="1">
      <alignment vertical="center"/>
    </xf>
    <xf numFmtId="0" fontId="11" fillId="0" borderId="2" xfId="0" applyFont="1" applyFill="1" applyBorder="1" applyAlignment="1" applyProtection="1">
      <alignment horizontal="center"/>
    </xf>
    <xf numFmtId="0" fontId="11" fillId="0" borderId="4" xfId="0" applyFont="1" applyBorder="1" applyAlignment="1" applyProtection="1">
      <alignment horizontal="right"/>
    </xf>
    <xf numFmtId="0" fontId="17" fillId="0" borderId="3" xfId="0" quotePrefix="1" applyFont="1" applyFill="1" applyBorder="1" applyAlignment="1"/>
    <xf numFmtId="0" fontId="16" fillId="0" borderId="0" xfId="0" applyFont="1" applyFill="1" applyBorder="1" applyAlignment="1">
      <alignment vertical="center"/>
    </xf>
    <xf numFmtId="3" fontId="11" fillId="0" borderId="2" xfId="0" quotePrefix="1" applyNumberFormat="1" applyFont="1" applyBorder="1" applyAlignment="1" applyProtection="1"/>
    <xf numFmtId="0" fontId="11" fillId="0" borderId="4" xfId="0" applyFont="1" applyFill="1" applyBorder="1" applyAlignment="1" applyProtection="1">
      <alignment horizontal="right"/>
    </xf>
    <xf numFmtId="0" fontId="11" fillId="0" borderId="2" xfId="0" quotePrefix="1" applyFont="1" applyFill="1" applyBorder="1" applyAlignment="1" applyProtection="1">
      <alignment vertical="center"/>
    </xf>
    <xf numFmtId="3" fontId="16" fillId="7" borderId="0" xfId="0" applyNumberFormat="1" applyFont="1" applyFill="1" applyAlignment="1"/>
    <xf numFmtId="0" fontId="18" fillId="0" borderId="0" xfId="0" applyFont="1" applyFill="1" applyBorder="1" applyAlignment="1"/>
    <xf numFmtId="0" fontId="19" fillId="0" borderId="0" xfId="0" applyFont="1"/>
    <xf numFmtId="3" fontId="11" fillId="0" borderId="2" xfId="0" applyNumberFormat="1" applyFont="1" applyFill="1" applyBorder="1" applyAlignment="1" applyProtection="1">
      <alignment horizontal="right"/>
    </xf>
    <xf numFmtId="3" fontId="11" fillId="0" borderId="2" xfId="0" quotePrefix="1" applyNumberFormat="1" applyFont="1" applyFill="1" applyBorder="1" applyAlignment="1" applyProtection="1">
      <alignment horizontal="right"/>
    </xf>
    <xf numFmtId="3" fontId="17" fillId="0" borderId="3" xfId="0" applyNumberFormat="1" applyFont="1" applyFill="1" applyBorder="1" applyAlignment="1"/>
    <xf numFmtId="2" fontId="16" fillId="0" borderId="0" xfId="0" applyNumberFormat="1" applyFont="1"/>
    <xf numFmtId="0" fontId="16" fillId="0" borderId="0" xfId="0" applyNumberFormat="1" applyFont="1" applyFill="1" applyBorder="1" applyAlignment="1"/>
    <xf numFmtId="0" fontId="13" fillId="6" borderId="0" xfId="1" applyFont="1" applyFill="1"/>
    <xf numFmtId="3" fontId="5" fillId="0" borderId="0" xfId="0" applyNumberFormat="1" applyFont="1" applyFill="1" applyAlignment="1"/>
    <xf numFmtId="0" fontId="0" fillId="0" borderId="0" xfId="0" applyFill="1" applyBorder="1" applyAlignment="1">
      <alignment vertical="center"/>
    </xf>
    <xf numFmtId="0" fontId="10" fillId="3" borderId="5" xfId="1" applyFont="1" applyFill="1" applyBorder="1" applyAlignment="1">
      <alignment horizontal="center"/>
    </xf>
    <xf numFmtId="3" fontId="16" fillId="0" borderId="0" xfId="0" applyNumberFormat="1" applyFont="1" applyAlignment="1"/>
    <xf numFmtId="0" fontId="0" fillId="0" borderId="0" xfId="0" applyFont="1"/>
    <xf numFmtId="0" fontId="14" fillId="0" borderId="0" xfId="0" applyFont="1"/>
    <xf numFmtId="0" fontId="20" fillId="0" borderId="0" xfId="0" applyFont="1"/>
    <xf numFmtId="164" fontId="16" fillId="0" borderId="0" xfId="0" applyNumberFormat="1" applyFont="1"/>
    <xf numFmtId="0" fontId="16" fillId="6" borderId="0" xfId="0" applyFont="1" applyFill="1"/>
    <xf numFmtId="0" fontId="11" fillId="0" borderId="6" xfId="0" applyFont="1" applyFill="1" applyBorder="1" applyAlignment="1" applyProtection="1">
      <alignment horizontal="center"/>
    </xf>
    <xf numFmtId="0" fontId="11" fillId="0" borderId="2" xfId="0" applyFont="1" applyFill="1" applyBorder="1" applyAlignment="1" applyProtection="1">
      <alignment horizontal="right"/>
    </xf>
    <xf numFmtId="0" fontId="7" fillId="0" borderId="0" xfId="0" applyFont="1" applyAlignment="1">
      <alignment horizontal="center"/>
    </xf>
    <xf numFmtId="0" fontId="16" fillId="0" borderId="0" xfId="0" quotePrefix="1" applyFont="1" applyFill="1"/>
    <xf numFmtId="0" fontId="16" fillId="6" borderId="0" xfId="0" applyNumberFormat="1" applyFont="1" applyFill="1" applyAlignment="1"/>
    <xf numFmtId="0" fontId="11" fillId="0" borderId="6" xfId="0" applyFont="1" applyBorder="1" applyAlignment="1" applyProtection="1">
      <alignment horizontal="right"/>
    </xf>
    <xf numFmtId="0" fontId="11" fillId="0" borderId="7" xfId="0" applyFont="1" applyBorder="1" applyAlignment="1" applyProtection="1">
      <alignment horizontal="right"/>
    </xf>
  </cellXfs>
  <cellStyles count="2">
    <cellStyle name="Normal" xfId="0" builtinId="0"/>
    <cellStyle name="Normal_Sheet1" xfId="1"/>
  </cellStyles>
</styleSheet>
</file>

<file path=xl/_rels/workbook.xml.rels>&#65279;<?xml version="1.0" encoding="utf-8"?><Relationships xmlns="http://schemas.openxmlformats.org/package/2006/relationships"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6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2.png" /><Relationship Id="rId2" Type="http://schemas.openxmlformats.org/officeDocument/2006/relationships/image" Target="../media/image1.png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oneCell">
    <xdr:from>
      <xdr:col>1</xdr:col>
      <xdr:colOff>0</xdr:colOff>
      <xdr:row>8</xdr:row>
      <xdr:rowOff>0</xdr:rowOff>
    </xdr:from>
    <xdr:to>
      <xdr:col>5</xdr:col>
      <xdr:colOff>0</xdr:colOff>
      <xdr:row>8</xdr:row>
      <xdr:rowOff>189865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95807" y="1645920"/>
          <a:ext cx="4447809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5</xdr:col>
      <xdr:colOff>0</xdr:colOff>
      <xdr:row>10</xdr:row>
      <xdr:rowOff>0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95807" y="1835785"/>
          <a:ext cx="4447809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5</xdr:col>
      <xdr:colOff>0</xdr:colOff>
      <xdr:row>11</xdr:row>
      <xdr:rowOff>0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95807" y="2025650"/>
          <a:ext cx="4447809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10</xdr:row>
      <xdr:rowOff>189865</xdr:rowOff>
    </xdr:from>
    <xdr:to>
      <xdr:col>5</xdr:col>
      <xdr:colOff>0</xdr:colOff>
      <xdr:row>11</xdr:row>
      <xdr:rowOff>189865</xdr:rowOff>
    </xdr:to>
    <xdr:pic>
      <xdr:nvPicPr>
        <xdr:cNvPr id="6" name="Picture 5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95807" y="2215515"/>
          <a:ext cx="4447809" cy="189865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 editAs="absolute">
    <xdr:from>
      <xdr:col>9</xdr:col>
      <xdr:colOff>114300</xdr:colOff>
      <xdr:row>3</xdr:row>
      <xdr:rowOff>109220</xdr:rowOff>
    </xdr:from>
    <xdr:to>
      <xdr:col>10</xdr:col>
      <xdr:colOff>315752</xdr:colOff>
      <xdr:row>7</xdr:row>
      <xdr:rowOff>104140</xdr:rowOff>
    </xdr:to>
    <xdr:sp macro="" textlink="">
      <xdr:nvSpPr>
        <xdr:cNvPr id="2" name="Comment 1" hidden="1"/>
        <xdr:cNvSpPr txBox="1"/>
      </xdr:nvSpPr>
      <xdr:spPr>
        <a:xfrm>
          <a:off x="12915672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XLCubed:</a:t>
          </a:r>
        </a:p>
        <a:p>
          <a:pPr algn="l"/>
          <a:r>
            <a:rPr/>
            <a:t>Blank name gives the default format.</a:t>
          </a:r>
        </a:p>
        <a:p>
          <a:pPr algn="l"/>
          <a:r>
            <a:rPr/>
            <a:t>Specify slicer name for slicer specific formats</a:t>
          </a:r>
        </a:p>
      </xdr:txBody>
    </xdr:sp>
    <xdr:clientData/>
  </xdr:twoCellAnchor>
  <xdr:twoCellAnchor editAs="absolute">
    <xdr:from>
      <xdr:col>10</xdr:col>
      <xdr:colOff>114300</xdr:colOff>
      <xdr:row>3</xdr:row>
      <xdr:rowOff>109220</xdr:rowOff>
    </xdr:from>
    <xdr:to>
      <xdr:col>11</xdr:col>
      <xdr:colOff>315752</xdr:colOff>
      <xdr:row>7</xdr:row>
      <xdr:rowOff>104140</xdr:rowOff>
    </xdr:to>
    <xdr:sp macro="" textlink="">
      <xdr:nvSpPr>
        <xdr:cNvPr id="3" name="Comment 2" hidden="1"/>
        <xdr:cNvSpPr txBox="1"/>
      </xdr:nvSpPr>
      <xdr:spPr>
        <a:xfrm>
          <a:off x="13811500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slicer title</a:t>
          </a:r>
        </a:p>
        <a:p>
          <a:pPr algn="l"/>
          <a:endParaRPr/>
        </a:p>
        <a:p>
          <a:pPr algn="l"/>
          <a:endParaRPr/>
        </a:p>
      </xdr:txBody>
    </xdr:sp>
    <xdr:clientData/>
  </xdr:twoCellAnchor>
  <xdr:twoCellAnchor editAs="absolute">
    <xdr:from>
      <xdr:col>11</xdr:col>
      <xdr:colOff>114300</xdr:colOff>
      <xdr:row>3</xdr:row>
      <xdr:rowOff>109220</xdr:rowOff>
    </xdr:from>
    <xdr:to>
      <xdr:col>12</xdr:col>
      <xdr:colOff>315752</xdr:colOff>
      <xdr:row>7</xdr:row>
      <xdr:rowOff>104140</xdr:rowOff>
    </xdr:to>
    <xdr:sp macro="" textlink="">
      <xdr:nvSpPr>
        <xdr:cNvPr id="4" name="Comment 3" hidden="1"/>
        <xdr:cNvSpPr txBox="1"/>
      </xdr:nvSpPr>
      <xdr:spPr>
        <a:xfrm>
          <a:off x="14707329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Format for non-button slicer text</a:t>
          </a:r>
        </a:p>
        <a:p>
          <a:pPr algn="l"/>
          <a:endParaRPr/>
        </a:p>
      </xdr:txBody>
    </xdr:sp>
    <xdr:clientData/>
  </xdr:twoCellAnchor>
  <xdr:twoCellAnchor editAs="absolute">
    <xdr:from>
      <xdr:col>12</xdr:col>
      <xdr:colOff>114300</xdr:colOff>
      <xdr:row>3</xdr:row>
      <xdr:rowOff>109220</xdr:rowOff>
    </xdr:from>
    <xdr:to>
      <xdr:col>13</xdr:col>
      <xdr:colOff>44867</xdr:colOff>
      <xdr:row>7</xdr:row>
      <xdr:rowOff>104140</xdr:rowOff>
    </xdr:to>
    <xdr:sp macro="" textlink="">
      <xdr:nvSpPr>
        <xdr:cNvPr id="5" name="Comment 4" hidden="1"/>
        <xdr:cNvSpPr txBox="1"/>
      </xdr:nvSpPr>
      <xdr:spPr>
        <a:xfrm>
          <a:off x="15603157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Default format for slicer buttons</a:t>
          </a:r>
        </a:p>
      </xdr:txBody>
    </xdr:sp>
    <xdr:clientData/>
  </xdr:twoCellAnchor>
  <xdr:twoCellAnchor editAs="absolute">
    <xdr:from>
      <xdr:col>13</xdr:col>
      <xdr:colOff>114300</xdr:colOff>
      <xdr:row>3</xdr:row>
      <xdr:rowOff>109220</xdr:rowOff>
    </xdr:from>
    <xdr:to>
      <xdr:col>14</xdr:col>
      <xdr:colOff>169913</xdr:colOff>
      <xdr:row>7</xdr:row>
      <xdr:rowOff>104140</xdr:rowOff>
    </xdr:to>
    <xdr:sp macro="" textlink="">
      <xdr:nvSpPr>
        <xdr:cNvPr id="6" name="Comment 5" hidden="1"/>
        <xdr:cNvSpPr txBox="1"/>
      </xdr:nvSpPr>
      <xdr:spPr>
        <a:xfrm>
          <a:off x="16769870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selected button</a:t>
          </a:r>
        </a:p>
      </xdr:txBody>
    </xdr:sp>
    <xdr:clientData/>
  </xdr:twoCellAnchor>
  <xdr:twoCellAnchor editAs="absolute">
    <xdr:from>
      <xdr:col>14</xdr:col>
      <xdr:colOff>114300</xdr:colOff>
      <xdr:row>3</xdr:row>
      <xdr:rowOff>109220</xdr:rowOff>
    </xdr:from>
    <xdr:to>
      <xdr:col>14</xdr:col>
      <xdr:colOff>1211580</xdr:colOff>
      <xdr:row>7</xdr:row>
      <xdr:rowOff>104140</xdr:rowOff>
    </xdr:to>
    <xdr:sp macro="" textlink="">
      <xdr:nvSpPr>
        <xdr:cNvPr id="7" name="Comment 6" hidden="1"/>
        <xdr:cNvSpPr txBox="1"/>
      </xdr:nvSpPr>
      <xdr:spPr>
        <a:xfrm>
          <a:off x="17811537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button when hovered over</a:t>
          </a:r>
        </a:p>
        <a:p>
          <a:pPr algn="l"/>
          <a:endParaRPr/>
        </a:p>
      </xdr:txBody>
    </xdr:sp>
    <xdr:clientData/>
  </xdr:twoCellAnchor>
  <xdr:twoCellAnchor editAs="absolute">
    <xdr:from>
      <xdr:col>15</xdr:col>
      <xdr:colOff>114300</xdr:colOff>
      <xdr:row>3</xdr:row>
      <xdr:rowOff>109220</xdr:rowOff>
    </xdr:from>
    <xdr:to>
      <xdr:col>16</xdr:col>
      <xdr:colOff>545050</xdr:colOff>
      <xdr:row>7</xdr:row>
      <xdr:rowOff>104140</xdr:rowOff>
    </xdr:to>
    <xdr:sp macro="" textlink="">
      <xdr:nvSpPr>
        <xdr:cNvPr id="8" name="Comment 7" hidden="1"/>
        <xdr:cNvSpPr txBox="1"/>
      </xdr:nvSpPr>
      <xdr:spPr>
        <a:xfrm>
          <a:off x="19144883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Background between the slicer buttons.</a:t>
          </a:r>
        </a:p>
      </xdr:txBody>
    </xdr:sp>
    <xdr:clientData/>
  </xdr:twoCellAnchor>
  <xdr:twoCellAnchor editAs="absolute">
    <xdr:from>
      <xdr:col>4</xdr:col>
      <xdr:colOff>114300</xdr:colOff>
      <xdr:row>22</xdr:row>
      <xdr:rowOff>109220</xdr:rowOff>
    </xdr:from>
    <xdr:to>
      <xdr:col>4</xdr:col>
      <xdr:colOff>1211580</xdr:colOff>
      <xdr:row>26</xdr:row>
      <xdr:rowOff>104140</xdr:rowOff>
    </xdr:to>
    <xdr:sp macro="" textlink="">
      <xdr:nvSpPr>
        <xdr:cNvPr id="9" name="Comment 8" hidden="1"/>
        <xdr:cNvSpPr txBox="1"/>
      </xdr:nvSpPr>
      <xdr:spPr>
        <a:xfrm>
          <a:off x="7332768" y="356362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Can use wildcard character - '*'</a:t>
          </a:r>
        </a:p>
        <a:p>
          <a:pPr algn="l"/>
          <a:endParaRPr/>
        </a:p>
        <a:p>
          <a:pPr algn="l"/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K639"/>
  <sheetViews>
    <sheetView tabSelected="1" workbookViewId="0"/>
  </sheetViews>
  <sheetFormatPr defaultColWidth="11.42578125" defaultRowHeight="14.95" outlineLevelRow="1" outlineLevelCol="1"/>
  <cols>
    <col min="1" max="1" width="32.85546875" style="53" customWidth="1"/>
    <col min="2" max="2" width="30.28515625" bestFit="1" customWidth="1"/>
    <col min="3" max="3" width="31.7109375" hidden="1" customWidth="1" outlineLevel="1"/>
    <col min="4" max="4" width="9.7109375" hidden="1" customWidth="1" outlineLevel="1"/>
    <col min="5" max="5" width="30.7109375" customWidth="1" collapsed="1"/>
    <col min="6" max="6" width="14.7109375" customWidth="1"/>
    <col min="7" max="7" width="7.85546875" bestFit="1" customWidth="1"/>
    <col min="8" max="8" width="6.7109375" bestFit="1" customWidth="1"/>
    <col min="9" max="9" width="7.140625" bestFit="1" customWidth="1"/>
    <col min="10" max="10" width="7.85546875" bestFit="1" customWidth="1"/>
    <col min="11" max="11" width="11.28515625" bestFit="1" customWidth="1"/>
    <col min="12" max="12" width="9.85546875" bestFit="1" customWidth="1"/>
    <col min="13" max="13" width="7.28515625" bestFit="1" customWidth="1"/>
    <col min="14" max="14" width="11.28515625" bestFit="1" customWidth="1"/>
    <col min="15" max="15" width="9.85546875" bestFit="1" customWidth="1"/>
    <col min="16" max="16" width="7.28515625" bestFit="1" customWidth="1"/>
    <col min="17" max="17" width="11.28515625" bestFit="1" customWidth="1"/>
    <col min="18" max="18" width="7.28515625" bestFit="1" customWidth="1"/>
    <col min="19" max="19" width="11.28515625" bestFit="1" customWidth="1"/>
    <col min="20" max="20" width="9.85546875" bestFit="1" customWidth="1"/>
    <col min="21" max="21" width="7.28515625" bestFit="1" customWidth="1"/>
    <col min="22" max="22" width="11.28515625" bestFit="1" customWidth="1"/>
    <col min="23" max="23" width="9.85546875" bestFit="1" customWidth="1"/>
    <col min="24" max="24" width="7.28515625" bestFit="1" customWidth="1"/>
    <col min="25" max="25" width="11.28515625" bestFit="1" customWidth="1"/>
    <col min="26" max="26" width="17.140625" bestFit="1" customWidth="1"/>
    <col min="27" max="27" width="6.7109375" bestFit="1" customWidth="1"/>
    <col min="28" max="28" width="7.140625" bestFit="1" customWidth="1"/>
    <col min="29" max="29" width="17.140625" bestFit="1" customWidth="1"/>
    <col min="30" max="30" width="6.7109375" bestFit="1" customWidth="1"/>
    <col min="31" max="31" width="7.140625" bestFit="1" customWidth="1"/>
    <col min="32" max="32" width="17.140625" bestFit="1" customWidth="1"/>
    <col min="33" max="33" width="6.7109375" bestFit="1" customWidth="1"/>
    <col min="34" max="34" width="7.140625" bestFit="1" customWidth="1"/>
  </cols>
  <sheetData>
    <row>
      <c s="41" t="s">
        <v>431</v>
      </c>
      <c s="3"/>
      <c s="3"/>
      <c s="3"/>
      <c s="3"/>
      <c s="3"/>
      <c s="3"/>
      <c s="3"/>
    </row>
    <row ht="15" customHeight="1">
      <c s="9" t="s">
        <v>63</v>
      </c>
      <c s="9"/>
      <c s="9"/>
      <c s="9"/>
      <c s="9"/>
      <c s="3"/>
      <c s="3"/>
      <c s="3"/>
    </row>
    <row ht="23.25" customHeight="1" s="54" customFormat="1">
      <c s="10" t="s">
        <v>158</v>
      </c>
      <c s="10"/>
      <c s="10"/>
      <c s="10"/>
      <c s="10"/>
      <c s="15"/>
      <c s="15"/>
      <c s="15"/>
    </row>
    <row ht="15" customHeight="1">
      <c s="7" t="s">
        <v>371</v>
      </c>
      <c s="7"/>
      <c s="7"/>
      <c s="7"/>
      <c s="7"/>
      <c s="7"/>
      <c s="3"/>
      <c s="3"/>
    </row>
    <row ht="15" customHeight="1">
      <c s="7" t="s">
        <v>359</v>
      </c>
      <c s="7"/>
      <c s="7"/>
      <c s="7"/>
      <c s="7"/>
      <c s="50"/>
      <c s="3"/>
      <c s="3"/>
    </row>
    <row>
      <c s="4" t="s">
        <v>307</v>
      </c>
      <c s="4"/>
      <c s="4"/>
      <c s="4"/>
      <c s="4"/>
      <c s="4"/>
      <c s="4"/>
      <c s="4"/>
      <c s="4"/>
    </row>
    <row>
      <c s="4" t="s">
        <v>462</v>
      </c>
      <c s="4"/>
      <c s="4"/>
      <c s="4"/>
      <c s="4"/>
      <c s="4"/>
      <c s="4"/>
      <c s="4"/>
      <c s="4"/>
    </row>
    <row ht="16.5" customHeight="1"/>
    <row>
      <c s="6" t="s">
        <v>4</v>
      </c>
      <c s="25" t="s">
        <v>239</v>
      </c>
    </row>
    <row>
      <c s="6" t="s">
        <v>129</v>
      </c>
      <c s="25" t="s">
        <v>95</v>
      </c>
    </row>
    <row>
      <c s="6" t="s">
        <v>92</v>
      </c>
      <c s="25" t="s">
        <v>95</v>
      </c>
    </row>
    <row>
      <c s="6" t="s">
        <v>460</v>
      </c>
      <c s="25" t="s">
        <v>95</v>
      </c>
    </row>
    <row ht="15" hidden="1" outlineLevel="1">
      <c s="6" t="s">
        <v>432</v>
      </c>
      <c s="25" t="s">
        <v>64</v>
      </c>
    </row>
    <row collapsed="1">
      <c/>
      <c r="E14" t="s">
        <v>128</v>
      </c>
    </row>
    <row>
      <c/>
    </row>
    <row ht="15" hidden="1" outlineLevel="1">
      <c/>
      <c r="E16" s="6" t="s">
        <v>185</v>
      </c>
    </row>
    <row collapsed="1">
      <c s="6" t="s">
        <v>402</v>
      </c>
      <c s="6" t="s">
        <v>34</v>
      </c>
      <c s="6" t="s">
        <v>401</v>
      </c>
      <c s="6" t="s">
        <v>369</v>
      </c>
      <c s="33" t="s">
        <v>368</v>
      </c>
      <c s="59" t="s">
        <v>461</v>
      </c>
    </row>
    <row>
      <c s="39" t="s">
        <v>216</v>
      </c>
      <c s="12" t="s">
        <v>95</v>
      </c>
      <c s="12" t="s">
        <v>336</v>
      </c>
      <c s="12" t="s">
        <v>243</v>
      </c>
      <c s="43">
        <v>1308</v>
      </c>
      <c s="44" t="s">
        <v>461</v>
      </c>
    </row>
    <row>
      <c s="39"/>
      <c s="12" t="s">
        <v>159</v>
      </c>
      <c s="12" t="s">
        <v>336</v>
      </c>
      <c s="12" t="s">
        <v>243</v>
      </c>
      <c s="43">
        <v>945</v>
      </c>
      <c s="44" t="s">
        <v>128</v>
      </c>
    </row>
    <row>
      <c s="39"/>
      <c s="12" t="s">
        <v>273</v>
      </c>
      <c s="12" t="s">
        <v>336</v>
      </c>
      <c s="12" t="s">
        <v>243</v>
      </c>
      <c s="43">
        <v>274</v>
      </c>
      <c s="44" t="s">
        <v>128</v>
      </c>
    </row>
    <row>
      <c s="39"/>
      <c s="12" t="s">
        <v>60</v>
      </c>
      <c s="12" t="s">
        <v>336</v>
      </c>
      <c s="12" t="s">
        <v>243</v>
      </c>
      <c s="43">
        <v>89</v>
      </c>
      <c s="44" t="s">
        <v>128</v>
      </c>
    </row>
    <row>
      <c s="39" t="s">
        <v>155</v>
      </c>
      <c s="12" t="s">
        <v>95</v>
      </c>
      <c s="12" t="s">
        <v>336</v>
      </c>
      <c s="12" t="s">
        <v>243</v>
      </c>
      <c s="43">
        <v>1322</v>
      </c>
      <c s="44" t="s">
        <v>461</v>
      </c>
    </row>
    <row>
      <c s="39"/>
      <c s="12" t="s">
        <v>159</v>
      </c>
      <c s="12" t="s">
        <v>336</v>
      </c>
      <c s="12" t="s">
        <v>243</v>
      </c>
      <c s="43">
        <v>1013</v>
      </c>
      <c s="44" t="s">
        <v>128</v>
      </c>
    </row>
    <row>
      <c s="39"/>
      <c s="12" t="s">
        <v>273</v>
      </c>
      <c s="12" t="s">
        <v>336</v>
      </c>
      <c s="12" t="s">
        <v>243</v>
      </c>
      <c s="43">
        <v>257</v>
      </c>
      <c s="44" t="s">
        <v>128</v>
      </c>
    </row>
    <row>
      <c s="39"/>
      <c s="12" t="s">
        <v>60</v>
      </c>
      <c s="12" t="s">
        <v>336</v>
      </c>
      <c s="12" t="s">
        <v>243</v>
      </c>
      <c s="43">
        <v>52</v>
      </c>
      <c s="44" t="s">
        <v>128</v>
      </c>
    </row>
    <row>
      <c s="39" t="s">
        <v>35</v>
      </c>
      <c s="12" t="s">
        <v>95</v>
      </c>
      <c s="12" t="s">
        <v>336</v>
      </c>
      <c s="12" t="s">
        <v>243</v>
      </c>
      <c s="43">
        <v>1601</v>
      </c>
      <c s="44" t="s">
        <v>461</v>
      </c>
    </row>
    <row>
      <c s="39"/>
      <c s="12" t="s">
        <v>159</v>
      </c>
      <c s="12" t="s">
        <v>336</v>
      </c>
      <c s="12" t="s">
        <v>243</v>
      </c>
      <c s="43">
        <v>1208</v>
      </c>
      <c s="44" t="s">
        <v>128</v>
      </c>
    </row>
    <row>
      <c s="39"/>
      <c s="12" t="s">
        <v>273</v>
      </c>
      <c s="12" t="s">
        <v>336</v>
      </c>
      <c s="12" t="s">
        <v>243</v>
      </c>
      <c s="43">
        <v>330</v>
      </c>
      <c s="44" t="s">
        <v>128</v>
      </c>
    </row>
    <row>
      <c s="39"/>
      <c s="12" t="s">
        <v>60</v>
      </c>
      <c s="12" t="s">
        <v>336</v>
      </c>
      <c s="12" t="s">
        <v>243</v>
      </c>
      <c s="43">
        <v>63</v>
      </c>
      <c s="44" t="s">
        <v>128</v>
      </c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 s="28"/>
      <c s="2"/>
      <c s="2"/>
      <c s="2"/>
      <c s="2"/>
      <c s="2"/>
      <c s="2"/>
      <c s="2"/>
      <c s="2"/>
      <c s="2"/>
      <c s="1"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</sheetData>
  <mergeCells count="5">
    <mergeCell ref="A6:I6"/>
    <mergeCell ref="A7:I7"/>
    <mergeCell ref="A18:A21"/>
    <mergeCell ref="A22:A25"/>
    <mergeCell ref="A26:A29"/>
  </mergeCells>
  <pageMargins left="0.70866141732283472" right="0.70866141732283472" top="0.78740157480314965" bottom="0.78740157480314965" header="0.31496062992125984" footer="0.31496062992125984"/>
  <pageSetup paperSize="9" orientation="landscape"/>
  <headerFooter>
    <oddHeader>&amp;L&amp;"Tahoma,Standard"&amp;10unidata.gv.at&amp;R&amp;"Tahoma,Standard"&amp;10&amp;D</oddHeader>
    <oddFooter>&amp;R&amp;"Tahoma,Standard"&amp;10&amp;P/&amp;N</oddFooter>
  </headerFooter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A1:C729"/>
  <sheetViews>
    <sheetView topLeftCell="A223" workbookViewId="0"/>
  </sheetViews>
  <sheetFormatPr defaultColWidth="11.42578125" defaultRowHeight="15"/>
  <cols>
    <col min="1" max="1" width="21" bestFit="1" customWidth="1"/>
    <col min="2" max="2" width="13" bestFit="1" customWidth="1"/>
    <col min="3" max="3" width="14.42578125" bestFit="1" customWidth="1"/>
  </cols>
  <sheetData>
    <row ht="14.95">
      <c t="s">
        <v>160</v>
      </c>
      <c t="s">
        <v>335</v>
      </c>
      <c t="s">
        <v>370</v>
      </c>
    </row>
    <row ht="14.95">
      <c t="s">
        <v>308</v>
      </c>
      <c>
        <v>411</v>
      </c>
      <c>
        <v>4534</v>
      </c>
    </row>
    <row ht="14.95">
      <c t="s">
        <v>403</v>
      </c>
      <c>
        <v>411</v>
      </c>
      <c>
        <v>11593</v>
      </c>
    </row>
    <row ht="14.95">
      <c t="s">
        <v>5</v>
      </c>
      <c>
        <v>411</v>
      </c>
      <c>
        <v>16161</v>
      </c>
    </row>
    <row ht="14.95">
      <c t="s">
        <v>186</v>
      </c>
      <c>
        <v>411</v>
      </c>
      <c>
        <v>18652</v>
      </c>
    </row>
    <row ht="14.95">
      <c t="s">
        <v>96</v>
      </c>
      <c>
        <v>3651</v>
      </c>
      <c>
        <v>22693</v>
      </c>
    </row>
    <row ht="14.95">
      <c t="s">
        <v>187</v>
      </c>
      <c>
        <v>3651</v>
      </c>
      <c>
        <v>25580</v>
      </c>
    </row>
    <row ht="14.95">
      <c t="s">
        <v>274</v>
      </c>
      <c>
        <v>3651</v>
      </c>
      <c>
        <v>28440</v>
      </c>
    </row>
    <row ht="14.95">
      <c t="s">
        <v>372</v>
      </c>
      <c>
        <v>3651</v>
      </c>
      <c>
        <v>41060</v>
      </c>
    </row>
    <row ht="14.95">
      <c t="s">
        <v>463</v>
      </c>
      <c>
        <v>3651</v>
      </c>
      <c>
        <v>42879</v>
      </c>
    </row>
    <row ht="14.95">
      <c t="s">
        <v>65</v>
      </c>
      <c>
        <v>3651</v>
      </c>
      <c>
        <v>45005</v>
      </c>
    </row>
    <row ht="14.95">
      <c t="s">
        <v>161</v>
      </c>
      <c>
        <v>36510</v>
      </c>
      <c>
        <v>46667</v>
      </c>
    </row>
    <row ht="14.95">
      <c t="s">
        <v>249</v>
      </c>
      <c>
        <v>36510</v>
      </c>
      <c>
        <v>48928</v>
      </c>
    </row>
    <row ht="14.95">
      <c t="s">
        <v>337</v>
      </c>
      <c>
        <v>36510</v>
      </c>
      <c>
        <v>53450</v>
      </c>
    </row>
    <row ht="14.95">
      <c t="s">
        <v>36</v>
      </c>
      <c>
        <v>36510</v>
      </c>
      <c>
        <v>57767</v>
      </c>
    </row>
    <row ht="14.95">
      <c t="s">
        <v>433</v>
      </c>
      <c>
        <v>36510</v>
      </c>
      <c>
        <v>65513</v>
      </c>
    </row>
    <row ht="14.95">
      <c t="s">
        <v>59</v>
      </c>
      <c>
        <v>36510</v>
      </c>
      <c>
        <v>67823</v>
      </c>
    </row>
    <row ht="14.95">
      <c t="s">
        <v>154</v>
      </c>
      <c>
        <v>36510</v>
      </c>
      <c>
        <v>70283</v>
      </c>
    </row>
    <row ht="14.95">
      <c t="s">
        <v>242</v>
      </c>
      <c>
        <v>36510</v>
      </c>
      <c>
        <v>73762</v>
      </c>
    </row>
    <row ht="14.95">
      <c t="s">
        <v>332</v>
      </c>
      <c>
        <v>36510</v>
      </c>
      <c>
        <v>77167</v>
      </c>
    </row>
    <row ht="14.95">
      <c t="s">
        <v>338</v>
      </c>
      <c>
        <v>411</v>
      </c>
      <c>
        <v>4405</v>
      </c>
    </row>
    <row ht="14.95">
      <c t="s">
        <v>434</v>
      </c>
      <c>
        <v>411</v>
      </c>
      <c>
        <v>11977</v>
      </c>
    </row>
    <row ht="14.95">
      <c t="s">
        <v>37</v>
      </c>
      <c>
        <v>411</v>
      </c>
      <c>
        <v>16050</v>
      </c>
    </row>
    <row ht="14.95">
      <c t="s">
        <v>130</v>
      </c>
      <c>
        <v>3651</v>
      </c>
      <c>
        <v>22772</v>
      </c>
    </row>
    <row ht="14.95">
      <c t="s">
        <v>217</v>
      </c>
      <c>
        <v>3651</v>
      </c>
      <c>
        <v>25567</v>
      </c>
    </row>
    <row ht="14.95">
      <c t="s">
        <v>309</v>
      </c>
      <c>
        <v>3651</v>
      </c>
      <c>
        <v>28479</v>
      </c>
    </row>
    <row ht="14.95">
      <c t="s">
        <v>404</v>
      </c>
      <c>
        <v>3651</v>
      </c>
      <c>
        <v>41682</v>
      </c>
    </row>
    <row ht="14.95">
      <c t="s">
        <v>6</v>
      </c>
      <c>
        <v>3651</v>
      </c>
      <c>
        <v>42636</v>
      </c>
    </row>
    <row ht="14.95">
      <c t="s">
        <v>97</v>
      </c>
      <c>
        <v>3651</v>
      </c>
      <c>
        <v>44912</v>
      </c>
    </row>
    <row ht="14.95">
      <c t="s">
        <v>188</v>
      </c>
      <c>
        <v>36510</v>
      </c>
      <c>
        <v>46009</v>
      </c>
    </row>
    <row ht="14.95">
      <c t="s">
        <v>275</v>
      </c>
      <c>
        <v>36510</v>
      </c>
      <c>
        <v>51429</v>
      </c>
    </row>
    <row ht="14.95">
      <c t="s">
        <v>373</v>
      </c>
      <c>
        <v>36510</v>
      </c>
      <c>
        <v>53326</v>
      </c>
    </row>
    <row ht="14.95">
      <c t="s">
        <v>66</v>
      </c>
      <c>
        <v>36510</v>
      </c>
      <c>
        <v>59550</v>
      </c>
    </row>
    <row ht="14.95">
      <c t="s">
        <v>464</v>
      </c>
      <c>
        <v>36510</v>
      </c>
      <c>
        <v>65423</v>
      </c>
    </row>
    <row ht="14.95">
      <c t="s">
        <v>85</v>
      </c>
      <c>
        <v>36510</v>
      </c>
      <c>
        <v>68042</v>
      </c>
    </row>
    <row ht="14.95">
      <c t="s">
        <v>179</v>
      </c>
      <c>
        <v>36510</v>
      </c>
      <c>
        <v>70761</v>
      </c>
    </row>
    <row ht="14.95">
      <c t="s">
        <v>267</v>
      </c>
      <c>
        <v>36510</v>
      </c>
      <c>
        <v>73798</v>
      </c>
    </row>
    <row ht="14.95">
      <c t="s">
        <v>360</v>
      </c>
      <c>
        <v>36510</v>
      </c>
      <c>
        <v>77260</v>
      </c>
    </row>
    <row ht="14.95">
      <c t="s">
        <v>405</v>
      </c>
      <c>
        <v>411</v>
      </c>
      <c>
        <v>4397</v>
      </c>
    </row>
    <row ht="14.95">
      <c t="s">
        <v>7</v>
      </c>
      <c>
        <v>411</v>
      </c>
      <c>
        <v>11547</v>
      </c>
    </row>
    <row ht="14.95">
      <c t="s">
        <v>98</v>
      </c>
      <c>
        <v>411</v>
      </c>
      <c>
        <v>16100</v>
      </c>
    </row>
    <row ht="14.95">
      <c t="s">
        <v>276</v>
      </c>
      <c>
        <v>411</v>
      </c>
      <c>
        <v>18642</v>
      </c>
    </row>
    <row ht="14.95">
      <c t="s">
        <v>189</v>
      </c>
      <c>
        <v>3651</v>
      </c>
      <c>
        <v>22936</v>
      </c>
    </row>
    <row ht="14.95">
      <c t="s">
        <v>277</v>
      </c>
      <c>
        <v>3651</v>
      </c>
      <c>
        <v>24745</v>
      </c>
    </row>
    <row ht="14.95">
      <c t="s">
        <v>374</v>
      </c>
      <c>
        <v>3651</v>
      </c>
      <c>
        <v>28430</v>
      </c>
    </row>
    <row ht="14.95">
      <c t="s">
        <v>465</v>
      </c>
      <c>
        <v>3651</v>
      </c>
      <c>
        <v>41639</v>
      </c>
    </row>
    <row ht="14.95">
      <c t="s">
        <v>67</v>
      </c>
      <c>
        <v>3651</v>
      </c>
      <c>
        <v>43239</v>
      </c>
    </row>
    <row ht="14.95">
      <c t="s">
        <v>162</v>
      </c>
      <c>
        <v>3651</v>
      </c>
      <c>
        <v>44792</v>
      </c>
    </row>
    <row ht="14.95">
      <c t="s">
        <v>250</v>
      </c>
      <c>
        <v>36510</v>
      </c>
      <c>
        <v>46140</v>
      </c>
    </row>
    <row ht="14.95">
      <c t="s">
        <v>339</v>
      </c>
      <c>
        <v>36510</v>
      </c>
      <c>
        <v>49670</v>
      </c>
    </row>
    <row ht="14.95">
      <c t="s">
        <v>435</v>
      </c>
      <c>
        <v>36510</v>
      </c>
      <c>
        <v>53136</v>
      </c>
    </row>
    <row ht="14.95">
      <c t="s">
        <v>131</v>
      </c>
      <c>
        <v>36510</v>
      </c>
      <c>
        <v>60986</v>
      </c>
    </row>
    <row ht="14.95">
      <c t="s">
        <v>38</v>
      </c>
      <c>
        <v>36510</v>
      </c>
      <c>
        <v>65009</v>
      </c>
    </row>
    <row ht="14.95">
      <c t="s">
        <v>152</v>
      </c>
      <c>
        <v>36510</v>
      </c>
      <c>
        <v>67566</v>
      </c>
    </row>
    <row ht="14.95">
      <c t="s">
        <v>240</v>
      </c>
      <c>
        <v>36510</v>
      </c>
      <c>
        <v>70203</v>
      </c>
    </row>
    <row ht="14.95">
      <c t="s">
        <v>330</v>
      </c>
      <c>
        <v>36510</v>
      </c>
      <c>
        <v>73487</v>
      </c>
    </row>
    <row ht="14.95">
      <c t="s">
        <v>428</v>
      </c>
      <c>
        <v>36510</v>
      </c>
      <c>
        <v>76893</v>
      </c>
    </row>
    <row ht="14.95">
      <c t="s">
        <v>466</v>
      </c>
      <c>
        <v>411</v>
      </c>
      <c>
        <v>5329</v>
      </c>
    </row>
    <row ht="14.95">
      <c t="s">
        <v>68</v>
      </c>
      <c>
        <v>411</v>
      </c>
      <c>
        <v>13345</v>
      </c>
    </row>
    <row ht="14.95">
      <c t="s">
        <v>163</v>
      </c>
      <c>
        <v>411</v>
      </c>
      <c>
        <v>16257</v>
      </c>
    </row>
    <row ht="14.95">
      <c t="s">
        <v>340</v>
      </c>
      <c>
        <v>411</v>
      </c>
      <c>
        <v>18972</v>
      </c>
    </row>
    <row ht="14.95">
      <c t="s">
        <v>251</v>
      </c>
      <c>
        <v>3651</v>
      </c>
      <c>
        <v>22835</v>
      </c>
    </row>
    <row ht="14.95">
      <c t="s">
        <v>341</v>
      </c>
      <c>
        <v>3651</v>
      </c>
      <c>
        <v>25838</v>
      </c>
    </row>
    <row ht="14.95">
      <c t="s">
        <v>406</v>
      </c>
      <c>
        <v>3651</v>
      </c>
      <c>
        <v>28517</v>
      </c>
    </row>
    <row ht="14.95">
      <c t="s">
        <v>8</v>
      </c>
      <c>
        <v>3651</v>
      </c>
      <c>
        <v>41495</v>
      </c>
    </row>
    <row ht="14.95">
      <c t="s">
        <v>99</v>
      </c>
      <c>
        <v>3651</v>
      </c>
      <c>
        <v>43363</v>
      </c>
    </row>
    <row ht="14.95">
      <c t="s">
        <v>190</v>
      </c>
      <c>
        <v>3651</v>
      </c>
      <c>
        <v>44928</v>
      </c>
    </row>
    <row ht="14.95">
      <c t="s">
        <v>278</v>
      </c>
      <c>
        <v>36510</v>
      </c>
      <c>
        <v>45866</v>
      </c>
    </row>
    <row ht="14.95">
      <c t="s">
        <v>375</v>
      </c>
      <c>
        <v>36510</v>
      </c>
      <c>
        <v>50665</v>
      </c>
    </row>
    <row ht="14.95">
      <c t="s">
        <v>467</v>
      </c>
      <c>
        <v>36510</v>
      </c>
      <c>
        <v>52584</v>
      </c>
    </row>
    <row ht="14.95">
      <c t="s">
        <v>164</v>
      </c>
      <c>
        <v>36510</v>
      </c>
      <c>
        <v>59449</v>
      </c>
    </row>
    <row ht="14.95">
      <c t="s">
        <v>69</v>
      </c>
      <c>
        <v>36510</v>
      </c>
      <c>
        <v>65274</v>
      </c>
    </row>
    <row ht="14.95">
      <c t="s">
        <v>177</v>
      </c>
      <c>
        <v>36510</v>
      </c>
      <c>
        <v>67959</v>
      </c>
    </row>
    <row ht="14.95">
      <c t="s">
        <v>265</v>
      </c>
      <c>
        <v>36510</v>
      </c>
      <c>
        <v>70255</v>
      </c>
    </row>
    <row ht="14.95">
      <c t="s">
        <v>357</v>
      </c>
      <c>
        <v>36510</v>
      </c>
      <c>
        <v>73574</v>
      </c>
    </row>
    <row ht="14.95">
      <c t="s">
        <v>455</v>
      </c>
      <c>
        <v>36510</v>
      </c>
      <c>
        <v>76936</v>
      </c>
    </row>
    <row ht="14.95">
      <c t="s">
        <v>9</v>
      </c>
      <c>
        <v>411</v>
      </c>
      <c>
        <v>4477</v>
      </c>
    </row>
    <row ht="14.95">
      <c t="s">
        <v>100</v>
      </c>
      <c>
        <v>411</v>
      </c>
      <c>
        <v>14237</v>
      </c>
    </row>
    <row ht="14.95">
      <c t="s">
        <v>191</v>
      </c>
      <c>
        <v>411</v>
      </c>
      <c>
        <v>16029</v>
      </c>
    </row>
    <row ht="14.95">
      <c t="s">
        <v>376</v>
      </c>
      <c>
        <v>411</v>
      </c>
      <c>
        <v>19095</v>
      </c>
    </row>
    <row ht="14.95">
      <c t="s">
        <v>279</v>
      </c>
      <c>
        <v>3651</v>
      </c>
      <c>
        <v>22236</v>
      </c>
    </row>
    <row ht="14.95">
      <c t="s">
        <v>377</v>
      </c>
      <c>
        <v>3651</v>
      </c>
      <c>
        <v>24955</v>
      </c>
    </row>
    <row ht="14.95">
      <c t="s">
        <v>468</v>
      </c>
      <c>
        <v>3651</v>
      </c>
      <c>
        <v>28412</v>
      </c>
    </row>
    <row ht="14.95">
      <c t="s">
        <v>70</v>
      </c>
      <c>
        <v>3651</v>
      </c>
      <c>
        <v>41399</v>
      </c>
    </row>
    <row ht="14.95">
      <c t="s">
        <v>165</v>
      </c>
      <c>
        <v>3651</v>
      </c>
      <c>
        <v>42336</v>
      </c>
    </row>
    <row ht="14.95">
      <c t="s">
        <v>252</v>
      </c>
      <c>
        <v>3651</v>
      </c>
      <c>
        <v>44957</v>
      </c>
    </row>
    <row ht="14.95">
      <c t="s">
        <v>342</v>
      </c>
      <c>
        <v>36510</v>
      </c>
      <c>
        <v>45970</v>
      </c>
    </row>
    <row ht="14.95">
      <c t="s">
        <v>436</v>
      </c>
      <c>
        <v>36510</v>
      </c>
      <c>
        <v>50967</v>
      </c>
    </row>
    <row ht="14.95">
      <c t="s">
        <v>39</v>
      </c>
      <c>
        <v>36510</v>
      </c>
      <c>
        <v>55111</v>
      </c>
    </row>
    <row ht="14.95">
      <c t="s">
        <v>218</v>
      </c>
      <c>
        <v>36510</v>
      </c>
      <c>
        <v>59578</v>
      </c>
    </row>
    <row ht="14.95">
      <c t="s">
        <v>132</v>
      </c>
      <c>
        <v>36510</v>
      </c>
      <c>
        <v>65401</v>
      </c>
    </row>
    <row ht="14.95">
      <c t="s">
        <v>237</v>
      </c>
      <c>
        <v>36510</v>
      </c>
      <c>
        <v>68000</v>
      </c>
    </row>
    <row ht="14.95">
      <c t="s">
        <v>328</v>
      </c>
      <c>
        <v>36510</v>
      </c>
      <c>
        <v>70693</v>
      </c>
    </row>
    <row ht="14.95">
      <c t="s">
        <v>426</v>
      </c>
      <c>
        <v>36510</v>
      </c>
      <c>
        <v>73768</v>
      </c>
    </row>
    <row ht="14.95">
      <c t="s">
        <v>29</v>
      </c>
      <c>
        <v>36510</v>
      </c>
      <c>
        <v>77203</v>
      </c>
    </row>
    <row ht="14.95">
      <c t="s">
        <v>71</v>
      </c>
      <c>
        <v>411</v>
      </c>
      <c>
        <v>4009</v>
      </c>
    </row>
    <row ht="14.95">
      <c t="s">
        <v>166</v>
      </c>
      <c>
        <v>411</v>
      </c>
      <c>
        <v>11075</v>
      </c>
    </row>
    <row ht="14.95">
      <c t="s">
        <v>253</v>
      </c>
      <c>
        <v>411</v>
      </c>
      <c>
        <v>15895</v>
      </c>
    </row>
    <row ht="14.95">
      <c t="s">
        <v>437</v>
      </c>
      <c>
        <v>411</v>
      </c>
      <c>
        <v>18521</v>
      </c>
    </row>
    <row ht="14.95">
      <c t="s">
        <v>343</v>
      </c>
      <c>
        <v>3651</v>
      </c>
      <c>
        <v>22663</v>
      </c>
    </row>
    <row ht="14.95">
      <c t="s">
        <v>438</v>
      </c>
      <c>
        <v>3651</v>
      </c>
      <c>
        <v>24813</v>
      </c>
    </row>
    <row ht="14.95">
      <c t="s">
        <v>40</v>
      </c>
      <c>
        <v>3651</v>
      </c>
      <c>
        <v>28205</v>
      </c>
    </row>
    <row ht="14.95">
      <c t="s">
        <v>133</v>
      </c>
      <c>
        <v>3651</v>
      </c>
      <c>
        <v>40829</v>
      </c>
    </row>
    <row ht="14.95">
      <c t="s">
        <v>219</v>
      </c>
      <c>
        <v>3651</v>
      </c>
      <c>
        <v>42731</v>
      </c>
    </row>
    <row ht="14.95">
      <c t="s">
        <v>310</v>
      </c>
      <c>
        <v>3651</v>
      </c>
      <c>
        <v>44035</v>
      </c>
    </row>
    <row ht="14.95">
      <c t="s">
        <v>407</v>
      </c>
      <c>
        <v>36510</v>
      </c>
      <c>
        <v>45846</v>
      </c>
    </row>
    <row ht="14.95">
      <c t="s">
        <v>10</v>
      </c>
      <c>
        <v>36510</v>
      </c>
      <c>
        <v>49165</v>
      </c>
    </row>
    <row ht="14.95">
      <c t="s">
        <v>101</v>
      </c>
      <c>
        <v>36510</v>
      </c>
      <c>
        <v>53305</v>
      </c>
    </row>
    <row ht="14.95">
      <c t="s">
        <v>280</v>
      </c>
      <c>
        <v>36510</v>
      </c>
      <c>
        <v>59678</v>
      </c>
    </row>
    <row ht="14.95">
      <c t="s">
        <v>192</v>
      </c>
      <c>
        <v>36510</v>
      </c>
      <c>
        <v>65237</v>
      </c>
    </row>
    <row ht="14.95">
      <c t="s">
        <v>299</v>
      </c>
      <c>
        <v>36510</v>
      </c>
      <c>
        <v>67698</v>
      </c>
    </row>
    <row ht="14.95">
      <c t="s">
        <v>397</v>
      </c>
      <c>
        <v>36510</v>
      </c>
      <c>
        <v>70326</v>
      </c>
    </row>
    <row ht="14.95">
      <c t="s">
        <v>487</v>
      </c>
      <c>
        <v>36510</v>
      </c>
      <c>
        <v>73597</v>
      </c>
    </row>
    <row ht="14.95">
      <c t="s">
        <v>91</v>
      </c>
      <c>
        <v>36510</v>
      </c>
      <c>
        <v>77056</v>
      </c>
    </row>
    <row ht="14.95">
      <c t="s">
        <v>102</v>
      </c>
      <c>
        <v>411</v>
      </c>
      <c>
        <v>13374</v>
      </c>
    </row>
    <row ht="14.95">
      <c t="s">
        <v>193</v>
      </c>
      <c>
        <v>411</v>
      </c>
      <c>
        <v>11540</v>
      </c>
    </row>
    <row ht="14.95">
      <c t="s">
        <v>281</v>
      </c>
      <c>
        <v>411</v>
      </c>
      <c>
        <v>16143</v>
      </c>
    </row>
    <row ht="14.95">
      <c t="s">
        <v>469</v>
      </c>
      <c>
        <v>411</v>
      </c>
      <c>
        <v>18627</v>
      </c>
    </row>
    <row ht="14.95">
      <c t="s">
        <v>378</v>
      </c>
      <c>
        <v>3651</v>
      </c>
      <c>
        <v>22957</v>
      </c>
    </row>
    <row ht="14.95">
      <c t="s">
        <v>470</v>
      </c>
      <c>
        <v>3651</v>
      </c>
      <c>
        <v>25074</v>
      </c>
    </row>
    <row ht="14.95">
      <c t="s">
        <v>72</v>
      </c>
      <c>
        <v>3651</v>
      </c>
      <c>
        <v>28487</v>
      </c>
    </row>
    <row ht="14.95">
      <c t="s">
        <v>167</v>
      </c>
      <c>
        <v>3651</v>
      </c>
      <c>
        <v>41211</v>
      </c>
    </row>
    <row ht="14.95">
      <c t="s">
        <v>254</v>
      </c>
      <c>
        <v>3651</v>
      </c>
      <c>
        <v>43498</v>
      </c>
    </row>
    <row ht="14.95">
      <c t="s">
        <v>344</v>
      </c>
      <c>
        <v>3651</v>
      </c>
      <c>
        <v>44435</v>
      </c>
    </row>
    <row ht="14.95">
      <c t="s">
        <v>439</v>
      </c>
      <c>
        <v>36510</v>
      </c>
      <c>
        <v>46613</v>
      </c>
    </row>
    <row ht="14.95">
      <c t="s">
        <v>41</v>
      </c>
      <c>
        <v>36510</v>
      </c>
      <c>
        <v>48654</v>
      </c>
    </row>
    <row ht="14.95">
      <c t="s">
        <v>134</v>
      </c>
      <c>
        <v>36510</v>
      </c>
      <c>
        <v>53810</v>
      </c>
    </row>
    <row ht="14.95">
      <c t="s">
        <v>311</v>
      </c>
      <c>
        <v>36510</v>
      </c>
      <c>
        <v>59655</v>
      </c>
    </row>
    <row ht="14.95">
      <c t="s">
        <v>220</v>
      </c>
      <c>
        <v>36510</v>
      </c>
      <c>
        <v>65368</v>
      </c>
    </row>
    <row ht="14.95">
      <c t="s">
        <v>326</v>
      </c>
      <c>
        <v>36510</v>
      </c>
      <c>
        <v>67720</v>
      </c>
    </row>
    <row ht="14.95">
      <c t="s">
        <v>424</v>
      </c>
      <c>
        <v>36510</v>
      </c>
      <c>
        <v>70789</v>
      </c>
    </row>
    <row ht="14.95">
      <c t="s">
        <v>27</v>
      </c>
      <c>
        <v>36510</v>
      </c>
      <c>
        <v>73972</v>
      </c>
    </row>
    <row ht="14.95">
      <c t="s">
        <v>121</v>
      </c>
      <c>
        <v>36510</v>
      </c>
      <c>
        <v>77384</v>
      </c>
    </row>
    <row ht="14.95">
      <c t="s">
        <v>168</v>
      </c>
      <c>
        <v>411</v>
      </c>
      <c>
        <v>4380</v>
      </c>
    </row>
    <row ht="14.95">
      <c t="s">
        <v>255</v>
      </c>
      <c>
        <v>411</v>
      </c>
      <c>
        <v>12646</v>
      </c>
    </row>
    <row ht="14.95">
      <c t="s">
        <v>345</v>
      </c>
      <c>
        <v>411</v>
      </c>
      <c>
        <v>15955</v>
      </c>
    </row>
    <row ht="14.95">
      <c t="s">
        <v>42</v>
      </c>
      <c>
        <v>411</v>
      </c>
      <c>
        <v>18600</v>
      </c>
    </row>
    <row ht="14.95">
      <c t="s">
        <v>440</v>
      </c>
      <c>
        <v>3651</v>
      </c>
      <c>
        <v>21360</v>
      </c>
    </row>
    <row ht="14.95">
      <c t="s">
        <v>43</v>
      </c>
      <c>
        <v>3651</v>
      </c>
      <c>
        <v>24882</v>
      </c>
    </row>
    <row ht="14.95">
      <c t="s">
        <v>135</v>
      </c>
      <c>
        <v>3651</v>
      </c>
      <c>
        <v>28283</v>
      </c>
    </row>
    <row ht="14.95">
      <c t="s">
        <v>221</v>
      </c>
      <c>
        <v>3651</v>
      </c>
      <c>
        <v>41230</v>
      </c>
    </row>
    <row ht="14.95">
      <c t="s">
        <v>312</v>
      </c>
      <c>
        <v>3651</v>
      </c>
      <c>
        <v>43460</v>
      </c>
    </row>
    <row ht="14.95">
      <c t="s">
        <v>408</v>
      </c>
      <c>
        <v>3651</v>
      </c>
      <c>
        <v>44662</v>
      </c>
    </row>
    <row ht="14.95">
      <c t="s">
        <v>11</v>
      </c>
      <c>
        <v>36510</v>
      </c>
      <c>
        <v>46190</v>
      </c>
    </row>
    <row ht="14.95">
      <c t="s">
        <v>103</v>
      </c>
      <c>
        <v>36510</v>
      </c>
      <c>
        <v>47708</v>
      </c>
    </row>
    <row ht="14.95">
      <c t="s">
        <v>194</v>
      </c>
      <c>
        <v>36510</v>
      </c>
      <c>
        <v>52930</v>
      </c>
    </row>
    <row ht="14.95">
      <c t="s">
        <v>379</v>
      </c>
      <c>
        <v>36510</v>
      </c>
      <c>
        <v>60385</v>
      </c>
    </row>
    <row ht="14.95">
      <c t="s">
        <v>282</v>
      </c>
      <c>
        <v>36510</v>
      </c>
      <c>
        <v>65594</v>
      </c>
    </row>
    <row ht="14.95">
      <c t="s">
        <v>395</v>
      </c>
      <c>
        <v>36510</v>
      </c>
      <c>
        <v>68210</v>
      </c>
    </row>
    <row ht="14.95">
      <c t="s">
        <v>486</v>
      </c>
      <c>
        <v>36510</v>
      </c>
      <c>
        <v>70678</v>
      </c>
    </row>
    <row ht="14.95">
      <c t="s">
        <v>90</v>
      </c>
      <c>
        <v>36510</v>
      </c>
      <c>
        <v>74297</v>
      </c>
    </row>
    <row ht="14.95">
      <c t="s">
        <v>184</v>
      </c>
      <c>
        <v>36510</v>
      </c>
      <c>
        <v>76735</v>
      </c>
    </row>
    <row ht="14.95">
      <c t="s">
        <v>195</v>
      </c>
      <c>
        <v>411</v>
      </c>
      <c>
        <v>13498</v>
      </c>
    </row>
    <row ht="14.95">
      <c t="s">
        <v>283</v>
      </c>
      <c>
        <v>411</v>
      </c>
      <c>
        <v>12774</v>
      </c>
    </row>
    <row ht="14.95">
      <c t="s">
        <v>380</v>
      </c>
      <c>
        <v>411</v>
      </c>
      <c>
        <v>16177</v>
      </c>
    </row>
    <row ht="14.95">
      <c t="s">
        <v>73</v>
      </c>
      <c>
        <v>411</v>
      </c>
      <c>
        <v>19857</v>
      </c>
    </row>
    <row ht="14.95">
      <c t="s">
        <v>471</v>
      </c>
      <c>
        <v>3651</v>
      </c>
      <c>
        <v>21569</v>
      </c>
    </row>
    <row ht="14.95">
      <c t="s">
        <v>74</v>
      </c>
      <c>
        <v>3651</v>
      </c>
      <c>
        <v>24824</v>
      </c>
    </row>
    <row ht="14.95">
      <c t="s">
        <v>169</v>
      </c>
      <c>
        <v>3651</v>
      </c>
      <c>
        <v>28308</v>
      </c>
    </row>
    <row ht="14.95">
      <c t="s">
        <v>256</v>
      </c>
      <c>
        <v>3651</v>
      </c>
      <c>
        <v>40756</v>
      </c>
    </row>
    <row ht="14.95">
      <c t="s">
        <v>346</v>
      </c>
      <c>
        <v>3651</v>
      </c>
      <c>
        <v>43318</v>
      </c>
    </row>
    <row ht="14.95">
      <c t="s">
        <v>441</v>
      </c>
      <c>
        <v>3651</v>
      </c>
      <c>
        <v>44970</v>
      </c>
    </row>
    <row ht="14.95">
      <c t="s">
        <v>44</v>
      </c>
      <c>
        <v>36510</v>
      </c>
      <c>
        <v>45566</v>
      </c>
    </row>
    <row ht="14.95">
      <c t="s">
        <v>136</v>
      </c>
      <c>
        <v>36510</v>
      </c>
      <c>
        <v>48203</v>
      </c>
    </row>
    <row ht="14.95">
      <c t="s">
        <v>222</v>
      </c>
      <c>
        <v>36510</v>
      </c>
      <c>
        <v>52186</v>
      </c>
    </row>
    <row ht="14.95">
      <c t="s">
        <v>409</v>
      </c>
      <c>
        <v>36510</v>
      </c>
      <c>
        <v>56959</v>
      </c>
    </row>
    <row ht="14.95">
      <c t="s">
        <v>313</v>
      </c>
      <c>
        <v>36510</v>
      </c>
      <c>
        <v>64969</v>
      </c>
    </row>
    <row ht="14.95">
      <c t="s">
        <v>422</v>
      </c>
      <c>
        <v>36510</v>
      </c>
      <c>
        <v>67665</v>
      </c>
    </row>
    <row ht="14.95">
      <c t="s">
        <v>25</v>
      </c>
      <c>
        <v>36510</v>
      </c>
      <c>
        <v>70350</v>
      </c>
    </row>
    <row ht="14.95">
      <c t="s">
        <v>119</v>
      </c>
      <c>
        <v>36510</v>
      </c>
      <c>
        <v>73267</v>
      </c>
    </row>
    <row ht="14.95">
      <c t="s">
        <v>211</v>
      </c>
      <c>
        <v>36510</v>
      </c>
      <c>
        <v>77083</v>
      </c>
    </row>
    <row ht="14.95">
      <c t="s">
        <v>257</v>
      </c>
      <c>
        <v>411</v>
      </c>
      <c>
        <v>3563</v>
      </c>
    </row>
    <row ht="14.95">
      <c t="s">
        <v>347</v>
      </c>
      <c>
        <v>411</v>
      </c>
      <c>
        <v>17512</v>
      </c>
    </row>
    <row ht="14.95">
      <c t="s">
        <v>442</v>
      </c>
      <c>
        <v>411</v>
      </c>
      <c>
        <v>16061</v>
      </c>
    </row>
    <row ht="14.95">
      <c t="s">
        <v>137</v>
      </c>
      <c>
        <v>411</v>
      </c>
      <c>
        <v>18571</v>
      </c>
    </row>
    <row ht="14.95">
      <c t="s">
        <v>45</v>
      </c>
      <c>
        <v>3651</v>
      </c>
      <c>
        <v>22028</v>
      </c>
    </row>
    <row ht="14.95">
      <c t="s">
        <v>138</v>
      </c>
      <c>
        <v>3651</v>
      </c>
      <c>
        <v>25675</v>
      </c>
    </row>
    <row ht="14.95">
      <c t="s">
        <v>223</v>
      </c>
      <c>
        <v>3651</v>
      </c>
      <c>
        <v>28301</v>
      </c>
    </row>
    <row ht="14.95">
      <c t="s">
        <v>314</v>
      </c>
      <c>
        <v>3651</v>
      </c>
      <c>
        <v>40927</v>
      </c>
    </row>
    <row ht="14.95">
      <c t="s">
        <v>410</v>
      </c>
      <c>
        <v>3651</v>
      </c>
      <c>
        <v>42426</v>
      </c>
    </row>
    <row ht="14.95">
      <c t="s">
        <v>12</v>
      </c>
      <c>
        <v>3651</v>
      </c>
      <c>
        <v>44874</v>
      </c>
    </row>
    <row ht="14.95">
      <c t="s">
        <v>104</v>
      </c>
      <c>
        <v>36510</v>
      </c>
      <c>
        <v>46005</v>
      </c>
    </row>
    <row ht="14.95">
      <c t="s">
        <v>196</v>
      </c>
      <c>
        <v>36510</v>
      </c>
      <c>
        <v>49273</v>
      </c>
    </row>
    <row ht="14.95">
      <c t="s">
        <v>284</v>
      </c>
      <c>
        <v>36510</v>
      </c>
      <c>
        <v>52365</v>
      </c>
    </row>
    <row ht="14.95">
      <c t="s">
        <v>472</v>
      </c>
      <c>
        <v>36510</v>
      </c>
      <c>
        <v>59529</v>
      </c>
    </row>
    <row ht="14.95">
      <c t="s">
        <v>381</v>
      </c>
      <c>
        <v>36510</v>
      </c>
      <c>
        <v>65227</v>
      </c>
    </row>
    <row ht="14.95">
      <c t="s">
        <v>484</v>
      </c>
      <c>
        <v>36510</v>
      </c>
      <c>
        <v>67689</v>
      </c>
    </row>
    <row ht="14.95">
      <c t="s">
        <v>88</v>
      </c>
      <c>
        <v>36510</v>
      </c>
      <c>
        <v>70929</v>
      </c>
    </row>
    <row ht="14.95">
      <c t="s">
        <v>182</v>
      </c>
      <c>
        <v>36510</v>
      </c>
      <c>
        <v>73795</v>
      </c>
    </row>
    <row ht="14.95">
      <c t="s">
        <v>270</v>
      </c>
      <c>
        <v>36510</v>
      </c>
      <c>
        <v>77141</v>
      </c>
    </row>
    <row ht="14.95">
      <c t="s">
        <v>105</v>
      </c>
      <c>
        <v>3651</v>
      </c>
      <c>
        <v>21469</v>
      </c>
    </row>
    <row ht="14.95">
      <c t="s">
        <v>197</v>
      </c>
      <c>
        <v>3651</v>
      </c>
      <c>
        <v>24828</v>
      </c>
    </row>
    <row ht="14.95">
      <c t="s">
        <v>285</v>
      </c>
      <c>
        <v>3651</v>
      </c>
      <c>
        <v>28171</v>
      </c>
    </row>
    <row ht="14.95">
      <c t="s">
        <v>382</v>
      </c>
      <c>
        <v>3651</v>
      </c>
      <c>
        <v>40750</v>
      </c>
    </row>
    <row ht="14.95">
      <c t="s">
        <v>473</v>
      </c>
      <c>
        <v>3651</v>
      </c>
      <c>
        <v>42337</v>
      </c>
    </row>
    <row ht="14.95">
      <c t="s">
        <v>75</v>
      </c>
      <c>
        <v>3651</v>
      </c>
      <c>
        <v>45018</v>
      </c>
    </row>
    <row ht="14.95">
      <c t="s">
        <v>139</v>
      </c>
      <c>
        <v>36510</v>
      </c>
      <c>
        <v>46721</v>
      </c>
    </row>
    <row ht="14.95">
      <c t="s">
        <v>224</v>
      </c>
      <c>
        <v>36510</v>
      </c>
      <c>
        <v>50695</v>
      </c>
    </row>
    <row ht="14.95">
      <c t="s">
        <v>315</v>
      </c>
      <c>
        <v>36510</v>
      </c>
      <c>
        <v>54790</v>
      </c>
    </row>
    <row ht="14.95">
      <c t="s">
        <v>46</v>
      </c>
      <c>
        <v>36510</v>
      </c>
      <c>
        <v>57225</v>
      </c>
    </row>
    <row ht="14.95">
      <c t="s">
        <v>411</v>
      </c>
      <c>
        <v>36510</v>
      </c>
      <c>
        <v>64988</v>
      </c>
    </row>
    <row ht="14.95">
      <c t="s">
        <v>23</v>
      </c>
      <c>
        <v>36510</v>
      </c>
      <c>
        <v>67555</v>
      </c>
    </row>
    <row ht="14.95">
      <c t="s">
        <v>117</v>
      </c>
      <c>
        <v>36510</v>
      </c>
      <c>
        <v>69976</v>
      </c>
    </row>
    <row ht="14.95">
      <c t="s">
        <v>209</v>
      </c>
      <c>
        <v>36510</v>
      </c>
      <c>
        <v>73392</v>
      </c>
    </row>
    <row ht="14.95">
      <c t="s">
        <v>301</v>
      </c>
      <c>
        <v>36510</v>
      </c>
      <c>
        <v>76837</v>
      </c>
    </row>
    <row ht="14.95">
      <c t="s">
        <v>348</v>
      </c>
      <c>
        <v>411</v>
      </c>
      <c>
        <v>5453</v>
      </c>
    </row>
    <row ht="14.95">
      <c t="s">
        <v>443</v>
      </c>
      <c>
        <v>411</v>
      </c>
      <c>
        <v>11663</v>
      </c>
    </row>
    <row ht="14.95">
      <c t="s">
        <v>47</v>
      </c>
      <c>
        <v>411</v>
      </c>
      <c>
        <v>16008</v>
      </c>
    </row>
    <row ht="14.95">
      <c t="s">
        <v>225</v>
      </c>
      <c>
        <v>411</v>
      </c>
      <c>
        <v>18710</v>
      </c>
    </row>
    <row ht="14.95">
      <c t="s">
        <v>140</v>
      </c>
      <c>
        <v>3651</v>
      </c>
      <c>
        <v>21905</v>
      </c>
    </row>
    <row ht="14.95">
      <c t="s">
        <v>226</v>
      </c>
      <c>
        <v>3651</v>
      </c>
      <c>
        <v>25741</v>
      </c>
    </row>
    <row ht="14.95">
      <c t="s">
        <v>316</v>
      </c>
      <c>
        <v>3651</v>
      </c>
      <c>
        <v>28576</v>
      </c>
    </row>
    <row ht="14.95">
      <c t="s">
        <v>412</v>
      </c>
      <c>
        <v>3651</v>
      </c>
      <c>
        <v>41241</v>
      </c>
    </row>
    <row ht="14.95">
      <c t="s">
        <v>13</v>
      </c>
      <c>
        <v>3651</v>
      </c>
      <c>
        <v>42814</v>
      </c>
    </row>
    <row ht="14.95">
      <c t="s">
        <v>106</v>
      </c>
      <c>
        <v>3651</v>
      </c>
      <c>
        <v>45054</v>
      </c>
    </row>
    <row ht="14.95">
      <c t="s">
        <v>198</v>
      </c>
      <c>
        <v>36510</v>
      </c>
      <c>
        <v>46698</v>
      </c>
    </row>
    <row ht="14.95">
      <c t="s">
        <v>286</v>
      </c>
      <c>
        <v>36510</v>
      </c>
      <c>
        <v>49492</v>
      </c>
    </row>
    <row ht="14.95">
      <c t="s">
        <v>383</v>
      </c>
      <c>
        <v>36510</v>
      </c>
      <c>
        <v>53545</v>
      </c>
    </row>
    <row ht="14.95">
      <c t="s">
        <v>76</v>
      </c>
      <c>
        <v>36510</v>
      </c>
      <c>
        <v>60026</v>
      </c>
    </row>
    <row ht="14.95">
      <c t="s">
        <v>474</v>
      </c>
      <c>
        <v>36510</v>
      </c>
      <c>
        <v>65412</v>
      </c>
    </row>
    <row ht="14.95">
      <c t="s">
        <v>86</v>
      </c>
      <c>
        <v>36510</v>
      </c>
      <c>
        <v>68417</v>
      </c>
    </row>
    <row ht="14.95">
      <c t="s">
        <v>180</v>
      </c>
      <c>
        <v>36510</v>
      </c>
      <c>
        <v>70806</v>
      </c>
    </row>
    <row ht="14.95">
      <c t="s">
        <v>268</v>
      </c>
      <c>
        <v>36510</v>
      </c>
      <c>
        <v>73710</v>
      </c>
    </row>
    <row ht="14.95">
      <c t="s">
        <v>361</v>
      </c>
      <c>
        <v>36510</v>
      </c>
      <c>
        <v>77115</v>
      </c>
    </row>
    <row ht="14.95">
      <c t="s">
        <v>413</v>
      </c>
      <c>
        <v>411</v>
      </c>
      <c>
        <v>6332</v>
      </c>
    </row>
    <row ht="14.95">
      <c t="s">
        <v>14</v>
      </c>
      <c>
        <v>411</v>
      </c>
      <c>
        <v>12660</v>
      </c>
    </row>
    <row ht="14.95">
      <c t="s">
        <v>107</v>
      </c>
      <c>
        <v>411</v>
      </c>
      <c>
        <v>16686</v>
      </c>
    </row>
    <row ht="14.95">
      <c t="s">
        <v>287</v>
      </c>
      <c>
        <v>411</v>
      </c>
      <c>
        <v>19144</v>
      </c>
    </row>
    <row ht="14.95">
      <c t="s">
        <v>199</v>
      </c>
      <c>
        <v>3651</v>
      </c>
      <c>
        <v>21676</v>
      </c>
    </row>
    <row ht="14.95">
      <c t="s">
        <v>288</v>
      </c>
      <c>
        <v>3651</v>
      </c>
      <c>
        <v>25127</v>
      </c>
    </row>
    <row ht="14.95">
      <c t="s">
        <v>384</v>
      </c>
      <c>
        <v>3651</v>
      </c>
      <c>
        <v>29024</v>
      </c>
    </row>
    <row ht="14.95">
      <c t="s">
        <v>475</v>
      </c>
      <c>
        <v>3651</v>
      </c>
      <c>
        <v>40839</v>
      </c>
    </row>
    <row ht="14.95">
      <c t="s">
        <v>77</v>
      </c>
      <c>
        <v>3651</v>
      </c>
      <c>
        <v>42571</v>
      </c>
    </row>
    <row ht="14.95">
      <c t="s">
        <v>170</v>
      </c>
      <c>
        <v>3651</v>
      </c>
      <c>
        <v>44259</v>
      </c>
    </row>
    <row ht="14.95">
      <c t="s">
        <v>258</v>
      </c>
      <c>
        <v>36510</v>
      </c>
      <c>
        <v>45831</v>
      </c>
    </row>
    <row ht="14.95">
      <c t="s">
        <v>349</v>
      </c>
      <c>
        <v>36510</v>
      </c>
      <c>
        <v>49311</v>
      </c>
    </row>
    <row ht="14.95">
      <c t="s">
        <v>444</v>
      </c>
      <c>
        <v>36510</v>
      </c>
      <c>
        <v>52901</v>
      </c>
    </row>
    <row ht="14.95">
      <c t="s">
        <v>141</v>
      </c>
      <c>
        <v>36510</v>
      </c>
      <c>
        <v>59151</v>
      </c>
    </row>
    <row ht="14.95">
      <c t="s">
        <v>48</v>
      </c>
      <c>
        <v>36510</v>
      </c>
      <c>
        <v>65123</v>
      </c>
    </row>
    <row ht="14.95">
      <c t="s">
        <v>153</v>
      </c>
      <c>
        <v>36510</v>
      </c>
      <c>
        <v>67611</v>
      </c>
    </row>
    <row ht="14.95">
      <c t="s">
        <v>241</v>
      </c>
      <c>
        <v>36510</v>
      </c>
      <c>
        <v>70728</v>
      </c>
    </row>
    <row ht="14.95">
      <c t="s">
        <v>331</v>
      </c>
      <c>
        <v>36510</v>
      </c>
      <c>
        <v>73693</v>
      </c>
    </row>
    <row ht="14.95">
      <c t="s">
        <v>429</v>
      </c>
      <c>
        <v>36510</v>
      </c>
      <c>
        <v>77055</v>
      </c>
    </row>
    <row ht="14.95">
      <c t="s">
        <v>445</v>
      </c>
      <c>
        <v>411</v>
      </c>
      <c>
        <v>4497</v>
      </c>
    </row>
    <row ht="14.95">
      <c t="s">
        <v>49</v>
      </c>
      <c>
        <v>411</v>
      </c>
      <c>
        <v>11689</v>
      </c>
    </row>
    <row ht="14.95">
      <c t="s">
        <v>142</v>
      </c>
      <c>
        <v>411</v>
      </c>
      <c>
        <v>17163</v>
      </c>
    </row>
    <row ht="14.95">
      <c t="s">
        <v>317</v>
      </c>
      <c>
        <v>411</v>
      </c>
      <c>
        <v>18420</v>
      </c>
    </row>
    <row ht="14.95">
      <c t="s">
        <v>227</v>
      </c>
      <c>
        <v>3651</v>
      </c>
      <c>
        <v>21936</v>
      </c>
    </row>
    <row ht="14.95">
      <c t="s">
        <v>318</v>
      </c>
      <c>
        <v>3651</v>
      </c>
      <c>
        <v>25451</v>
      </c>
    </row>
    <row ht="14.95">
      <c t="s">
        <v>414</v>
      </c>
      <c>
        <v>3651</v>
      </c>
      <c>
        <v>28863</v>
      </c>
    </row>
    <row ht="14.95">
      <c t="s">
        <v>15</v>
      </c>
      <c>
        <v>3651</v>
      </c>
      <c>
        <v>41375</v>
      </c>
    </row>
    <row ht="14.95">
      <c t="s">
        <v>108</v>
      </c>
      <c>
        <v>3651</v>
      </c>
      <c>
        <v>43406</v>
      </c>
    </row>
    <row ht="14.95">
      <c t="s">
        <v>200</v>
      </c>
      <c>
        <v>3651</v>
      </c>
      <c>
        <v>44453</v>
      </c>
    </row>
    <row ht="14.95">
      <c t="s">
        <v>289</v>
      </c>
      <c>
        <v>36510</v>
      </c>
      <c>
        <v>45704</v>
      </c>
    </row>
    <row ht="14.95">
      <c t="s">
        <v>385</v>
      </c>
      <c>
        <v>36510</v>
      </c>
      <c>
        <v>48265</v>
      </c>
    </row>
    <row ht="14.95">
      <c t="s">
        <v>476</v>
      </c>
      <c>
        <v>36510</v>
      </c>
      <c>
        <v>52745</v>
      </c>
    </row>
    <row ht="14.95">
      <c t="s">
        <v>171</v>
      </c>
      <c>
        <v>36510</v>
      </c>
      <c>
        <v>60885</v>
      </c>
    </row>
    <row ht="14.95">
      <c t="s">
        <v>78</v>
      </c>
      <c>
        <v>36510</v>
      </c>
      <c>
        <v>65169</v>
      </c>
    </row>
    <row ht="14.95">
      <c t="s">
        <v>178</v>
      </c>
      <c>
        <v>36510</v>
      </c>
      <c>
        <v>67758</v>
      </c>
    </row>
    <row ht="14.95">
      <c t="s">
        <v>266</v>
      </c>
      <c>
        <v>36510</v>
      </c>
      <c>
        <v>70167</v>
      </c>
    </row>
    <row ht="14.95">
      <c t="s">
        <v>358</v>
      </c>
      <c>
        <v>36510</v>
      </c>
      <c>
        <v>73193</v>
      </c>
    </row>
    <row ht="14.95">
      <c t="s">
        <v>456</v>
      </c>
      <c>
        <v>36510</v>
      </c>
      <c>
        <v>78333</v>
      </c>
    </row>
    <row ht="14.95">
      <c t="s">
        <v>16</v>
      </c>
      <c>
        <v>411</v>
      </c>
      <c>
        <v>4372</v>
      </c>
    </row>
    <row ht="14.95">
      <c t="s">
        <v>109</v>
      </c>
      <c>
        <v>411</v>
      </c>
      <c>
        <v>13195</v>
      </c>
    </row>
    <row ht="14.95">
      <c t="s">
        <v>201</v>
      </c>
      <c>
        <v>411</v>
      </c>
      <c>
        <v>17484</v>
      </c>
    </row>
    <row ht="14.95">
      <c t="s">
        <v>386</v>
      </c>
      <c>
        <v>411</v>
      </c>
      <c>
        <v>18966</v>
      </c>
    </row>
    <row ht="14.95">
      <c t="s">
        <v>290</v>
      </c>
      <c>
        <v>3651</v>
      </c>
      <c>
        <v>21677</v>
      </c>
    </row>
    <row ht="14.95">
      <c t="s">
        <v>387</v>
      </c>
      <c>
        <v>3651</v>
      </c>
      <c>
        <v>25061</v>
      </c>
    </row>
    <row ht="14.95">
      <c t="s">
        <v>477</v>
      </c>
      <c>
        <v>3651</v>
      </c>
      <c>
        <v>28496</v>
      </c>
    </row>
    <row ht="14.95">
      <c t="s">
        <v>79</v>
      </c>
      <c>
        <v>3651</v>
      </c>
      <c>
        <v>41600</v>
      </c>
    </row>
    <row ht="14.95">
      <c t="s">
        <v>172</v>
      </c>
      <c>
        <v>3651</v>
      </c>
      <c>
        <v>42862</v>
      </c>
    </row>
    <row ht="14.95">
      <c t="s">
        <v>259</v>
      </c>
      <c>
        <v>3651</v>
      </c>
      <c>
        <v>45172</v>
      </c>
    </row>
    <row ht="14.95">
      <c t="s">
        <v>350</v>
      </c>
      <c>
        <v>36510</v>
      </c>
      <c>
        <v>46074</v>
      </c>
    </row>
    <row ht="14.95">
      <c t="s">
        <v>446</v>
      </c>
      <c>
        <v>36510</v>
      </c>
      <c>
        <v>49123</v>
      </c>
    </row>
    <row ht="14.95">
      <c t="s">
        <v>50</v>
      </c>
      <c>
        <v>36510</v>
      </c>
      <c>
        <v>55184</v>
      </c>
    </row>
    <row ht="14.95">
      <c t="s">
        <v>228</v>
      </c>
      <c>
        <v>36510</v>
      </c>
      <c>
        <v>59968</v>
      </c>
    </row>
    <row ht="14.95">
      <c t="s">
        <v>143</v>
      </c>
      <c>
        <v>36510</v>
      </c>
      <c>
        <v>65605</v>
      </c>
    </row>
    <row ht="14.95">
      <c t="s">
        <v>238</v>
      </c>
      <c>
        <v>36510</v>
      </c>
      <c>
        <v>67796</v>
      </c>
    </row>
    <row ht="14.95">
      <c t="s">
        <v>329</v>
      </c>
      <c>
        <v>36510</v>
      </c>
      <c>
        <v>70331</v>
      </c>
    </row>
    <row ht="14.95">
      <c t="s">
        <v>427</v>
      </c>
      <c>
        <v>36510</v>
      </c>
      <c>
        <v>75855</v>
      </c>
    </row>
    <row ht="14.95">
      <c t="s">
        <v>30</v>
      </c>
      <c>
        <v>36510</v>
      </c>
      <c>
        <v>78483</v>
      </c>
    </row>
    <row ht="14.95">
      <c t="s">
        <v>110</v>
      </c>
      <c>
        <v>411</v>
      </c>
      <c>
        <v>3023</v>
      </c>
    </row>
    <row ht="14.95">
      <c t="s">
        <v>202</v>
      </c>
      <c>
        <v>411</v>
      </c>
      <c>
        <v>12383</v>
      </c>
    </row>
    <row ht="14.95">
      <c t="s">
        <v>291</v>
      </c>
      <c>
        <v>411</v>
      </c>
      <c>
        <v>16387</v>
      </c>
    </row>
    <row ht="14.95">
      <c t="s">
        <v>478</v>
      </c>
      <c>
        <v>411</v>
      </c>
      <c>
        <v>19346</v>
      </c>
    </row>
    <row ht="14.95">
      <c t="s">
        <v>388</v>
      </c>
      <c>
        <v>3651</v>
      </c>
      <c>
        <v>22784</v>
      </c>
    </row>
    <row ht="14.95">
      <c t="s">
        <v>479</v>
      </c>
      <c>
        <v>3651</v>
      </c>
      <c>
        <v>25054</v>
      </c>
    </row>
    <row ht="14.95">
      <c t="s">
        <v>80</v>
      </c>
      <c>
        <v>3651</v>
      </c>
      <c>
        <v>29091</v>
      </c>
    </row>
    <row ht="14.95">
      <c t="s">
        <v>173</v>
      </c>
      <c>
        <v>3651</v>
      </c>
      <c>
        <v>40805</v>
      </c>
    </row>
    <row ht="14.95">
      <c t="s">
        <v>260</v>
      </c>
      <c>
        <v>3651</v>
      </c>
      <c>
        <v>43525</v>
      </c>
    </row>
    <row ht="14.95">
      <c t="s">
        <v>351</v>
      </c>
      <c>
        <v>3651</v>
      </c>
      <c>
        <v>45084</v>
      </c>
    </row>
    <row ht="14.95">
      <c t="s">
        <v>447</v>
      </c>
      <c>
        <v>36510</v>
      </c>
      <c>
        <v>46978</v>
      </c>
    </row>
    <row ht="14.95">
      <c t="s">
        <v>51</v>
      </c>
      <c>
        <v>36510</v>
      </c>
      <c>
        <v>49988</v>
      </c>
    </row>
    <row ht="14.95">
      <c t="s">
        <v>144</v>
      </c>
      <c>
        <v>36510</v>
      </c>
      <c>
        <v>53682</v>
      </c>
    </row>
    <row ht="14.95">
      <c t="s">
        <v>319</v>
      </c>
      <c>
        <v>36510</v>
      </c>
      <c>
        <v>63888</v>
      </c>
    </row>
    <row ht="14.95">
      <c t="s">
        <v>229</v>
      </c>
      <c>
        <v>36510</v>
      </c>
      <c>
        <v>65691</v>
      </c>
    </row>
    <row ht="14.95">
      <c t="s">
        <v>327</v>
      </c>
      <c>
        <v>36510</v>
      </c>
      <c>
        <v>67855</v>
      </c>
    </row>
    <row ht="14.95">
      <c t="s">
        <v>425</v>
      </c>
      <c>
        <v>36510</v>
      </c>
      <c>
        <v>70655</v>
      </c>
    </row>
    <row ht="14.95">
      <c t="s">
        <v>28</v>
      </c>
      <c>
        <v>36510</v>
      </c>
      <c>
        <v>74026</v>
      </c>
    </row>
    <row ht="14.95">
      <c t="s">
        <v>122</v>
      </c>
      <c>
        <v>36510</v>
      </c>
      <c>
        <v>77307</v>
      </c>
    </row>
    <row ht="14.95">
      <c t="s">
        <v>261</v>
      </c>
      <c>
        <v>411</v>
      </c>
      <c>
        <v>11245</v>
      </c>
    </row>
    <row ht="14.95">
      <c t="s">
        <v>352</v>
      </c>
      <c>
        <v>411</v>
      </c>
      <c>
        <v>15886</v>
      </c>
    </row>
    <row ht="14.95">
      <c t="s">
        <v>52</v>
      </c>
      <c>
        <v>411</v>
      </c>
      <c>
        <v>18412</v>
      </c>
    </row>
    <row ht="14.95">
      <c t="s">
        <v>448</v>
      </c>
      <c>
        <v>3651</v>
      </c>
      <c>
        <v>21843</v>
      </c>
    </row>
    <row ht="14.95">
      <c t="s">
        <v>53</v>
      </c>
      <c>
        <v>3651</v>
      </c>
      <c>
        <v>25305</v>
      </c>
    </row>
    <row ht="14.95">
      <c t="s">
        <v>145</v>
      </c>
      <c>
        <v>3651</v>
      </c>
      <c>
        <v>28642</v>
      </c>
    </row>
    <row ht="14.95">
      <c t="s">
        <v>230</v>
      </c>
      <c>
        <v>3651</v>
      </c>
      <c>
        <v>40707</v>
      </c>
    </row>
    <row ht="14.95">
      <c t="s">
        <v>320</v>
      </c>
      <c>
        <v>3651</v>
      </c>
      <c>
        <v>42390</v>
      </c>
    </row>
    <row ht="14.95">
      <c t="s">
        <v>415</v>
      </c>
      <c>
        <v>3651</v>
      </c>
      <c>
        <v>45022</v>
      </c>
    </row>
    <row ht="14.95">
      <c t="s">
        <v>17</v>
      </c>
      <c>
        <v>36510</v>
      </c>
      <c>
        <v>45814</v>
      </c>
    </row>
    <row ht="14.95">
      <c t="s">
        <v>111</v>
      </c>
      <c>
        <v>36510</v>
      </c>
      <c>
        <v>48603</v>
      </c>
    </row>
    <row ht="14.95">
      <c t="s">
        <v>203</v>
      </c>
      <c>
        <v>36510</v>
      </c>
      <c>
        <v>52667</v>
      </c>
    </row>
    <row ht="14.95">
      <c t="s">
        <v>389</v>
      </c>
      <c>
        <v>36510</v>
      </c>
      <c>
        <v>59186</v>
      </c>
    </row>
    <row ht="14.95">
      <c t="s">
        <v>292</v>
      </c>
      <c>
        <v>36510</v>
      </c>
      <c>
        <v>65544</v>
      </c>
    </row>
    <row ht="14.95">
      <c t="s">
        <v>396</v>
      </c>
      <c>
        <v>36510</v>
      </c>
      <c>
        <v>67629</v>
      </c>
    </row>
    <row ht="14.95">
      <c t="s">
        <v>454</v>
      </c>
      <c>
        <v>36510</v>
      </c>
      <c>
        <v>71340</v>
      </c>
    </row>
    <row ht="14.95">
      <c t="s">
        <v>61</v>
      </c>
      <c>
        <v>36510</v>
      </c>
      <c>
        <v>73455</v>
      </c>
    </row>
    <row ht="14.95">
      <c t="s">
        <v>156</v>
      </c>
      <c>
        <v>36510</v>
      </c>
      <c>
        <v>77908</v>
      </c>
    </row>
    <row ht="14.95">
      <c t="s">
        <v>204</v>
      </c>
      <c>
        <v>411</v>
      </c>
      <c>
        <v>4638</v>
      </c>
    </row>
    <row ht="14.95">
      <c t="s">
        <v>293</v>
      </c>
      <c>
        <v>411</v>
      </c>
      <c>
        <v>11732</v>
      </c>
    </row>
    <row ht="14.95">
      <c t="s">
        <v>390</v>
      </c>
      <c>
        <v>411</v>
      </c>
      <c>
        <v>16340</v>
      </c>
    </row>
    <row ht="14.95">
      <c t="s">
        <v>81</v>
      </c>
      <c>
        <v>411</v>
      </c>
      <c>
        <v>18777</v>
      </c>
    </row>
    <row ht="14.95">
      <c t="s">
        <v>480</v>
      </c>
      <c>
        <v>3651</v>
      </c>
      <c>
        <v>22917</v>
      </c>
    </row>
    <row ht="14.95">
      <c t="s">
        <v>82</v>
      </c>
      <c>
        <v>3651</v>
      </c>
      <c>
        <v>25126</v>
      </c>
    </row>
    <row ht="14.95">
      <c t="s">
        <v>174</v>
      </c>
      <c>
        <v>3651</v>
      </c>
      <c>
        <v>28503</v>
      </c>
    </row>
    <row ht="14.95">
      <c t="s">
        <v>262</v>
      </c>
      <c>
        <v>3651</v>
      </c>
      <c>
        <v>41090</v>
      </c>
    </row>
    <row ht="14.95">
      <c t="s">
        <v>353</v>
      </c>
      <c>
        <v>3651</v>
      </c>
      <c>
        <v>42892</v>
      </c>
    </row>
    <row ht="14.95">
      <c t="s">
        <v>449</v>
      </c>
      <c>
        <v>3651</v>
      </c>
      <c>
        <v>44149</v>
      </c>
    </row>
    <row ht="14.95">
      <c t="s">
        <v>54</v>
      </c>
      <c>
        <v>36510</v>
      </c>
      <c>
        <v>46774</v>
      </c>
    </row>
    <row ht="14.95">
      <c t="s">
        <v>146</v>
      </c>
      <c>
        <v>36510</v>
      </c>
      <c>
        <v>50955</v>
      </c>
    </row>
    <row ht="14.95">
      <c t="s">
        <v>231</v>
      </c>
      <c>
        <v>36510</v>
      </c>
      <c>
        <v>53085</v>
      </c>
    </row>
    <row ht="14.95">
      <c t="s">
        <v>416</v>
      </c>
      <c>
        <v>36510</v>
      </c>
      <c>
        <v>59286</v>
      </c>
    </row>
    <row ht="14.95">
      <c t="s">
        <v>321</v>
      </c>
      <c>
        <v>36510</v>
      </c>
      <c>
        <v>65325</v>
      </c>
    </row>
    <row ht="14.95">
      <c t="s">
        <v>423</v>
      </c>
      <c>
        <v>36510</v>
      </c>
      <c>
        <v>68109</v>
      </c>
    </row>
    <row ht="14.95">
      <c t="s">
        <v>26</v>
      </c>
      <c>
        <v>36510</v>
      </c>
      <c>
        <v>70917</v>
      </c>
    </row>
    <row ht="14.95">
      <c t="s">
        <v>120</v>
      </c>
      <c>
        <v>36510</v>
      </c>
      <c>
        <v>75434</v>
      </c>
    </row>
    <row ht="14.95">
      <c t="s">
        <v>212</v>
      </c>
      <c>
        <v>36510</v>
      </c>
      <c>
        <v>77493</v>
      </c>
    </row>
    <row ht="14.95">
      <c t="s">
        <v>263</v>
      </c>
      <c>
        <v>411</v>
      </c>
      <c>
        <v>4472</v>
      </c>
    </row>
    <row ht="14.95">
      <c t="s">
        <v>354</v>
      </c>
      <c>
        <v>411</v>
      </c>
      <c>
        <v>11742</v>
      </c>
    </row>
    <row ht="14.95">
      <c t="s">
        <v>450</v>
      </c>
      <c>
        <v>411</v>
      </c>
      <c>
        <v>16235</v>
      </c>
    </row>
    <row ht="14.95">
      <c t="s">
        <v>147</v>
      </c>
      <c>
        <v>411</v>
      </c>
      <c>
        <v>18987</v>
      </c>
    </row>
    <row ht="14.95">
      <c t="s">
        <v>55</v>
      </c>
      <c>
        <v>3651</v>
      </c>
      <c>
        <v>22697</v>
      </c>
    </row>
    <row ht="14.95">
      <c t="s">
        <v>148</v>
      </c>
      <c>
        <v>3651</v>
      </c>
      <c>
        <v>25006</v>
      </c>
    </row>
    <row ht="14.95">
      <c t="s">
        <v>232</v>
      </c>
      <c>
        <v>3651</v>
      </c>
      <c>
        <v>28613</v>
      </c>
    </row>
    <row ht="14.95">
      <c t="s">
        <v>322</v>
      </c>
      <c>
        <v>3651</v>
      </c>
      <c>
        <v>41628</v>
      </c>
    </row>
    <row ht="14.95">
      <c t="s">
        <v>417</v>
      </c>
      <c>
        <v>3651</v>
      </c>
      <c>
        <v>43018</v>
      </c>
    </row>
    <row ht="14.95">
      <c t="s">
        <v>18</v>
      </c>
      <c>
        <v>3651</v>
      </c>
      <c>
        <v>45112</v>
      </c>
    </row>
    <row ht="14.95">
      <c t="s">
        <v>112</v>
      </c>
      <c>
        <v>36510</v>
      </c>
      <c>
        <v>46212</v>
      </c>
    </row>
    <row ht="14.95">
      <c t="s">
        <v>205</v>
      </c>
      <c>
        <v>36510</v>
      </c>
      <c>
        <v>50261</v>
      </c>
    </row>
    <row ht="14.95">
      <c t="s">
        <v>294</v>
      </c>
      <c>
        <v>36510</v>
      </c>
      <c>
        <v>53035</v>
      </c>
    </row>
    <row ht="14.95">
      <c t="s">
        <v>481</v>
      </c>
      <c>
        <v>36510</v>
      </c>
      <c>
        <v>59344</v>
      </c>
    </row>
    <row ht="14.95">
      <c t="s">
        <v>391</v>
      </c>
      <c>
        <v>36510</v>
      </c>
      <c>
        <v>65517</v>
      </c>
    </row>
    <row ht="14.95">
      <c t="s">
        <v>485</v>
      </c>
      <c>
        <v>36510</v>
      </c>
      <c>
        <v>68153</v>
      </c>
    </row>
    <row ht="14.95">
      <c t="s">
        <v>89</v>
      </c>
      <c>
        <v>36510</v>
      </c>
      <c>
        <v>70906</v>
      </c>
    </row>
    <row ht="14.95">
      <c t="s">
        <v>183</v>
      </c>
      <c>
        <v>36510</v>
      </c>
      <c>
        <v>75022</v>
      </c>
    </row>
    <row ht="14.95">
      <c t="s">
        <v>271</v>
      </c>
      <c>
        <v>36510</v>
      </c>
      <c>
        <v>77557</v>
      </c>
    </row>
    <row ht="14.95">
      <c t="s">
        <v>295</v>
      </c>
      <c>
        <v>411</v>
      </c>
      <c>
        <v>4440</v>
      </c>
    </row>
    <row ht="14.95">
      <c t="s">
        <v>392</v>
      </c>
      <c>
        <v>411</v>
      </c>
      <c>
        <v>12663</v>
      </c>
    </row>
    <row ht="14.95">
      <c t="s">
        <v>482</v>
      </c>
      <c>
        <v>411</v>
      </c>
      <c>
        <v>16221</v>
      </c>
    </row>
    <row ht="14.95">
      <c t="s">
        <v>175</v>
      </c>
      <c>
        <v>411</v>
      </c>
      <c>
        <v>18621</v>
      </c>
    </row>
    <row ht="14.95">
      <c t="s">
        <v>83</v>
      </c>
      <c>
        <v>3651</v>
      </c>
      <c>
        <v>21396</v>
      </c>
    </row>
    <row ht="14.95">
      <c t="s">
        <v>176</v>
      </c>
      <c>
        <v>3651</v>
      </c>
      <c>
        <v>24777</v>
      </c>
    </row>
    <row ht="14.95">
      <c t="s">
        <v>264</v>
      </c>
      <c>
        <v>3651</v>
      </c>
      <c>
        <v>28062</v>
      </c>
    </row>
    <row ht="14.95">
      <c t="s">
        <v>355</v>
      </c>
      <c>
        <v>3651</v>
      </c>
      <c>
        <v>40629</v>
      </c>
    </row>
    <row ht="14.95">
      <c t="s">
        <v>451</v>
      </c>
      <c>
        <v>3651</v>
      </c>
      <c>
        <v>42466</v>
      </c>
    </row>
    <row ht="14.95">
      <c t="s">
        <v>56</v>
      </c>
      <c>
        <v>3651</v>
      </c>
      <c>
        <v>43903</v>
      </c>
    </row>
    <row ht="14.95">
      <c t="s">
        <v>149</v>
      </c>
      <c>
        <v>36510</v>
      </c>
      <c>
        <v>45774</v>
      </c>
    </row>
    <row ht="14.95">
      <c t="s">
        <v>233</v>
      </c>
      <c>
        <v>36510</v>
      </c>
      <c>
        <v>48447</v>
      </c>
    </row>
    <row ht="14.95">
      <c t="s">
        <v>323</v>
      </c>
      <c>
        <v>36510</v>
      </c>
      <c>
        <v>52343</v>
      </c>
    </row>
    <row ht="14.95">
      <c t="s">
        <v>19</v>
      </c>
      <c>
        <v>36510</v>
      </c>
      <c>
        <v>59692</v>
      </c>
    </row>
    <row ht="14.95">
      <c t="s">
        <v>418</v>
      </c>
      <c>
        <v>36510</v>
      </c>
      <c>
        <v>65045</v>
      </c>
    </row>
    <row ht="14.95">
      <c t="s">
        <v>24</v>
      </c>
      <c>
        <v>36510</v>
      </c>
      <c>
        <v>68376</v>
      </c>
    </row>
    <row ht="14.95">
      <c t="s">
        <v>118</v>
      </c>
      <c>
        <v>36510</v>
      </c>
      <c>
        <v>70593</v>
      </c>
    </row>
    <row ht="14.95">
      <c t="s">
        <v>210</v>
      </c>
      <c>
        <v>36510</v>
      </c>
      <c>
        <v>73626</v>
      </c>
    </row>
    <row ht="14.95">
      <c t="s">
        <v>302</v>
      </c>
      <c>
        <v>36510</v>
      </c>
      <c>
        <v>77035</v>
      </c>
    </row>
    <row ht="14.95">
      <c t="s">
        <v>356</v>
      </c>
      <c>
        <v>411</v>
      </c>
      <c>
        <v>3578</v>
      </c>
    </row>
    <row ht="14.95">
      <c t="s">
        <v>452</v>
      </c>
      <c>
        <v>411</v>
      </c>
      <c>
        <v>12532</v>
      </c>
    </row>
    <row ht="14.95">
      <c t="s">
        <v>57</v>
      </c>
      <c>
        <v>411</v>
      </c>
      <c>
        <v>15979</v>
      </c>
    </row>
    <row ht="14.95">
      <c t="s">
        <v>234</v>
      </c>
      <c>
        <v>411</v>
      </c>
      <c>
        <v>18540</v>
      </c>
    </row>
    <row ht="14.95">
      <c t="s">
        <v>150</v>
      </c>
      <c>
        <v>3651</v>
      </c>
      <c>
        <v>21287</v>
      </c>
    </row>
    <row ht="14.95">
      <c t="s">
        <v>235</v>
      </c>
      <c>
        <v>3651</v>
      </c>
      <c>
        <v>24511</v>
      </c>
    </row>
    <row ht="14.95">
      <c t="s">
        <v>324</v>
      </c>
      <c>
        <v>3651</v>
      </c>
      <c>
        <v>28312</v>
      </c>
    </row>
    <row ht="14.95">
      <c t="s">
        <v>419</v>
      </c>
      <c>
        <v>3651</v>
      </c>
      <c>
        <v>40671</v>
      </c>
    </row>
    <row ht="14.95">
      <c t="s">
        <v>20</v>
      </c>
      <c>
        <v>3651</v>
      </c>
      <c>
        <v>42299</v>
      </c>
    </row>
    <row ht="14.95">
      <c t="s">
        <v>113</v>
      </c>
      <c>
        <v>3651</v>
      </c>
      <c>
        <v>44829</v>
      </c>
    </row>
    <row ht="14.95">
      <c t="s">
        <v>206</v>
      </c>
      <c>
        <v>36510</v>
      </c>
      <c>
        <v>45750</v>
      </c>
    </row>
    <row ht="14.95">
      <c t="s">
        <v>296</v>
      </c>
      <c>
        <v>36510</v>
      </c>
      <c>
        <v>47780</v>
      </c>
    </row>
    <row ht="14.95">
      <c t="s">
        <v>393</v>
      </c>
      <c>
        <v>36510</v>
      </c>
      <c>
        <v>52531</v>
      </c>
    </row>
    <row ht="14.95">
      <c t="s">
        <v>84</v>
      </c>
      <c>
        <v>36510</v>
      </c>
      <c>
        <v>59893</v>
      </c>
    </row>
    <row ht="14.95">
      <c t="s">
        <v>483</v>
      </c>
      <c>
        <v>36510</v>
      </c>
      <c>
        <v>65494</v>
      </c>
    </row>
    <row ht="14.95">
      <c t="s">
        <v>87</v>
      </c>
      <c>
        <v>36510</v>
      </c>
      <c>
        <v>68570</v>
      </c>
    </row>
    <row ht="14.95">
      <c t="s">
        <v>181</v>
      </c>
      <c>
        <v>36510</v>
      </c>
      <c>
        <v>70868</v>
      </c>
    </row>
    <row ht="14.95">
      <c t="s">
        <v>269</v>
      </c>
      <c>
        <v>36510</v>
      </c>
      <c>
        <v>73934</v>
      </c>
    </row>
    <row ht="14.95">
      <c t="s">
        <v>362</v>
      </c>
      <c>
        <v>36510</v>
      </c>
      <c>
        <v>77221</v>
      </c>
    </row>
    <row ht="14.95">
      <c t="s">
        <v>420</v>
      </c>
      <c>
        <v>411</v>
      </c>
      <c>
        <v>4941</v>
      </c>
    </row>
    <row ht="14.95">
      <c t="s">
        <v>21</v>
      </c>
      <c>
        <v>411</v>
      </c>
      <c>
        <v>11225</v>
      </c>
    </row>
    <row ht="14.95">
      <c t="s">
        <v>114</v>
      </c>
      <c>
        <v>411</v>
      </c>
      <c>
        <v>17451</v>
      </c>
    </row>
    <row ht="14.95">
      <c t="s">
        <v>297</v>
      </c>
      <c>
        <v>411</v>
      </c>
      <c>
        <v>23313</v>
      </c>
    </row>
    <row ht="14.95">
      <c t="s">
        <v>207</v>
      </c>
      <c>
        <v>3651</v>
      </c>
      <c>
        <v>21880</v>
      </c>
    </row>
    <row ht="14.95">
      <c t="s">
        <v>298</v>
      </c>
      <c>
        <v>3651</v>
      </c>
      <c>
        <v>25317</v>
      </c>
    </row>
    <row ht="14.95">
      <c t="s">
        <v>394</v>
      </c>
      <c>
        <v>3651</v>
      </c>
      <c>
        <v>28320</v>
      </c>
    </row>
    <row ht="14.95">
      <c t="s">
        <v>453</v>
      </c>
      <c>
        <v>3651</v>
      </c>
      <c>
        <v>40934</v>
      </c>
    </row>
    <row ht="14.95">
      <c t="s">
        <v>58</v>
      </c>
      <c>
        <v>3651</v>
      </c>
      <c>
        <v>42832</v>
      </c>
    </row>
    <row ht="14.95">
      <c t="s">
        <v>151</v>
      </c>
      <c>
        <v>3651</v>
      </c>
      <c>
        <v>44865</v>
      </c>
    </row>
    <row ht="14.95">
      <c t="s">
        <v>236</v>
      </c>
      <c>
        <v>36510</v>
      </c>
      <c>
        <v>46168</v>
      </c>
    </row>
    <row ht="14.95">
      <c t="s">
        <v>325</v>
      </c>
      <c>
        <v>36510</v>
      </c>
      <c>
        <v>49326</v>
      </c>
    </row>
    <row ht="14.95">
      <c t="s">
        <v>421</v>
      </c>
      <c>
        <v>36510</v>
      </c>
      <c>
        <v>53467</v>
      </c>
    </row>
    <row ht="14.95">
      <c t="s">
        <v>115</v>
      </c>
      <c>
        <v>36510</v>
      </c>
      <c>
        <v>60125</v>
      </c>
    </row>
    <row ht="14.95">
      <c t="s">
        <v>22</v>
      </c>
      <c>
        <v>36510</v>
      </c>
      <c>
        <v>65173</v>
      </c>
    </row>
    <row ht="14.95">
      <c t="s">
        <v>116</v>
      </c>
      <c>
        <v>36510</v>
      </c>
      <c>
        <v>67493</v>
      </c>
    </row>
    <row ht="14.95">
      <c t="s">
        <v>208</v>
      </c>
      <c>
        <v>36510</v>
      </c>
      <c>
        <v>70403</v>
      </c>
    </row>
    <row ht="14.95">
      <c t="s">
        <v>300</v>
      </c>
      <c>
        <v>36510</v>
      </c>
      <c>
        <v>74593</v>
      </c>
    </row>
    <row ht="14.95">
      <c t="s">
        <v>398</v>
      </c>
      <c>
        <v>36510</v>
      </c>
      <c>
        <v>76757</v>
      </c>
    </row>
    <row r="416"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  <row ht="14.95">
      <c s="37"/>
      <c s="22"/>
      <c s="22"/>
    </row>
  </sheetData>
  <pageMargins left="0.7" right="0.7" top="0.787401575" bottom="0.7874015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Z28"/>
  <sheetViews>
    <sheetView topLeftCell="A10" workbookViewId="0">
      <selection activeCell="C29" sqref="C29"/>
    </sheetView>
  </sheetViews>
  <sheetFormatPr defaultColWidth="9.140625" defaultRowHeight="13.6"/>
  <cols>
    <col min="1" max="1" width="13.7109375" style="18" customWidth="1"/>
    <col min="2" max="2" width="40.85546875" style="18" customWidth="1"/>
    <col min="3" max="3" width="28.140625" style="18" customWidth="1"/>
    <col min="4" max="4" width="16.28515625" style="18" customWidth="1"/>
    <col min="5" max="5" width="19.28515625" style="18" customWidth="1"/>
    <col min="6" max="6" width="11.140625" style="18" customWidth="1"/>
    <col min="7" max="7" width="9.140625" style="18"/>
    <col min="8" max="8" width="17.28515625" style="18" customWidth="1"/>
    <col min="9" max="9" width="19.7109375" style="18" customWidth="1"/>
    <col min="10" max="12" width="12.28515625" style="18" customWidth="1"/>
    <col min="13" max="13" width="16" style="18" bestFit="1" customWidth="1"/>
    <col min="14" max="14" width="14.28515625" style="18" bestFit="1" customWidth="1"/>
    <col min="15" max="15" width="18.28515625" style="18" bestFit="1" customWidth="1"/>
    <col min="16" max="25" width="9.140625" style="18"/>
    <col min="26" max="26" width="9.140625" style="18" hidden="1" customWidth="1"/>
    <col min="27" max="16384" width="9.140625" style="18"/>
  </cols>
  <sheetData>
    <row>
      <c s="27"/>
      <c r="H1" s="56">
        <v>129806172700000000</v>
      </c>
      <c r="Z1" s="46" t="b">
        <f>0=1</f>
        <v>0</v>
      </c>
    </row>
    <row>
      <c r="Z2" s="46" t="b">
        <f>1=1</f>
        <v>1</v>
      </c>
    </row>
    <row>
      <c r="Z3" s="46"/>
    </row>
    <row>
      <c r="I4" s="18" t="s">
        <v>157</v>
      </c>
      <c s="51" t="s">
        <v>333</v>
      </c>
      <c s="11"/>
      <c s="11"/>
      <c s="11"/>
      <c s="11"/>
      <c s="11"/>
    </row>
    <row>
      <c r="J5" s="20" t="s">
        <v>123</v>
      </c>
      <c s="14" t="s">
        <v>244</v>
      </c>
      <c s="14" t="s">
        <v>303</v>
      </c>
      <c s="20" t="s">
        <v>457</v>
      </c>
      <c s="48" t="s">
        <v>363</v>
      </c>
      <c s="14" t="s">
        <v>0</v>
      </c>
    </row>
    <row>
      <c r="B6" s="21" t="s">
        <v>364</v>
      </c>
      <c s="13" t="s">
        <v>399</v>
      </c>
      <c s="35" t="s">
        <v>31</v>
      </c>
      <c s="8" t="s">
        <v>245</v>
      </c>
    </row>
    <row>
      <c r="C7" s="16"/>
      <c s="19" t="s">
        <v>32</v>
      </c>
      <c s="8" t="s">
        <v>272</v>
      </c>
    </row>
    <row>
      <c r="C8" s="19" t="s">
        <v>1</v>
      </c>
      <c s="16"/>
    </row>
    <row>
      <c r="C9" s="16"/>
      <c s="13" t="s">
        <v>124</v>
      </c>
      <c s="55"/>
    </row>
    <row>
      <c r="C10" s="13" t="s">
        <v>213</v>
      </c>
      <c s="24" t="s">
        <v>304</v>
      </c>
      <c s="8" t="s">
        <v>62</v>
      </c>
    </row>
    <row>
      <c r="B11" s="21" t="s">
        <v>246</v>
      </c>
      <c s="32" t="s">
        <v>214</v>
      </c>
      <c s="45">
        <v>60398</v>
      </c>
      <c s="8" t="s">
        <v>125</v>
      </c>
    </row>
    <row>
      <c r="B12" s="21"/>
      <c s="36"/>
      <c s="47"/>
      <c s="60" t="s">
        <v>334</v>
      </c>
    </row>
    <row>
      <c r="B13" s="21" t="s">
        <v>215</v>
      </c>
      <c s="57" t="s">
        <v>93</v>
      </c>
      <c s="29">
        <v>1212</v>
      </c>
      <c s="18" t="b">
        <v>0</v>
      </c>
      <c s="8" t="s">
        <v>305</v>
      </c>
    </row>
    <row ht="12.75" hidden="1">
      <c r="B14" s="21"/>
      <c s="57"/>
      <c s="62"/>
      <c s="18" t="b">
        <v>0</v>
      </c>
    </row>
    <row>
      <c r="B15" s="21" t="s">
        <v>400</v>
      </c>
      <c s="18" t="s">
        <v>430</v>
      </c>
      <c s="52">
        <v>1212</v>
      </c>
      <c s="18" t="b">
        <v>0</v>
      </c>
      <c s="8" t="s">
        <v>94</v>
      </c>
    </row>
    <row ht="12.75" hidden="1">
      <c r="B16" s="21"/>
      <c r="D16" s="17"/>
      <c s="18" t="b">
        <v>0</v>
      </c>
      <c s="8"/>
    </row>
    <row>
      <c r="B17" s="21"/>
      <c s="18" t="s">
        <v>126</v>
      </c>
      <c s="26">
        <v>3434</v>
      </c>
      <c s="18" t="b">
        <v>0</v>
      </c>
      <c s="8" t="s">
        <v>306</v>
      </c>
    </row>
    <row>
      <c r="B18" s="21"/>
      <c r="D18" s="17"/>
      <c s="18" t="b">
        <v>0</v>
      </c>
      <c s="8"/>
    </row>
    <row>
      <c r="B19" s="21"/>
      <c s="18" t="s">
        <v>2</v>
      </c>
      <c s="40">
        <v>3434</v>
      </c>
      <c s="18" t="b">
        <v>0</v>
      </c>
      <c s="8" t="s">
        <v>365</v>
      </c>
    </row>
    <row>
      <c r="B20" s="21"/>
      <c r="D20" s="17"/>
      <c s="18" t="b">
        <v>0</v>
      </c>
      <c s="8"/>
    </row>
    <row>
      <c r="B21" s="21"/>
      <c s="18" t="s">
        <v>366</v>
      </c>
      <c s="49">
        <v>5656</v>
      </c>
      <c s="18" t="b">
        <v>0</v>
      </c>
      <c s="8" t="s">
        <v>458</v>
      </c>
    </row>
    <row>
      <c r="B22" s="21"/>
      <c r="E22" s="8"/>
      <c r="I22" s="42"/>
    </row>
    <row>
      <c r="B23" s="23" t="s">
        <v>3</v>
      </c>
      <c s="23"/>
    </row>
    <row>
      <c r="B24" s="5" t="s">
        <v>247</v>
      </c>
      <c s="5" t="s">
        <v>127</v>
      </c>
      <c s="5" t="s">
        <v>33</v>
      </c>
      <c s="5" t="s">
        <v>367</v>
      </c>
      <c s="5"/>
      <c s="5"/>
      <c s="5" t="s">
        <v>459</v>
      </c>
    </row>
    <row>
      <c r="C25" s="61" t="s">
        <v>248</v>
      </c>
      <c s="63" t="s">
        <v>368</v>
      </c>
      <c s="34">
        <v>1234.5599999999999</v>
      </c>
      <c s="8"/>
    </row>
    <row>
      <c r="C26" s="61" t="s">
        <v>248</v>
      </c>
      <c s="63" t="s">
        <v>368</v>
      </c>
      <c s="34">
        <v>1234.5599999999999</v>
      </c>
      <c s="8"/>
    </row>
    <row>
      <c r="C27" s="61" t="s">
        <v>248</v>
      </c>
      <c s="58" t="s">
        <v>368</v>
      </c>
      <c s="38">
        <v>1234.5599999999999</v>
      </c>
    </row>
    <row>
      <c r="C28" s="31" t="s">
        <v>248</v>
      </c>
      <c s="64" t="s">
        <v>461</v>
      </c>
      <c s="30">
        <v>1234.5599999999999</v>
      </c>
    </row>
  </sheetData>
  <mergeCells count="2">
    <mergeCell ref="J4:O4"/>
    <mergeCell ref="B23:C23"/>
  </mergeCells>
  <dataValidations count="1">
    <dataValidation type="list" allowBlank="1" showInputMessage="1" showErrorMessage="1" sqref="E13:E21">
      <formula1>$Z$1:$Z$2</formula1>
    </dataValidation>
  </dataValidations>
  <pageMargins left="0.7" right="0.7" top="0.787401575" bottom="0.787401575" header="0.3" footer="0.3"/>
  <pageSetup paperSize="9" orientation="portrait"/>
  <drawing r:id="rId1"/>
</worksheet>
</file>
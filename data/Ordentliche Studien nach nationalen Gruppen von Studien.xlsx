
<file path=[Content_Types].xml><?xml version="1.0" encoding="utf-8"?>
<Types xmlns="http://schemas.openxmlformats.org/package/2006/content-types">
  <Default Extension="rels" ContentType="application/vnd.openxmlformats-package.relationships+xml"/>
  <Override PartName="/xl/media/image1.png" ContentType="image/png"/>
  <Override PartName="/xl/media/image2.png" ContentType="image/pn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3.25.102"/>
  <workbookPr defaultThemeVersion="124226"/>
  <bookViews>
    <workbookView xWindow="0" yWindow="0" windowWidth="28800" windowHeight="10065"/>
  </bookViews>
  <sheets>
    <sheet name="Tab" sheetId="1" r:id="rId1"/>
    <sheet name="XLCubedFormats" sheetId="2" state="hidden" r:id="rId2"/>
  </sheets>
  <definedNames>
    <definedName name="_xlnm.Print_Area" localSheetId="0">Tab!$A$1:$I$37</definedName>
    <definedName name="XL3DisableCameraObjects" hidden="1">XLCubedFormats!A1</definedName>
    <definedName name="XL3ObjLocationdcaf9519_7ef5_47ea_8997_19f88d5ec079">Tab!$A$8</definedName>
  </definedNames>
  <calcPr calcId="40001"/>
</workbook>
</file>

<file path=xl/sharedStrings.xml><?xml version="1.0" encoding="utf-8"?>
<sst xmlns="http://schemas.openxmlformats.org/spreadsheetml/2006/main" uniqueCount="96">
  <si>
    <t>Universität</t>
  </si>
  <si>
    <t>Semester und Datenstichtag</t>
  </si>
  <si>
    <t xml:space="preserve">Ordentliche Studien </t>
  </si>
  <si>
    <t>Veterinärmedizinische Studien</t>
  </si>
  <si>
    <t>Frauen</t>
  </si>
  <si>
    <t>Slicer Button Background</t>
  </si>
  <si>
    <t>Grid Title</t>
  </si>
  <si>
    <t>Oth Written Member</t>
  </si>
  <si>
    <t>Fill in Grid Name, Dimension or Both</t>
  </si>
  <si>
    <t>[ALLG Wertart].[Wertart]</t>
  </si>
  <si>
    <t>(Members of Studienfach (Fachcode)) - (Erweiterungsstudium, Zweitfach)</t>
  </si>
  <si>
    <t>Wintersemester 2024 (Stichtag: 28.02.2025)</t>
  </si>
  <si>
    <t>Absolutwert</t>
  </si>
  <si>
    <t>Künstlerische Studien</t>
  </si>
  <si>
    <t>All Marital Status</t>
  </si>
  <si>
    <t>Male</t>
  </si>
  <si>
    <t>Member1 Name</t>
  </si>
  <si>
    <t>Staatengruppe (Ö, EU, andere)</t>
  </si>
  <si>
    <t>Studien Universitäten</t>
  </si>
  <si>
    <t>ord. Studium</t>
  </si>
  <si>
    <t>&lt;-- default Column Member Format</t>
  </si>
  <si>
    <t>Begonnene Studien</t>
  </si>
  <si>
    <t>[STU Studium].[Studiengruppe-UG #Langtext#]</t>
  </si>
  <si>
    <t>Ordentliche Studien nach nationalen Gruppen von Studien</t>
  </si>
  <si>
    <t>Gesamt</t>
  </si>
  <si>
    <t>Alternate Rows</t>
  </si>
  <si>
    <t>&lt;--  writeable cell format</t>
  </si>
  <si>
    <t xml:space="preserve"> </t>
  </si>
  <si>
    <t>Interdisziplinäre Studien</t>
  </si>
  <si>
    <t>Geistes- und kulturwissenschaftliche Studien</t>
  </si>
  <si>
    <t>Sozial- und wirtschaftswissenschaftliche Studien</t>
  </si>
  <si>
    <t>Slicer Title</t>
  </si>
  <si>
    <t>Calendar Period</t>
  </si>
  <si>
    <t>&lt;-- default cell format</t>
  </si>
  <si>
    <t>Written Member</t>
  </si>
  <si>
    <t>Dimension/Column</t>
  </si>
  <si>
    <t>4) Prozentangaben werden standardmäßig mit einer Kommastelle angezeigt</t>
  </si>
  <si>
    <t>Männer</t>
  </si>
  <si>
    <t>Slice Name (Optional)</t>
  </si>
  <si>
    <t>Naturwissenschaftliche Studien</t>
  </si>
  <si>
    <t>Lehramtsstudien</t>
  </si>
  <si>
    <t>Customer</t>
  </si>
  <si>
    <t>-All Customer</t>
  </si>
  <si>
    <t>Default Alternate Row Member Format --&gt;</t>
  </si>
  <si>
    <t>Studien von Erstzugelassenen</t>
  </si>
  <si>
    <t>Studientyp</t>
  </si>
  <si>
    <t>Bundesland Universität</t>
  </si>
  <si>
    <t>Individuelle Studien</t>
  </si>
  <si>
    <t>Slicer Item</t>
  </si>
  <si>
    <t>&lt;-- default Slicer Member Format</t>
  </si>
  <si>
    <t>Default Row Member Format --&gt;</t>
  </si>
  <si>
    <t>Grid/Table Name</t>
  </si>
  <si>
    <t>[Measures]</t>
  </si>
  <si>
    <t>(Members of Universität (Codex)) - (~)</t>
  </si>
  <si>
    <t>&lt;-- writeable Slicer Member Format</t>
  </si>
  <si>
    <t>Slice Format 1</t>
  </si>
  <si>
    <t>&lt;-- Gesamtzeile</t>
  </si>
  <si>
    <t>3) Formatierung der Gesamtspalte und -zeile (siehe E25:E26)</t>
  </si>
  <si>
    <t>(ohne Erweiterungsstudien; bei kombinationspflichtigen Studien bis STJ 2015/16 nur Erstfach gezählt)</t>
  </si>
  <si>
    <t>Studienfach (Fachcode)</t>
  </si>
  <si>
    <t>Frauen-/Männeranteil in %</t>
  </si>
  <si>
    <t>Slicer Button</t>
  </si>
  <si>
    <t>+2009</t>
  </si>
  <si>
    <t>&lt;-- default alternate row cell format</t>
  </si>
  <si>
    <t>&lt;--  written cell format</t>
  </si>
  <si>
    <t>Studienart</t>
  </si>
  <si>
    <t>Ingenieurwissenschaftliche Studien</t>
  </si>
  <si>
    <t>Display Formats For:</t>
  </si>
  <si>
    <t>Enabled?</t>
  </si>
  <si>
    <t>&lt;-- Gesamtspalte</t>
  </si>
  <si>
    <t>Datenprüfung und -aufbereitung: bmfwf, Abt. I/10</t>
  </si>
  <si>
    <t>Studiengruppe-UG (Langtext)</t>
  </si>
  <si>
    <t>Universität-Ausrichtung</t>
  </si>
  <si>
    <t>Slicer Button Hover</t>
  </si>
  <si>
    <t>Label Format--&gt;</t>
  </si>
  <si>
    <t>&lt;--  written cell by another user cell format</t>
  </si>
  <si>
    <t>Summary Written Member</t>
  </si>
  <si>
    <t>Data Format</t>
  </si>
  <si>
    <t>1) Spaltenüberschrift mittels Menüpunkt Daten/Gruppieren/Gruppieren ausblenden</t>
  </si>
  <si>
    <t>[SU Studierende].[Geschlecht]</t>
  </si>
  <si>
    <t>Universität (Codex)</t>
  </si>
  <si>
    <t>Sonstige Studienaktivitäten</t>
  </si>
  <si>
    <t>Medizinische Studien</t>
  </si>
  <si>
    <t>Marital Status</t>
  </si>
  <si>
    <t>Default Writeable Member Format --&gt;</t>
  </si>
  <si>
    <t>Slice Format 2</t>
  </si>
  <si>
    <t>Quelle: Datenmeldungen der Universitäten auf Basis UHSBV zum jeweiligen Stichtag</t>
  </si>
  <si>
    <t>Rechtswissenschaftliche Studien</t>
  </si>
  <si>
    <t>Writeable Member</t>
  </si>
  <si>
    <t>Theologische Studien</t>
  </si>
  <si>
    <t>Slicer Button Selected</t>
  </si>
  <si>
    <t>&lt;--  summary written cell</t>
  </si>
  <si>
    <t>Formatierungsrichtlinien</t>
  </si>
  <si>
    <t>2) Wenn möglich die nicht hierarchische Darstellung eines Slicers wählen (Slicer Type)</t>
  </si>
  <si>
    <t>5) Formatierung von Zahlen prüfen (Ganzzahl oder Zahl mit einer Kommastelle)</t>
  </si>
  <si>
    <t>Anmerkung: Ab dem WS 2016 erfolgt die zähltechnische Abbildung der Studien auf Basis des Verteilungsschlüssels gemäß § 22 Abs. 2 und Abs. 5 bis 7 UHSBV.</t>
  </si>
</sst>
</file>

<file path=xl/styles.xml><?xml version="1.0" encoding="utf-8"?>
<styleSheet xmlns="http://schemas.openxmlformats.org/spreadsheetml/2006/main">
  <numFmts count="2">
    <numFmt numFmtId="164" formatCode="0.0%"/>
    <numFmt numFmtId="165" formatCode=";;;"/>
  </numFmts>
  <fonts count="36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Tahoma"/>
      <family val="2"/>
    </font>
    <font>
      <b/>
      <sz val="8"/>
      <color indexed="23"/>
      <name val="Tahoma"/>
      <family val="2"/>
    </font>
    <font>
      <sz val="10"/>
      <color rgb="FF262626"/>
      <name val="Tahoma"/>
      <family val="2"/>
    </font>
    <font>
      <sz val="9"/>
      <name val="Tahoma"/>
      <family val="2"/>
    </font>
    <font>
      <sz val="10"/>
      <color rgb="FF000000"/>
      <name val="Tahoma"/>
      <family val="2"/>
    </font>
    <font>
      <b/>
      <sz val="11"/>
      <color rgb="FF000000"/>
      <name val="Tahoma"/>
      <family val="2"/>
    </font>
    <font>
      <sz val="11"/>
      <color rgb="FF000000"/>
      <name val="Tahoma"/>
      <family val="2"/>
    </font>
    <font>
      <sz val="10"/>
      <color theme="1" tint="0.34998626667073579"/>
      <name val="Tahoma"/>
      <family val="2"/>
    </font>
    <font>
      <sz val="10"/>
      <color theme="1" tint="0.0499893185216834"/>
      <name val="Tahoma"/>
      <family val="2"/>
    </font>
    <font>
      <sz val="10"/>
      <name val="Tahoma"/>
      <family val="2"/>
    </font>
    <font>
      <sz val="8"/>
      <name val="Tahoma"/>
      <family val="2"/>
    </font>
    <font>
      <sz val="10"/>
      <color rgb="FF595959"/>
      <name val="Tahoma"/>
      <family val="2"/>
    </font>
    <font>
      <sz val="10"/>
      <color theme="1" tint="0.14996795556505021"/>
      <name val="Tahoma"/>
      <family val="2"/>
    </font>
    <font>
      <b/>
      <sz val="11"/>
      <color theme="1"/>
      <name val="Calibri"/>
      <family val="2"/>
      <scheme val="minor"/>
    </font>
    <font>
      <b/>
      <sz val="8"/>
      <color rgb="FFFF0000"/>
      <name val="Tahoma"/>
      <family val="2"/>
    </font>
    <font>
      <sz val="10"/>
      <color theme="1"/>
      <name val="Calibri"/>
      <family val="2"/>
      <scheme val="minor"/>
    </font>
    <font>
      <sz val="10"/>
      <color rgb="FFFF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1"/>
      <color rgb="FFFA7D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9C0006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rgb="FFD9D9D9"/>
        <bgColor rgb="FFFFFFFF"/>
      </patternFill>
    </fill>
    <fill>
      <patternFill patternType="solid">
        <fgColor rgb="FFC6D9F1"/>
        <bgColor rgb="FFFFFFFF"/>
      </patternFill>
    </fill>
    <fill>
      <patternFill patternType="solid">
        <fgColor rgb="FFC0C0C0"/>
        <bgColor rgb="FFFFFFFF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DDDDDD"/>
        <bgColor rgb="FFFFFFFF"/>
      </patternFill>
    </fill>
    <fill>
      <patternFill patternType="solid">
        <fgColor indexed="4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D9D9D9"/>
        <bgColor indexed="64"/>
      </patternFill>
    </fill>
  </fills>
  <borders count="8">
    <border>
      <left/>
      <right/>
      <top/>
      <bottom/>
      <diagonal/>
    </border>
    <border>
      <left style="hair">
        <color rgb="FFC0C0C0"/>
      </left>
      <right style="hair">
        <color rgb="FFC0C0C0"/>
      </right>
      <top style="hair">
        <color rgb="FFC0C0C0"/>
      </top>
      <bottom style="hair">
        <color rgb="FFC0C0C0"/>
      </bottom>
      <diagonal/>
    </border>
    <border>
      <left/>
      <right style="hair">
        <color rgb="FFC0C0C0"/>
      </right>
      <top/>
      <bottom/>
      <diagonal/>
    </border>
    <border>
      <left style="hair">
        <color rgb="FFC0C0C0"/>
      </left>
      <right/>
      <top style="hair">
        <color rgb="FFC0C0C0"/>
      </top>
      <bottom/>
      <diagonal/>
    </border>
    <border>
      <left style="hair">
        <color indexed="22"/>
      </left>
      <right style="hair">
        <color indexed="22"/>
      </right>
      <top style="hair">
        <color indexed="22"/>
      </top>
      <bottom style="hair">
        <color indexed="22"/>
      </bottom>
      <diagonal/>
    </border>
    <border>
      <left style="hair">
        <color rgb="FFC0C0C0"/>
      </left>
      <right style="hair">
        <color rgb="FFC0C0C0"/>
      </right>
      <top style="hair">
        <color rgb="FFC0C0C0"/>
      </top>
      <bottom/>
      <diagonal/>
    </border>
    <border>
      <left style="thin">
        <color indexed="23"/>
      </left>
      <right/>
      <top/>
      <bottom/>
      <diagonal/>
    </border>
    <border>
      <left style="hair">
        <color rgb="FFC0C0C0"/>
      </left>
      <right/>
      <top style="hair">
        <color rgb="FFC0C0C0"/>
      </top>
      <bottom style="hair">
        <color rgb="FFC0C0C0"/>
      </bottom>
      <diagonal/>
    </border>
  </borders>
  <cellStyleXfs count="2">
    <xf numFmtId="0" fontId="0" fillId="0" borderId="0"/>
    <xf numFmtId="0" fontId="1" fillId="0" borderId="0"/>
  </cellStyleXfs>
  <cellXfs count="76">
    <xf numFmtId="0" fontId="0" fillId="0" borderId="0" xfId="0"/>
    <xf numFmtId="0" fontId="2" fillId="0" borderId="0" xfId="0" applyFont="1" applyFill="1" applyBorder="1"/>
    <xf numFmtId="3" fontId="3" fillId="0" borderId="0" xfId="0" applyNumberFormat="1" applyFont="1" applyFill="1" applyBorder="1"/>
    <xf numFmtId="0" fontId="4" fillId="0" borderId="0" xfId="0" applyFont="1"/>
    <xf numFmtId="0" fontId="0" fillId="0" borderId="0" xfId="0" applyFill="1" applyAlignment="1"/>
    <xf numFmtId="0" fontId="5" fillId="0" borderId="0" xfId="0" applyFont="1"/>
    <xf numFmtId="0" fontId="6" fillId="0" borderId="1" xfId="0" quotePrefix="1" applyFont="1" applyFill="1" applyBorder="1" applyAlignment="1" applyProtection="1">
      <alignment horizontal="center"/>
    </xf>
    <xf numFmtId="0" fontId="7" fillId="2" borderId="0" xfId="1" applyFont="1" applyFill="1" applyBorder="1" applyAlignment="1">
      <alignment horizontal="center"/>
    </xf>
    <xf numFmtId="0" fontId="8" fillId="0" borderId="0" xfId="0" applyFont="1" applyFill="1" applyAlignment="1"/>
    <xf numFmtId="0" fontId="9" fillId="0" borderId="0" xfId="0" applyFont="1" applyFill="1" applyAlignment="1">
      <alignment vertical="top"/>
    </xf>
    <xf numFmtId="0" fontId="10" fillId="0" borderId="0" xfId="0" applyFont="1" applyFill="1" applyAlignment="1">
      <alignment vertical="center"/>
    </xf>
    <xf numFmtId="0" fontId="6" fillId="0" borderId="1" xfId="0" applyFont="1" applyFill="1" applyBorder="1" applyAlignment="1" applyProtection="1">
      <alignment horizontal="right"/>
    </xf>
    <xf numFmtId="0" fontId="8" fillId="0" borderId="0" xfId="0" applyFont="1" applyFill="1" applyAlignment="1">
      <alignment vertical="top"/>
    </xf>
    <xf numFmtId="0" fontId="8" fillId="0" borderId="0" xfId="0" applyFont="1" applyFill="1" applyAlignment="1">
      <alignment horizontal="left" vertical="top"/>
    </xf>
    <xf numFmtId="0" fontId="11" fillId="3" borderId="0" xfId="0" applyFont="1" applyFill="1" applyAlignment="1"/>
    <xf numFmtId="0" fontId="12" fillId="0" borderId="0" xfId="0" applyFont="1"/>
    <xf numFmtId="0" fontId="13" fillId="0" borderId="0" xfId="0" applyNumberFormat="1" applyFont="1" applyAlignment="1"/>
    <xf numFmtId="3" fontId="6" fillId="4" borderId="1" xfId="0" applyNumberFormat="1" applyFont="1" applyFill="1" applyBorder="1" applyAlignment="1" applyProtection="1">
      <alignment horizontal="right" vertical="center"/>
    </xf>
    <xf numFmtId="0" fontId="14" fillId="0" borderId="0" xfId="1" applyFont="1"/>
    <xf numFmtId="0" fontId="13" fillId="0" borderId="0" xfId="0" applyFont="1"/>
    <xf numFmtId="0" fontId="15" fillId="5" borderId="2" xfId="0" quotePrefix="1" applyFont="1" applyFill="1" applyBorder="1" applyAlignment="1" applyProtection="1"/>
    <xf numFmtId="164" fontId="6" fillId="6" borderId="1" xfId="0" applyNumberFormat="1" applyFont="1" applyFill="1" applyBorder="1" applyAlignment="1" applyProtection="1">
      <alignment horizontal="right"/>
    </xf>
    <xf numFmtId="0" fontId="8" fillId="0" borderId="0" xfId="0" quotePrefix="1" applyFont="1" applyFill="1" applyAlignment="1">
      <alignment vertical="top"/>
    </xf>
    <xf numFmtId="0" fontId="0" fillId="0" borderId="0" xfId="0" applyBorder="1"/>
    <xf numFmtId="3" fontId="6" fillId="0" borderId="1" xfId="0" applyNumberFormat="1" applyFont="1" applyFill="1" applyBorder="1" applyAlignment="1" applyProtection="1">
      <alignment horizontal="right"/>
    </xf>
    <xf numFmtId="0" fontId="6" fillId="0" borderId="3" xfId="0" applyFont="1" applyBorder="1" applyAlignment="1" applyProtection="1">
      <alignment horizontal="right"/>
    </xf>
    <xf numFmtId="0" fontId="16" fillId="0" borderId="0" xfId="0" applyFont="1"/>
    <xf numFmtId="0" fontId="13" fillId="0" borderId="0" xfId="0" applyFont="1" applyAlignment="1">
      <alignment horizontal="center"/>
    </xf>
    <xf numFmtId="164" fontId="6" fillId="4" borderId="1" xfId="0" applyNumberFormat="1" applyFont="1" applyFill="1" applyBorder="1" applyAlignment="1" applyProtection="1">
      <alignment horizontal="right" vertical="center"/>
    </xf>
    <xf numFmtId="0" fontId="5" fillId="0" borderId="0" xfId="0" applyFont="1" applyAlignment="1">
      <alignment horizontal="right"/>
    </xf>
    <xf numFmtId="0" fontId="14" fillId="3" borderId="0" xfId="1" applyFont="1" applyFill="1"/>
    <xf numFmtId="164" fontId="6" fillId="6" borderId="1" xfId="0" quotePrefix="1" applyNumberFormat="1" applyFont="1" applyFill="1" applyBorder="1" applyAlignment="1" applyProtection="1">
      <alignment horizontal="center"/>
    </xf>
    <xf numFmtId="0" fontId="13" fillId="7" borderId="0" xfId="0" applyNumberFormat="1" applyFont="1" applyFill="1" applyAlignment="1"/>
    <xf numFmtId="0" fontId="6" fillId="4" borderId="1" xfId="0" applyFont="1" applyFill="1" applyBorder="1" applyAlignment="1" applyProtection="1">
      <alignment vertical="center"/>
    </xf>
    <xf numFmtId="2" fontId="13" fillId="0" borderId="0" xfId="0" applyNumberFormat="1" applyFont="1"/>
    <xf numFmtId="0" fontId="17" fillId="0" borderId="0" xfId="0" applyFont="1"/>
    <xf numFmtId="0" fontId="6" fillId="8" borderId="3" xfId="0" applyFont="1" applyFill="1" applyBorder="1" applyAlignment="1" applyProtection="1">
      <alignment horizontal="right"/>
    </xf>
    <xf numFmtId="3" fontId="13" fillId="0" borderId="0" xfId="0" applyNumberFormat="1" applyFont="1" applyAlignment="1"/>
    <xf numFmtId="0" fontId="6" fillId="0" borderId="1" xfId="0" applyFont="1" applyFill="1" applyBorder="1" applyAlignment="1" applyProtection="1">
      <alignment vertical="center"/>
    </xf>
    <xf numFmtId="0" fontId="6" fillId="0" borderId="1" xfId="0" quotePrefix="1" applyFont="1" applyBorder="1" applyAlignment="1" applyProtection="1"/>
    <xf numFmtId="0" fontId="18" fillId="0" borderId="0" xfId="0" applyFont="1"/>
    <xf numFmtId="0" fontId="13" fillId="0" borderId="0" xfId="0" quotePrefix="1" applyFont="1"/>
    <xf numFmtId="0" fontId="16" fillId="0" borderId="4" xfId="0" quotePrefix="1" applyFont="1" applyFill="1" applyBorder="1" applyAlignment="1">
      <alignment horizontal="right"/>
    </xf>
    <xf numFmtId="0" fontId="0" fillId="0" borderId="0" xfId="0" applyFont="1"/>
    <xf numFmtId="0" fontId="8" fillId="0" borderId="0" xfId="0" quotePrefix="1" applyFont="1" applyFill="1" applyAlignment="1"/>
    <xf numFmtId="0" fontId="0" fillId="0" borderId="0" xfId="0" applyFont="1" applyFill="1" applyAlignment="1"/>
    <xf numFmtId="0" fontId="8" fillId="0" borderId="0" xfId="0" quotePrefix="1" applyFont="1" applyFill="1" applyAlignment="1">
      <alignment horizontal="left" vertical="top"/>
    </xf>
    <xf numFmtId="0" fontId="19" fillId="0" borderId="0" xfId="0" applyFont="1" applyFill="1" applyAlignment="1"/>
    <xf numFmtId="0" fontId="6" fillId="8" borderId="5" xfId="0" applyFont="1" applyFill="1" applyBorder="1" applyAlignment="1" applyProtection="1">
      <alignment horizontal="right"/>
    </xf>
    <xf numFmtId="0" fontId="16" fillId="0" borderId="4" xfId="0" quotePrefix="1" applyFont="1" applyFill="1" applyBorder="1" applyAlignment="1"/>
    <xf numFmtId="0" fontId="16" fillId="0" borderId="4" xfId="0" applyFont="1" applyFill="1" applyBorder="1" applyAlignment="1">
      <alignment vertical="center"/>
    </xf>
    <xf numFmtId="3" fontId="13" fillId="9" borderId="0" xfId="0" applyNumberFormat="1" applyFont="1" applyFill="1" applyAlignment="1"/>
    <xf numFmtId="0" fontId="20" fillId="0" borderId="0" xfId="0" applyFont="1"/>
    <xf numFmtId="0" fontId="13" fillId="0" borderId="0" xfId="0" applyNumberFormat="1" applyFont="1"/>
    <xf numFmtId="165" fontId="13" fillId="0" borderId="0" xfId="0" applyNumberFormat="1" applyFont="1"/>
    <xf numFmtId="3" fontId="6" fillId="10" borderId="1" xfId="0" applyNumberFormat="1" applyFont="1" applyFill="1" applyBorder="1" applyAlignment="1" applyProtection="1">
      <alignment horizontal="right"/>
    </xf>
    <xf numFmtId="0" fontId="14" fillId="7" borderId="0" xfId="1" applyFont="1" applyFill="1"/>
    <xf numFmtId="0" fontId="4" fillId="0" borderId="0" xfId="0" applyFont="1" applyFill="1" applyBorder="1" applyAlignment="1">
      <alignment vertical="center"/>
    </xf>
    <xf numFmtId="3" fontId="13" fillId="11" borderId="0" xfId="0" applyNumberFormat="1" applyFont="1" applyFill="1" applyAlignment="1"/>
    <xf numFmtId="0" fontId="6" fillId="10" borderId="1" xfId="0" applyFont="1" applyFill="1" applyBorder="1" applyAlignment="1" applyProtection="1">
      <alignment horizontal="right"/>
    </xf>
    <xf numFmtId="0" fontId="7" fillId="2" borderId="6" xfId="1" applyFont="1" applyFill="1" applyBorder="1" applyAlignment="1">
      <alignment horizontal="center"/>
    </xf>
    <xf numFmtId="164" fontId="6" fillId="12" borderId="3" xfId="0" applyNumberFormat="1" applyFont="1" applyFill="1" applyBorder="1" applyAlignment="1" applyProtection="1">
      <alignment horizontal="right"/>
    </xf>
    <xf numFmtId="3" fontId="16" fillId="0" borderId="4" xfId="0" applyNumberFormat="1" applyFont="1" applyFill="1" applyBorder="1" applyAlignment="1"/>
    <xf numFmtId="3" fontId="4" fillId="0" borderId="0" xfId="0" applyNumberFormat="1" applyFont="1" applyFill="1" applyAlignment="1"/>
    <xf numFmtId="0" fontId="6" fillId="0" borderId="0" xfId="0" applyFont="1" applyFill="1" applyBorder="1" applyAlignment="1">
      <alignment vertical="center"/>
    </xf>
    <xf numFmtId="0" fontId="17" fillId="0" borderId="0" xfId="0" applyFont="1" applyFill="1" applyAlignment="1"/>
    <xf numFmtId="0" fontId="13" fillId="7" borderId="0" xfId="0" applyFont="1" applyFill="1"/>
    <xf numFmtId="3" fontId="13" fillId="7" borderId="0" xfId="0" applyNumberFormat="1" applyFont="1" applyFill="1" applyAlignment="1"/>
    <xf numFmtId="0" fontId="6" fillId="13" borderId="1" xfId="0" applyFont="1" applyFill="1" applyBorder="1" applyAlignment="1" applyProtection="1">
      <alignment vertical="center"/>
    </xf>
    <xf numFmtId="164" fontId="6" fillId="12" borderId="3" xfId="0" applyNumberFormat="1" applyFont="1" applyFill="1" applyBorder="1" applyAlignment="1" applyProtection="1">
      <alignment horizontal="center"/>
    </xf>
    <xf numFmtId="0" fontId="5" fillId="0" borderId="0" xfId="0" applyFont="1" applyAlignment="1">
      <alignment horizontal="center"/>
    </xf>
    <xf numFmtId="0" fontId="6" fillId="0" borderId="3" xfId="0" applyFont="1" applyBorder="1" applyAlignment="1" applyProtection="1">
      <alignment horizontal="center"/>
    </xf>
    <xf numFmtId="0" fontId="13" fillId="0" borderId="0" xfId="0" applyFont="1" applyFill="1" applyBorder="1" applyAlignment="1">
      <alignment vertical="center"/>
    </xf>
    <xf numFmtId="0" fontId="13" fillId="0" borderId="0" xfId="0" applyNumberFormat="1" applyFont="1" applyFill="1" applyBorder="1" applyAlignment="1"/>
    <xf numFmtId="0" fontId="6" fillId="13" borderId="7" xfId="0" applyFont="1" applyFill="1" applyBorder="1" applyAlignment="1" applyProtection="1">
      <alignment vertical="center"/>
    </xf>
    <xf numFmtId="0" fontId="13" fillId="0" borderId="0" xfId="0" quotePrefix="1" applyFont="1" applyFill="1"/>
  </cellXfs>
  <cellStyles count="2">
    <cellStyle name="Normal" xfId="0" builtinId="0"/>
    <cellStyle name="Normal_Sheet1" xfId="1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2.png" /><Relationship Id="rId2" Type="http://schemas.openxmlformats.org/officeDocument/2006/relationships/image" Target="../media/image1.png" /></Relationships>
</file>

<file path=xl/drawings/drawing1.xml><?xml version="1.0" encoding="utf-8"?>
<xdr:wsDr xmlns:a="http://schemas.openxmlformats.org/drawingml/2006/main" xmlns:xdr="http://schemas.openxmlformats.org/drawingml/2006/spreadsheetDrawing">
  <xdr:twoCellAnchor editAs="oneCell">
    <xdr:from>
      <xdr:col>1</xdr:col>
      <xdr:colOff>0</xdr:colOff>
      <xdr:row>6</xdr:row>
      <xdr:rowOff>209550</xdr:rowOff>
    </xdr:from>
    <xdr:to>
      <xdr:col>5</xdr:col>
      <xdr:colOff>281181</xdr:colOff>
      <xdr:row>8</xdr:row>
      <xdr:rowOff>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14463" y="1350645"/>
          <a:ext cx="3697007" cy="18986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5</xdr:col>
      <xdr:colOff>281181</xdr:colOff>
      <xdr:row>9</xdr:row>
      <xdr:rowOff>0</xdr:rowOff>
    </xdr:to>
    <xdr:pic>
      <xdr:nvPicPr>
        <xdr:cNvPr id="4" name="Picture 3"/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114463" y="1540510"/>
          <a:ext cx="3697007" cy="18986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5</xdr:col>
      <xdr:colOff>281181</xdr:colOff>
      <xdr:row>10</xdr:row>
      <xdr:rowOff>0</xdr:rowOff>
    </xdr:to>
    <xdr:pic>
      <xdr:nvPicPr>
        <xdr:cNvPr id="5" name="Picture 4"/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114463" y="1730375"/>
          <a:ext cx="3697007" cy="18986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9</xdr:row>
      <xdr:rowOff>189865</xdr:rowOff>
    </xdr:from>
    <xdr:to>
      <xdr:col>5</xdr:col>
      <xdr:colOff>281181</xdr:colOff>
      <xdr:row>10</xdr:row>
      <xdr:rowOff>189865</xdr:rowOff>
    </xdr:to>
    <xdr:pic>
      <xdr:nvPicPr>
        <xdr:cNvPr id="6" name="Picture 5"/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114463" y="1920240"/>
          <a:ext cx="3697007" cy="18986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10</xdr:row>
      <xdr:rowOff>189865</xdr:rowOff>
    </xdr:from>
    <xdr:to>
      <xdr:col>5</xdr:col>
      <xdr:colOff>281181</xdr:colOff>
      <xdr:row>12</xdr:row>
      <xdr:rowOff>0</xdr:rowOff>
    </xdr:to>
    <xdr:pic>
      <xdr:nvPicPr>
        <xdr:cNvPr id="7" name="Picture 6"/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114463" y="2110105"/>
          <a:ext cx="3697007" cy="18986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5</xdr:col>
      <xdr:colOff>281181</xdr:colOff>
      <xdr:row>12</xdr:row>
      <xdr:rowOff>189865</xdr:rowOff>
    </xdr:to>
    <xdr:pic>
      <xdr:nvPicPr>
        <xdr:cNvPr id="8" name="Picture 7"/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114463" y="2299970"/>
          <a:ext cx="3697007" cy="189865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a="http://schemas.openxmlformats.org/drawingml/2006/main" xmlns:xdr="http://schemas.openxmlformats.org/drawingml/2006/spreadsheetDrawing">
  <xdr:twoCellAnchor editAs="absolute">
    <xdr:from>
      <xdr:col>9</xdr:col>
      <xdr:colOff>114300</xdr:colOff>
      <xdr:row>3</xdr:row>
      <xdr:rowOff>109220</xdr:rowOff>
    </xdr:from>
    <xdr:to>
      <xdr:col>10</xdr:col>
      <xdr:colOff>315752</xdr:colOff>
      <xdr:row>7</xdr:row>
      <xdr:rowOff>104140</xdr:rowOff>
    </xdr:to>
    <xdr:sp macro="" textlink="">
      <xdr:nvSpPr>
        <xdr:cNvPr id="2" name="Comment 1" hidden="1"/>
        <xdr:cNvSpPr txBox="1"/>
      </xdr:nvSpPr>
      <xdr:spPr>
        <a:xfrm>
          <a:off x="12915672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XLCubed:</a:t>
          </a:r>
        </a:p>
        <a:p>
          <a:pPr algn="l"/>
          <a:r>
            <a:rPr/>
            <a:t>Blank name gives the default format.</a:t>
          </a:r>
        </a:p>
        <a:p>
          <a:pPr algn="l"/>
          <a:r>
            <a:rPr/>
            <a:t>Specify slicer name for slicer specific formats</a:t>
          </a:r>
        </a:p>
      </xdr:txBody>
    </xdr:sp>
    <xdr:clientData/>
  </xdr:twoCellAnchor>
  <xdr:twoCellAnchor editAs="absolute">
    <xdr:from>
      <xdr:col>10</xdr:col>
      <xdr:colOff>114300</xdr:colOff>
      <xdr:row>3</xdr:row>
      <xdr:rowOff>109220</xdr:rowOff>
    </xdr:from>
    <xdr:to>
      <xdr:col>11</xdr:col>
      <xdr:colOff>315752</xdr:colOff>
      <xdr:row>7</xdr:row>
      <xdr:rowOff>104140</xdr:rowOff>
    </xdr:to>
    <xdr:sp macro="" textlink="">
      <xdr:nvSpPr>
        <xdr:cNvPr id="3" name="Comment 2" hidden="1"/>
        <xdr:cNvSpPr txBox="1"/>
      </xdr:nvSpPr>
      <xdr:spPr>
        <a:xfrm>
          <a:off x="13811500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Display format for slicer title</a:t>
          </a:r>
        </a:p>
        <a:p>
          <a:pPr algn="l"/>
          <a:endParaRPr/>
        </a:p>
        <a:p>
          <a:pPr algn="l"/>
          <a:endParaRPr/>
        </a:p>
      </xdr:txBody>
    </xdr:sp>
    <xdr:clientData/>
  </xdr:twoCellAnchor>
  <xdr:twoCellAnchor editAs="absolute">
    <xdr:from>
      <xdr:col>11</xdr:col>
      <xdr:colOff>114300</xdr:colOff>
      <xdr:row>3</xdr:row>
      <xdr:rowOff>109220</xdr:rowOff>
    </xdr:from>
    <xdr:to>
      <xdr:col>12</xdr:col>
      <xdr:colOff>315752</xdr:colOff>
      <xdr:row>7</xdr:row>
      <xdr:rowOff>104140</xdr:rowOff>
    </xdr:to>
    <xdr:sp macro="" textlink="">
      <xdr:nvSpPr>
        <xdr:cNvPr id="4" name="Comment 3" hidden="1"/>
        <xdr:cNvSpPr txBox="1"/>
      </xdr:nvSpPr>
      <xdr:spPr>
        <a:xfrm>
          <a:off x="14707329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Format for non-button slicer text</a:t>
          </a:r>
        </a:p>
        <a:p>
          <a:pPr algn="l"/>
          <a:endParaRPr/>
        </a:p>
      </xdr:txBody>
    </xdr:sp>
    <xdr:clientData/>
  </xdr:twoCellAnchor>
  <xdr:twoCellAnchor editAs="absolute">
    <xdr:from>
      <xdr:col>12</xdr:col>
      <xdr:colOff>114300</xdr:colOff>
      <xdr:row>3</xdr:row>
      <xdr:rowOff>109220</xdr:rowOff>
    </xdr:from>
    <xdr:to>
      <xdr:col>13</xdr:col>
      <xdr:colOff>44867</xdr:colOff>
      <xdr:row>7</xdr:row>
      <xdr:rowOff>104140</xdr:rowOff>
    </xdr:to>
    <xdr:sp macro="" textlink="">
      <xdr:nvSpPr>
        <xdr:cNvPr id="5" name="Comment 4" hidden="1"/>
        <xdr:cNvSpPr txBox="1"/>
      </xdr:nvSpPr>
      <xdr:spPr>
        <a:xfrm>
          <a:off x="15603157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Default format for slicer buttons</a:t>
          </a:r>
        </a:p>
      </xdr:txBody>
    </xdr:sp>
    <xdr:clientData/>
  </xdr:twoCellAnchor>
  <xdr:twoCellAnchor editAs="absolute">
    <xdr:from>
      <xdr:col>13</xdr:col>
      <xdr:colOff>114300</xdr:colOff>
      <xdr:row>3</xdr:row>
      <xdr:rowOff>109220</xdr:rowOff>
    </xdr:from>
    <xdr:to>
      <xdr:col>14</xdr:col>
      <xdr:colOff>169913</xdr:colOff>
      <xdr:row>7</xdr:row>
      <xdr:rowOff>104140</xdr:rowOff>
    </xdr:to>
    <xdr:sp macro="" textlink="">
      <xdr:nvSpPr>
        <xdr:cNvPr id="6" name="Comment 5" hidden="1"/>
        <xdr:cNvSpPr txBox="1"/>
      </xdr:nvSpPr>
      <xdr:spPr>
        <a:xfrm>
          <a:off x="16769870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Display format for selected button</a:t>
          </a:r>
        </a:p>
      </xdr:txBody>
    </xdr:sp>
    <xdr:clientData/>
  </xdr:twoCellAnchor>
  <xdr:twoCellAnchor editAs="absolute">
    <xdr:from>
      <xdr:col>14</xdr:col>
      <xdr:colOff>114300</xdr:colOff>
      <xdr:row>3</xdr:row>
      <xdr:rowOff>109220</xdr:rowOff>
    </xdr:from>
    <xdr:to>
      <xdr:col>14</xdr:col>
      <xdr:colOff>1211580</xdr:colOff>
      <xdr:row>7</xdr:row>
      <xdr:rowOff>104140</xdr:rowOff>
    </xdr:to>
    <xdr:sp macro="" textlink="">
      <xdr:nvSpPr>
        <xdr:cNvPr id="7" name="Comment 6" hidden="1"/>
        <xdr:cNvSpPr txBox="1"/>
      </xdr:nvSpPr>
      <xdr:spPr>
        <a:xfrm>
          <a:off x="17811537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Display format for button when hovered over</a:t>
          </a:r>
        </a:p>
        <a:p>
          <a:pPr algn="l"/>
          <a:endParaRPr/>
        </a:p>
      </xdr:txBody>
    </xdr:sp>
    <xdr:clientData/>
  </xdr:twoCellAnchor>
  <xdr:twoCellAnchor editAs="absolute">
    <xdr:from>
      <xdr:col>15</xdr:col>
      <xdr:colOff>114300</xdr:colOff>
      <xdr:row>3</xdr:row>
      <xdr:rowOff>109220</xdr:rowOff>
    </xdr:from>
    <xdr:to>
      <xdr:col>16</xdr:col>
      <xdr:colOff>545050</xdr:colOff>
      <xdr:row>7</xdr:row>
      <xdr:rowOff>104140</xdr:rowOff>
    </xdr:to>
    <xdr:sp macro="" textlink="">
      <xdr:nvSpPr>
        <xdr:cNvPr id="8" name="Comment 7" hidden="1"/>
        <xdr:cNvSpPr txBox="1"/>
      </xdr:nvSpPr>
      <xdr:spPr>
        <a:xfrm>
          <a:off x="19144883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Background between the slicer buttons.</a:t>
          </a:r>
        </a:p>
      </xdr:txBody>
    </xdr:sp>
    <xdr:clientData/>
  </xdr:twoCellAnchor>
  <xdr:twoCellAnchor editAs="absolute">
    <xdr:from>
      <xdr:col>4</xdr:col>
      <xdr:colOff>114300</xdr:colOff>
      <xdr:row>22</xdr:row>
      <xdr:rowOff>109220</xdr:rowOff>
    </xdr:from>
    <xdr:to>
      <xdr:col>4</xdr:col>
      <xdr:colOff>1211580</xdr:colOff>
      <xdr:row>26</xdr:row>
      <xdr:rowOff>104140</xdr:rowOff>
    </xdr:to>
    <xdr:sp macro="" textlink="">
      <xdr:nvSpPr>
        <xdr:cNvPr id="9" name="Comment 8" hidden="1"/>
        <xdr:cNvSpPr txBox="1"/>
      </xdr:nvSpPr>
      <xdr:spPr>
        <a:xfrm>
          <a:off x="7332768" y="356362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Can use wildcard character - '*'</a:t>
          </a:r>
        </a:p>
        <a:p>
          <a:pPr algn="l"/>
          <a:endParaRPr/>
        </a:p>
        <a:p>
          <a:pPr algn="l"/>
          <a:endParaRPr/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K638"/>
  <sheetViews>
    <sheetView tabSelected="1" workbookViewId="0"/>
  </sheetViews>
  <sheetFormatPr defaultColWidth="11.28515625" defaultRowHeight="14.95"/>
  <cols>
    <col min="1" max="1" width="42.7109375" style="43" customWidth="1"/>
    <col min="2" max="10" width="11.7109375" customWidth="1"/>
    <col min="11" max="11" width="11.28515625" customWidth="1"/>
    <col min="12" max="12" width="9.85546875" customWidth="1"/>
    <col min="13" max="13" width="7.28515625" customWidth="1"/>
    <col min="14" max="14" width="11.28515625" customWidth="1"/>
    <col min="15" max="15" width="9.85546875" customWidth="1"/>
    <col min="16" max="16" width="7.28515625" customWidth="1"/>
    <col min="17" max="17" width="11.28515625" customWidth="1"/>
    <col min="18" max="18" width="7.28515625" customWidth="1"/>
    <col min="19" max="19" width="11.28515625" customWidth="1"/>
    <col min="20" max="20" width="9.85546875" customWidth="1"/>
    <col min="21" max="21" width="7.28515625" customWidth="1"/>
    <col min="22" max="22" width="11.28515625" customWidth="1"/>
    <col min="23" max="23" width="9.85546875" customWidth="1"/>
    <col min="24" max="24" width="7.28515625" customWidth="1"/>
    <col min="25" max="25" width="11.28515625" customWidth="1"/>
    <col min="26" max="26" width="17.140625" customWidth="1"/>
    <col min="27" max="27" width="6.7109375" customWidth="1"/>
    <col min="28" max="28" width="7.140625" customWidth="1"/>
    <col min="29" max="29" width="17.140625" customWidth="1"/>
    <col min="30" max="30" width="6.7109375" customWidth="1"/>
    <col min="31" max="31" width="7.140625" customWidth="1"/>
    <col min="32" max="32" width="17.140625" customWidth="1"/>
    <col min="33" max="33" width="6.7109375" customWidth="1"/>
    <col min="34" max="34" width="7.140625" customWidth="1"/>
  </cols>
  <sheetData>
    <row>
      <c s="10" t="s">
        <v>18</v>
      </c>
      <c s="10"/>
      <c s="10"/>
      <c s="10"/>
      <c s="10"/>
      <c s="4"/>
    </row>
    <row s="35" customFormat="1">
      <c s="9" t="s">
        <v>23</v>
      </c>
      <c s="9"/>
      <c s="9"/>
      <c s="9"/>
      <c s="9"/>
      <c s="65"/>
    </row>
    <row ht="15" customHeight="1" s="35" customFormat="1">
      <c s="46" t="s">
        <v>58</v>
      </c>
      <c s="13"/>
      <c s="13"/>
      <c s="13"/>
      <c s="13"/>
      <c s="47"/>
    </row>
    <row s="35" customFormat="1">
      <c s="22" t="s">
        <v>95</v>
      </c>
      <c s="13"/>
      <c s="13"/>
      <c s="13"/>
      <c s="13"/>
      <c s="47"/>
    </row>
    <row ht="15" customHeight="1">
      <c s="44" t="s">
        <v>86</v>
      </c>
      <c s="8"/>
      <c s="8"/>
      <c s="8"/>
      <c s="8"/>
      <c s="8"/>
    </row>
    <row ht="15" customHeight="1">
      <c s="22" t="s">
        <v>70</v>
      </c>
      <c s="12"/>
      <c s="12"/>
      <c s="12"/>
      <c s="12"/>
      <c s="4"/>
    </row>
    <row ht="16.5" customHeight="1">
      <c s="45"/>
      <c s="4"/>
      <c s="4"/>
      <c s="4"/>
      <c s="4"/>
      <c s="4"/>
    </row>
    <row>
      <c s="20" t="s">
        <v>1</v>
      </c>
      <c s="39" t="s">
        <v>11</v>
      </c>
      <c r="F8" t="s">
        <v>27</v>
      </c>
    </row>
    <row>
      <c s="20" t="s">
        <v>0</v>
      </c>
      <c s="39" t="s">
        <v>24</v>
      </c>
      <c r="F9" t="s">
        <v>27</v>
      </c>
    </row>
    <row>
      <c s="20" t="s">
        <v>17</v>
      </c>
      <c s="39" t="s">
        <v>24</v>
      </c>
      <c r="F10" t="s">
        <v>27</v>
      </c>
    </row>
    <row>
      <c s="20" t="s">
        <v>65</v>
      </c>
      <c s="39" t="s">
        <v>24</v>
      </c>
      <c r="F11" t="s">
        <v>27</v>
      </c>
    </row>
    <row>
      <c s="20" t="s">
        <v>46</v>
      </c>
      <c s="39" t="s">
        <v>24</v>
      </c>
      <c r="F12" t="s">
        <v>27</v>
      </c>
    </row>
    <row>
      <c s="20" t="s">
        <v>72</v>
      </c>
      <c s="39" t="s">
        <v>24</v>
      </c>
      <c r="F13" t="s">
        <v>27</v>
      </c>
    </row>
    <row ht="15" hidden="1">
      <c s="20" t="s">
        <v>80</v>
      </c>
      <c s="39" t="s">
        <v>53</v>
      </c>
    </row>
    <row ht="15" hidden="1">
      <c s="20" t="s">
        <v>59</v>
      </c>
      <c s="39" t="s">
        <v>10</v>
      </c>
    </row>
    <row ht="15" hidden="1">
      <c s="20" t="s">
        <v>45</v>
      </c>
      <c s="39" t="s">
        <v>19</v>
      </c>
    </row>
    <row>
      <c/>
    </row>
    <row>
      <c/>
    </row>
    <row>
      <c/>
      <c s="6" t="s">
        <v>2</v>
      </c>
      <c s="6"/>
      <c s="6"/>
      <c s="6"/>
      <c s="6"/>
    </row>
    <row ht="15" customHeight="1">
      <c/>
      <c s="6" t="s">
        <v>12</v>
      </c>
      <c s="6"/>
      <c s="6"/>
      <c s="31" t="s">
        <v>60</v>
      </c>
      <c s="31"/>
    </row>
    <row ht="15" customHeight="1">
      <c s="20" t="s">
        <v>71</v>
      </c>
      <c s="11" t="s">
        <v>4</v>
      </c>
      <c s="11" t="s">
        <v>37</v>
      </c>
      <c s="59" t="s">
        <v>24</v>
      </c>
      <c s="11" t="s">
        <v>4</v>
      </c>
      <c s="11" t="s">
        <v>37</v>
      </c>
    </row>
    <row>
      <c s="38" t="s">
        <v>29</v>
      </c>
      <c s="24">
        <v>37746.999999999993</v>
      </c>
      <c s="24">
        <v>16247.999999999998</v>
      </c>
      <c s="55">
        <v>53995.000000000007</v>
      </c>
      <c s="21">
        <v>0.69908324844893022</v>
      </c>
      <c s="21">
        <v>0.30091675155106945</v>
      </c>
    </row>
    <row>
      <c s="38" t="s">
        <v>66</v>
      </c>
      <c s="24">
        <v>22614.000000000007</v>
      </c>
      <c s="24">
        <v>45701.000000000015</v>
      </c>
      <c s="55">
        <v>68315</v>
      </c>
      <c s="21">
        <v>0.33102539705774731</v>
      </c>
      <c s="21">
        <v>0.66897460294225297</v>
      </c>
    </row>
    <row>
      <c s="38" t="s">
        <v>13</v>
      </c>
      <c s="24">
        <v>4638</v>
      </c>
      <c s="24">
        <v>3500</v>
      </c>
      <c s="55">
        <v>8138</v>
      </c>
      <c s="21">
        <v>0.56991889899238146</v>
      </c>
      <c s="21">
        <v>0.43008110100761859</v>
      </c>
    </row>
    <row>
      <c s="38" t="s">
        <v>40</v>
      </c>
      <c s="24">
        <v>12062.861649999995</v>
      </c>
      <c s="24">
        <v>6589.6994500000028</v>
      </c>
      <c s="55">
        <v>18652.561099999999</v>
      </c>
      <c s="21">
        <v>0.64671342371316487</v>
      </c>
      <c s="21">
        <v>0.35328657628683513</v>
      </c>
    </row>
    <row>
      <c s="38" t="s">
        <v>82</v>
      </c>
      <c s="24">
        <v>9506.9999999999982</v>
      </c>
      <c s="24">
        <v>7347.9999999999991</v>
      </c>
      <c s="55">
        <v>16855</v>
      </c>
      <c s="21">
        <v>0.56404627706911881</v>
      </c>
      <c s="21">
        <v>0.43595372293088097</v>
      </c>
    </row>
    <row>
      <c s="38" t="s">
        <v>39</v>
      </c>
      <c s="24">
        <v>26119</v>
      </c>
      <c s="24">
        <v>17894</v>
      </c>
      <c s="55">
        <v>44013</v>
      </c>
      <c s="21">
        <v>0.59343830231976913</v>
      </c>
      <c s="21">
        <v>0.40656169768023082</v>
      </c>
    </row>
    <row>
      <c s="38" t="s">
        <v>87</v>
      </c>
      <c s="24">
        <v>17944</v>
      </c>
      <c s="24">
        <v>12492</v>
      </c>
      <c s="55">
        <v>30436</v>
      </c>
      <c s="21">
        <v>0.58956498882901831</v>
      </c>
      <c s="21">
        <v>0.41043501117098175</v>
      </c>
    </row>
    <row>
      <c s="38" t="s">
        <v>30</v>
      </c>
      <c s="24">
        <v>22482</v>
      </c>
      <c s="24">
        <v>22720.000000000004</v>
      </c>
      <c s="55">
        <v>45202</v>
      </c>
      <c s="21">
        <v>0.49736737312508295</v>
      </c>
      <c s="21">
        <v>0.50263262687491717</v>
      </c>
    </row>
    <row>
      <c s="38" t="s">
        <v>89</v>
      </c>
      <c s="24">
        <v>824</v>
      </c>
      <c s="24">
        <v>1121</v>
      </c>
      <c s="55">
        <v>1945</v>
      </c>
      <c s="21">
        <v>0.42365038560411311</v>
      </c>
      <c s="21">
        <v>0.57634961439588694</v>
      </c>
    </row>
    <row>
      <c s="38" t="s">
        <v>47</v>
      </c>
      <c s="24">
        <v>293</v>
      </c>
      <c s="24">
        <v>202</v>
      </c>
      <c s="55">
        <v>495</v>
      </c>
      <c s="21">
        <v>0.59191919191919196</v>
      </c>
      <c s="21">
        <v>0.4080808080808081</v>
      </c>
    </row>
    <row>
      <c s="38" t="s">
        <v>81</v>
      </c>
      <c s="24">
        <v>41</v>
      </c>
      <c s="24">
        <v>21</v>
      </c>
      <c s="55">
        <v>62</v>
      </c>
      <c s="21">
        <v>0.66129032258064513</v>
      </c>
      <c s="21">
        <v>0.33870967741935482</v>
      </c>
    </row>
    <row>
      <c s="38" t="s">
        <v>3</v>
      </c>
      <c s="24">
        <v>1476</v>
      </c>
      <c s="24">
        <v>343</v>
      </c>
      <c s="55">
        <v>1819</v>
      </c>
      <c s="21">
        <v>0.81143485431555795</v>
      </c>
      <c s="21">
        <v>0.18856514568444199</v>
      </c>
    </row>
    <row>
      <c s="38" t="s">
        <v>28</v>
      </c>
      <c s="24">
        <v>1832.0000000000005</v>
      </c>
      <c s="24">
        <v>1096</v>
      </c>
      <c s="55">
        <v>2928</v>
      </c>
      <c s="21">
        <v>0.62568306010928976</v>
      </c>
      <c s="21">
        <v>0.37431693989071041</v>
      </c>
    </row>
    <row>
      <c s="33" t="s">
        <v>24</v>
      </c>
      <c s="17">
        <v>157579.86165000001</v>
      </c>
      <c s="17">
        <v>135275.69945000007</v>
      </c>
      <c s="17">
        <v>292855.56110000028</v>
      </c>
      <c s="28">
        <v>0.5380804826041593</v>
      </c>
      <c s="28">
        <v>0.46191951739584003</v>
      </c>
    </row>
    <row>
      <c/>
    </row>
    <row>
      <c/>
    </row>
    <row>
      <c/>
    </row>
    <row>
      <c/>
    </row>
    <row>
      <c s="23"/>
    </row>
    <row>
      <c s="23"/>
    </row>
    <row>
      <c s="64"/>
    </row>
    <row>
      <c s="64"/>
    </row>
    <row>
      <c s="23"/>
    </row>
    <row>
      <c s="23"/>
    </row>
    <row>
      <c s="23"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 s="1"/>
      <c s="1"/>
      <c s="1"/>
      <c s="1"/>
      <c s="1"/>
      <c s="1"/>
      <c s="1"/>
      <c s="1"/>
      <c s="1"/>
      <c s="1"/>
      <c s="1"/>
    </row>
    <row>
      <c s="1"/>
      <c s="1"/>
      <c s="1"/>
      <c s="1"/>
      <c s="1"/>
      <c s="1"/>
      <c s="1"/>
      <c s="1"/>
      <c s="1"/>
      <c s="1"/>
      <c s="1"/>
    </row>
    <row>
      <c s="1"/>
      <c s="1"/>
      <c s="1"/>
      <c s="1"/>
      <c s="1"/>
      <c s="1"/>
      <c s="1"/>
      <c s="1"/>
      <c s="1"/>
      <c s="1"/>
      <c s="1"/>
    </row>
    <row>
      <c s="57"/>
      <c s="2"/>
      <c s="2"/>
      <c s="2"/>
      <c s="2"/>
      <c s="2"/>
      <c s="2"/>
      <c s="2"/>
      <c s="2"/>
      <c s="2"/>
      <c s="1"/>
    </row>
    <row>
      <c s="1"/>
      <c s="1"/>
      <c s="1"/>
      <c s="1"/>
      <c s="1"/>
      <c s="1"/>
      <c s="1"/>
      <c s="1"/>
      <c s="1"/>
      <c s="1"/>
      <c s="1"/>
    </row>
    <row>
      <c s="1"/>
      <c s="1"/>
      <c s="1"/>
      <c s="1"/>
      <c s="1"/>
      <c s="1"/>
      <c s="1"/>
      <c s="1"/>
      <c s="1"/>
      <c s="1"/>
      <c s="1"/>
    </row>
    <row>
      <c s="1"/>
      <c s="1"/>
      <c s="1"/>
      <c s="1"/>
      <c s="1"/>
      <c s="1"/>
      <c s="1"/>
      <c s="1"/>
      <c s="1"/>
      <c s="1"/>
      <c s="1"/>
    </row>
    <row>
      <c s="1"/>
      <c s="1"/>
      <c s="1"/>
      <c s="1"/>
      <c s="1"/>
      <c s="1"/>
      <c s="1"/>
      <c s="1"/>
      <c s="1"/>
      <c s="1"/>
      <c s="1"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</sheetData>
  <mergeCells count="3">
    <mergeCell ref="B19:F19"/>
    <mergeCell ref="B20:D20"/>
    <mergeCell ref="E20:F20"/>
  </mergeCells>
  <pageMargins left="0.70866141732283472" right="0.70866141732283472" top="0.78740157480314965" bottom="0.78740157480314965" header="0.31496062992125984" footer="0.31496062992125984"/>
  <pageSetup paperSize="9" scale="95" orientation="landscape"/>
  <headerFooter>
    <oddHeader>&amp;L&amp;"Tahoma,Standard"&amp;10unidata.gv.at&amp;R&amp;"Tahoma,Standard"&amp;10&amp;D</oddHeader>
    <oddFooter>&amp;R&amp;"Tahoma,Standard"&amp;10&amp;P/&amp;N</oddFooter>
  </headerFooter>
  <drawing r:id="rId1"/>
</worksheet>
</file>

<file path=xl/worksheets/sheet2.xml><?xml version="1.0" encoding="utf-8"?>
<worksheet xmlns:r="http://schemas.openxmlformats.org/officeDocument/2006/relationships" xmlns="http://schemas.openxmlformats.org/spreadsheetml/2006/main">
  <dimension ref="A1:Z33"/>
  <sheetViews>
    <sheetView workbookViewId="0">
      <selection activeCell="E32" sqref="E32"/>
    </sheetView>
  </sheetViews>
  <sheetFormatPr defaultColWidth="9.140625" defaultRowHeight="13.6"/>
  <cols>
    <col min="1" max="1" width="13.7109375" style="19" customWidth="1"/>
    <col min="2" max="2" width="40.85546875" style="19" customWidth="1"/>
    <col min="3" max="3" width="28.140625" style="19" customWidth="1"/>
    <col min="4" max="4" width="16.28515625" style="19" customWidth="1"/>
    <col min="5" max="5" width="19.28515625" style="19" customWidth="1"/>
    <col min="6" max="6" width="11.140625" style="19" customWidth="1"/>
    <col min="7" max="7" width="9.140625" style="19" customWidth="1"/>
    <col min="8" max="8" width="17.28515625" style="19" customWidth="1"/>
    <col min="9" max="9" width="19.7109375" style="19" customWidth="1"/>
    <col min="10" max="12" width="12.28515625" style="19" customWidth="1"/>
    <col min="13" max="13" width="16" style="19" customWidth="1"/>
    <col min="14" max="14" width="14.28515625" style="19" customWidth="1"/>
    <col min="15" max="15" width="18.28515625" style="19" customWidth="1"/>
    <col min="16" max="25" width="9.140625" style="19" customWidth="1"/>
    <col min="26" max="26" width="9.140625" style="19" hidden="1" customWidth="1"/>
    <col min="27" max="27" width="9.140625" style="19" customWidth="1"/>
    <col min="28" max="16384" width="9.140625" style="19"/>
  </cols>
  <sheetData>
    <row>
      <c s="53"/>
      <c r="H1" s="54">
        <v>129806172700000000</v>
      </c>
      <c r="Z1" s="34" t="b">
        <f>0=1</f>
        <v>0</v>
      </c>
    </row>
    <row>
      <c r="Z2" s="34" t="b">
        <f>1=1</f>
        <v>1</v>
      </c>
    </row>
    <row>
      <c r="Z3" s="34"/>
    </row>
    <row>
      <c r="I4" s="19" t="s">
        <v>38</v>
      </c>
      <c s="60" t="s">
        <v>67</v>
      </c>
      <c s="7"/>
      <c s="7"/>
      <c s="7"/>
      <c s="7"/>
      <c s="7"/>
    </row>
    <row>
      <c r="J5" s="30" t="s">
        <v>31</v>
      </c>
      <c s="18" t="s">
        <v>48</v>
      </c>
      <c s="18" t="s">
        <v>61</v>
      </c>
      <c s="30" t="s">
        <v>90</v>
      </c>
      <c s="56" t="s">
        <v>73</v>
      </c>
      <c s="18" t="s">
        <v>5</v>
      </c>
    </row>
    <row>
      <c r="B6" s="29" t="s">
        <v>74</v>
      </c>
      <c s="14" t="s">
        <v>83</v>
      </c>
      <c s="49" t="s">
        <v>14</v>
      </c>
      <c s="5" t="s">
        <v>49</v>
      </c>
    </row>
    <row>
      <c r="C7" s="15"/>
      <c s="26" t="s">
        <v>15</v>
      </c>
      <c s="5" t="s">
        <v>54</v>
      </c>
    </row>
    <row>
      <c r="C8" s="26" t="s">
        <v>6</v>
      </c>
      <c s="15"/>
    </row>
    <row>
      <c r="C9" s="15"/>
      <c s="14" t="s">
        <v>32</v>
      </c>
      <c s="40"/>
    </row>
    <row>
      <c r="C10" s="14" t="s">
        <v>41</v>
      </c>
      <c s="42" t="s">
        <v>62</v>
      </c>
      <c s="5" t="s">
        <v>20</v>
      </c>
    </row>
    <row>
      <c r="B11" s="29" t="s">
        <v>50</v>
      </c>
      <c s="50" t="s">
        <v>42</v>
      </c>
      <c s="62">
        <v>60398</v>
      </c>
      <c s="5" t="s">
        <v>33</v>
      </c>
    </row>
    <row>
      <c r="B12" s="29"/>
      <c s="72"/>
      <c s="73"/>
      <c s="70" t="s">
        <v>68</v>
      </c>
    </row>
    <row>
      <c r="B13" s="29" t="s">
        <v>43</v>
      </c>
      <c s="66" t="s">
        <v>25</v>
      </c>
      <c s="67">
        <v>1212</v>
      </c>
      <c s="19" t="b">
        <v>0</v>
      </c>
      <c s="5" t="s">
        <v>63</v>
      </c>
    </row>
    <row ht="12.75" hidden="1">
      <c r="B14" s="29"/>
      <c s="66"/>
      <c s="32"/>
      <c s="19" t="b">
        <v>0</v>
      </c>
    </row>
    <row>
      <c r="B15" s="29" t="s">
        <v>84</v>
      </c>
      <c s="19" t="s">
        <v>88</v>
      </c>
      <c s="37">
        <v>1212</v>
      </c>
      <c s="19" t="b">
        <v>0</v>
      </c>
      <c s="5" t="s">
        <v>26</v>
      </c>
    </row>
    <row ht="12.75" hidden="1">
      <c r="B16" s="29"/>
      <c r="D16" s="16"/>
      <c s="19" t="b">
        <v>0</v>
      </c>
      <c s="5"/>
    </row>
    <row>
      <c r="B17" s="29"/>
      <c s="19" t="s">
        <v>34</v>
      </c>
      <c s="51">
        <v>3434</v>
      </c>
      <c s="19" t="b">
        <v>0</v>
      </c>
      <c s="5" t="s">
        <v>64</v>
      </c>
    </row>
    <row>
      <c r="B18" s="29"/>
      <c r="D18" s="16"/>
      <c s="19" t="b">
        <v>0</v>
      </c>
      <c s="5"/>
    </row>
    <row>
      <c r="B19" s="29"/>
      <c s="19" t="s">
        <v>7</v>
      </c>
      <c s="58">
        <v>3434</v>
      </c>
      <c s="19" t="b">
        <v>0</v>
      </c>
      <c s="5" t="s">
        <v>75</v>
      </c>
    </row>
    <row>
      <c r="B20" s="29"/>
      <c r="D20" s="16"/>
      <c s="19" t="b">
        <v>0</v>
      </c>
      <c s="5"/>
    </row>
    <row>
      <c r="B21" s="29"/>
      <c s="19" t="s">
        <v>76</v>
      </c>
      <c s="63">
        <v>5656</v>
      </c>
      <c s="19" t="b">
        <v>0</v>
      </c>
      <c s="5" t="s">
        <v>91</v>
      </c>
    </row>
    <row>
      <c r="B22" s="29"/>
      <c r="E22" s="5"/>
      <c r="I22" s="52"/>
    </row>
    <row>
      <c r="B23" s="27" t="s">
        <v>8</v>
      </c>
      <c s="27"/>
    </row>
    <row>
      <c r="B24" s="3" t="s">
        <v>51</v>
      </c>
      <c s="3" t="s">
        <v>35</v>
      </c>
      <c s="3" t="s">
        <v>16</v>
      </c>
      <c s="3" t="s">
        <v>77</v>
      </c>
      <c s="3"/>
      <c s="3"/>
      <c s="3" t="s">
        <v>92</v>
      </c>
    </row>
    <row>
      <c s="19" t="s">
        <v>55</v>
      </c>
      <c r="C25" s="75" t="s">
        <v>52</v>
      </c>
      <c s="25" t="s">
        <v>2</v>
      </c>
      <c s="25">
        <v>1234.5599999999999</v>
      </c>
      <c s="5" t="s">
        <v>69</v>
      </c>
      <c r="H25" s="19" t="s">
        <v>78</v>
      </c>
    </row>
    <row>
      <c s="19" t="s">
        <v>85</v>
      </c>
      <c r="C26" s="75" t="s">
        <v>52</v>
      </c>
      <c s="25" t="s">
        <v>2</v>
      </c>
      <c s="25">
        <v>1234.5599999999999</v>
      </c>
      <c s="5" t="s">
        <v>56</v>
      </c>
      <c r="H26" s="19" t="s">
        <v>93</v>
      </c>
    </row>
    <row>
      <c r="C27" s="75" t="s">
        <v>52</v>
      </c>
      <c s="71" t="s">
        <v>2</v>
      </c>
      <c s="25">
        <v>1234.5599999999999</v>
      </c>
      <c r="H27" s="19" t="s">
        <v>57</v>
      </c>
    </row>
    <row>
      <c r="C28" s="41" t="s">
        <v>52</v>
      </c>
      <c s="71" t="s">
        <v>44</v>
      </c>
      <c s="25">
        <v>1234.5599999999999</v>
      </c>
      <c r="H28" s="19" t="s">
        <v>36</v>
      </c>
    </row>
    <row>
      <c r="C29" s="41" t="s">
        <v>52</v>
      </c>
      <c s="71" t="s">
        <v>21</v>
      </c>
      <c s="25">
        <v>1234.5599999999999</v>
      </c>
      <c r="H29" s="19" t="s">
        <v>94</v>
      </c>
    </row>
    <row>
      <c r="C30" s="41" t="s">
        <v>9</v>
      </c>
      <c s="71" t="s">
        <v>12</v>
      </c>
      <c s="25">
        <v>1234.5599999999999</v>
      </c>
    </row>
    <row>
      <c r="C31" s="41" t="s">
        <v>79</v>
      </c>
      <c s="36" t="s">
        <v>24</v>
      </c>
      <c s="48">
        <v>1234.5599999999999</v>
      </c>
    </row>
    <row>
      <c r="C32" s="41" t="s">
        <v>9</v>
      </c>
      <c s="69" t="s">
        <v>60</v>
      </c>
      <c s="61">
        <v>1234.5599999999999</v>
      </c>
    </row>
    <row>
      <c r="C33" s="41" t="s">
        <v>22</v>
      </c>
      <c s="74" t="s">
        <v>24</v>
      </c>
      <c s="68">
        <v>1234.5599999999999</v>
      </c>
    </row>
  </sheetData>
  <mergeCells count="2">
    <mergeCell ref="J4:O4"/>
    <mergeCell ref="B23:C23"/>
  </mergeCells>
  <dataValidations count="1">
    <dataValidation type="list" allowBlank="1" showInputMessage="1" showErrorMessage="1" sqref="E13:E21">
      <formula1>$Z$1:$Z$2</formula1>
    </dataValidation>
  </dataValidations>
  <pageMargins left="0.7" right="0.7" top="0.787401575" bottom="0.787401575" header="0.3" footer="0.3"/>
  <pageSetup paperSize="9" orientation="portrait"/>
  <drawing r:id="rId1"/>
</worksheet>
</file>

<file path=[Content_Types].xml><?xml version="1.0" encoding="utf-8"?>
<Types xmlns="http://schemas.openxmlformats.org/package/2006/content-types">
  <Default Extension="rels" ContentType="application/vnd.openxmlformats-package.relationships+xml"/>
  <Override PartName="/xl/media/image1.png" ContentType="image/png"/>
  <Override PartName="/xl/media/image2.png" ContentType="image/pn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8.3.25.102"/>
  <workbookPr defaultThemeVersion="124226"/>
  <bookViews>
    <workbookView xWindow="0" yWindow="0" windowWidth="10725" windowHeight="8370"/>
  </bookViews>
  <sheets>
    <sheet name="Tab" sheetId="1" r:id="rId1"/>
    <sheet name="XLCubedFormats" sheetId="2" state="hidden" r:id="rId2"/>
  </sheets>
  <definedNames>
    <definedName name="_xlnm.Print_Area" localSheetId="0">Tab!$A$1:$I$47</definedName>
    <definedName name="_xlnm.Print_Titles" localSheetId="0">Tab!$17:$22</definedName>
    <definedName name="XL3DisableCameraObjects" hidden="1">XLCubedFormats!A1</definedName>
    <definedName name="XL3ObjLocation9d1b78e0_2877_4fa3_9ac7_d56aa8ddafa0">Tab!$A$10</definedName>
  </definedNames>
  <calcPr calcId="40001"/>
</workbook>
</file>

<file path=xl/sharedStrings.xml><?xml version="1.0" encoding="utf-8"?>
<sst xmlns="http://schemas.openxmlformats.org/spreadsheetml/2006/main" uniqueCount="111">
  <si>
    <t>Universität</t>
  </si>
  <si>
    <t>Wirtschaftsuniversität Wien</t>
  </si>
  <si>
    <t>Semester und Datenstichtag</t>
  </si>
  <si>
    <t>Frauen</t>
  </si>
  <si>
    <t>Slicer Button Background</t>
  </si>
  <si>
    <t>Grid Title</t>
  </si>
  <si>
    <t>Oth Written Member</t>
  </si>
  <si>
    <t>Fill in Grid Name, Dimension or Both</t>
  </si>
  <si>
    <t>[ALLG Wertart].[Wertart]</t>
  </si>
  <si>
    <t>Staatengruppe (Ö, EU, andere)</t>
  </si>
  <si>
    <t>Absolutwert</t>
  </si>
  <si>
    <t>Universität für Musik und darstellende Kunst Wien</t>
  </si>
  <si>
    <t>All Marital Status</t>
  </si>
  <si>
    <t>Male</t>
  </si>
  <si>
    <t>Member1 Name</t>
  </si>
  <si>
    <t>Studien Universitäten</t>
  </si>
  <si>
    <t>ord. Studium</t>
  </si>
  <si>
    <t>Begonnene Studien</t>
  </si>
  <si>
    <t>Universität für angewandte Kunst Wien</t>
  </si>
  <si>
    <t>Universität Wien</t>
  </si>
  <si>
    <t>&lt;-- default Column Member Format</t>
  </si>
  <si>
    <t>[ALLG Universität].[Universität]</t>
  </si>
  <si>
    <t>Gesamt</t>
  </si>
  <si>
    <t>Universität Mozarteum Salzburg</t>
  </si>
  <si>
    <t>Universität Klagenfurt</t>
  </si>
  <si>
    <t>Alternate Rows</t>
  </si>
  <si>
    <t>&lt;--  writeable cell format</t>
  </si>
  <si>
    <t xml:space="preserve"> </t>
  </si>
  <si>
    <t>Slicer Title</t>
  </si>
  <si>
    <t>Calendar Period</t>
  </si>
  <si>
    <t>&lt;-- default cell format</t>
  </si>
  <si>
    <t>Written Member</t>
  </si>
  <si>
    <t>Dimension/Column</t>
  </si>
  <si>
    <t>4) Prozentangaben werden standardmäßig mit einer Kommastelle angezeigt</t>
  </si>
  <si>
    <t>Dadurch sind Studien auf ganze Zahlen zu runden und es kann zu Abweichungen zwischen der Gesamtsumme und den addierten Detailergebnissen kommen.</t>
  </si>
  <si>
    <t>Medizinische Universität Innsbruck</t>
  </si>
  <si>
    <t>Männer</t>
  </si>
  <si>
    <t>Slice Name (Optional)</t>
  </si>
  <si>
    <t>UA, UB, UC, UD, UE, UF, UG, UH, UI, UJ, UK, UL, UM, UN, UO, UQ, UR, US, UT, UU, UV, UW, UZ</t>
  </si>
  <si>
    <t>Veterinärmedizinische Universität Wien</t>
  </si>
  <si>
    <t>Montanuniversität Leoben</t>
  </si>
  <si>
    <t>Studienjahr 2024/25</t>
  </si>
  <si>
    <t>Lehramtsstudien</t>
  </si>
  <si>
    <t>ALLG Semester.Studienjahr (Langbezeichnung)</t>
  </si>
  <si>
    <t>Customer</t>
  </si>
  <si>
    <t>-All Customer</t>
  </si>
  <si>
    <t>Default Alternate Row Member Format --&gt;</t>
  </si>
  <si>
    <t>Studien von Erstzugelassenen</t>
  </si>
  <si>
    <t>Universität für Weiterbildung Krems</t>
  </si>
  <si>
    <t>Liste aller von ordentlichen Studierenden belegten Studien im ersten Semester nach Universitäten</t>
  </si>
  <si>
    <t>Studientyp</t>
  </si>
  <si>
    <t>Bundesland Universität</t>
  </si>
  <si>
    <t>Medizinische Universität Graz</t>
  </si>
  <si>
    <t>Universität Innsbruck</t>
  </si>
  <si>
    <t>Slicer Item</t>
  </si>
  <si>
    <t>&lt;-- default Slicer Member Format</t>
  </si>
  <si>
    <t>Default Row Member Format --&gt;</t>
  </si>
  <si>
    <t>Grid/Table Name</t>
  </si>
  <si>
    <t>[Measures]</t>
  </si>
  <si>
    <t>(ohne Erweiterungsstudien; bei kombinationspflichtigen Studien bis STJ 2015/16 nur Erstfach gezählt)</t>
  </si>
  <si>
    <t>ISCED2013 3.Ebene (Code, Langtext)</t>
  </si>
  <si>
    <t>Technische Universität Graz</t>
  </si>
  <si>
    <t>&lt;-- writeable Slicer Member Format</t>
  </si>
  <si>
    <t>Slice Format 1</t>
  </si>
  <si>
    <t>&lt;-- Gesamtzeile</t>
  </si>
  <si>
    <t>3) Formatierung der Gesamtspalte und -zeile (siehe E25:E26)</t>
  </si>
  <si>
    <t>Studienfach (Fachcode)</t>
  </si>
  <si>
    <t>Studienfamilie (Kurztext)</t>
  </si>
  <si>
    <t>Frauen-/Männeranteil in %</t>
  </si>
  <si>
    <t>Institute of Digital Sciences Austria</t>
  </si>
  <si>
    <t>Slicer Button</t>
  </si>
  <si>
    <t>+2009</t>
  </si>
  <si>
    <t>&lt;-- default alternate row cell format</t>
  </si>
  <si>
    <t>&lt;--  written cell format</t>
  </si>
  <si>
    <t>Universität für künstlerische und industrielle Gestaltung Linz</t>
  </si>
  <si>
    <t>Studienart</t>
  </si>
  <si>
    <t>Akademie der bildenden Künste Wien</t>
  </si>
  <si>
    <t>Display Formats For:</t>
  </si>
  <si>
    <t>Enabled?</t>
  </si>
  <si>
    <t>Ordentliche Studien</t>
  </si>
  <si>
    <t>&lt;-- Gesamtspalte</t>
  </si>
  <si>
    <t>(Members of Studienfach (Fachcode)) - (Keine Angabe, Keine Angabe, Erweiterungsstudium, Zweitfach)</t>
  </si>
  <si>
    <t>Datenprüfung und -aufbereitung: bmfwf, Abt. I/10</t>
  </si>
  <si>
    <t>Universität-Ausrichtung</t>
  </si>
  <si>
    <t>Universität für Musik und darstellende Kunst Graz</t>
  </si>
  <si>
    <t>Universität Graz</t>
  </si>
  <si>
    <t>Slicer Button Hover</t>
  </si>
  <si>
    <t>Label Format--&gt;</t>
  </si>
  <si>
    <t>&lt;--  written cell by another user cell format</t>
  </si>
  <si>
    <t>Summary Written Member</t>
  </si>
  <si>
    <t>Data Format</t>
  </si>
  <si>
    <t>1) Spaltenüberschrift mittels Menüpunkt Daten/Gruppieren/Gruppieren ausblenden</t>
  </si>
  <si>
    <t>[SU Studierende].[Geschlecht]</t>
  </si>
  <si>
    <t>Universität Linz</t>
  </si>
  <si>
    <t>Universität für Bodenkultur Wien</t>
  </si>
  <si>
    <t>Universität Salzburg</t>
  </si>
  <si>
    <t>Medizinische Universität Wien</t>
  </si>
  <si>
    <t>Marital Status</t>
  </si>
  <si>
    <t>Default Writeable Member Format --&gt;</t>
  </si>
  <si>
    <t>Slice Format 2</t>
  </si>
  <si>
    <t>Universität (Codex)</t>
  </si>
  <si>
    <t>Hinweis: Aufgrund der semesterweisen Einspielung von vorläufigen und endgültigen Daten kann im aktuellsten Studienjahr nur der Datenstand des (vorläufigen) Wintersemesters bzw. des endgültigen Wintersemesters und des vorläufigen Sommersemesters verfügbar sein. Unter der Auswahlbox „Semester und Datenstichtag“ ist ersichtlich, welche Semester zu welchem Datenstand verfügbar sind.</t>
  </si>
  <si>
    <t>Quelle: Datenmeldungen der Universitäten auf Basis UHSBV zum jeweiligen Stichtag</t>
  </si>
  <si>
    <t>Technische Universität Wien</t>
  </si>
  <si>
    <t>Writeable Member</t>
  </si>
  <si>
    <t>Slicer Button Selected</t>
  </si>
  <si>
    <t>&lt;--  summary written cell</t>
  </si>
  <si>
    <t>Formatierungsrichtlinien</t>
  </si>
  <si>
    <t>2) Wenn möglich die nicht hierarchische Darstellung eines Slicers wählen (Slicer Type)</t>
  </si>
  <si>
    <t>5) Formatierung von Zahlen prüfen (Ganzzahl oder Zahl mit einer Kommastelle)</t>
  </si>
  <si>
    <t>Anmerkung: Ab dem WS 2016 erfolgt die zähltechnische Abbildung der Studien auf Basis des Verteilungsschlüssels gemäß § 22 Abs. 2 und Abs. 5 bis 7 UHSBV.</t>
  </si>
</sst>
</file>

<file path=xl/styles.xml><?xml version="1.0" encoding="utf-8"?>
<styleSheet xmlns="http://schemas.openxmlformats.org/spreadsheetml/2006/main">
  <numFmts count="2">
    <numFmt numFmtId="164" formatCode="0.0%"/>
    <numFmt numFmtId="165" formatCode=";;;"/>
  </numFmts>
  <fonts count="36">
    <font>
      <sz val="11"/>
      <color theme="1"/>
      <name val="Calibri"/>
      <family val="2"/>
      <scheme val="minor"/>
    </font>
    <font>
      <sz val="11"/>
      <color indexed="8"/>
      <name val="Calibri"/>
      <family val="2"/>
    </font>
    <font>
      <sz val="11"/>
      <name val="Calibri"/>
      <family val="2"/>
      <scheme val="minor"/>
    </font>
    <font>
      <b/>
      <sz val="11"/>
      <name val="Calibri"/>
      <family val="2"/>
      <scheme val="minor"/>
    </font>
    <font>
      <sz val="10"/>
      <color theme="1"/>
      <name val="Tahoma"/>
      <family val="2"/>
    </font>
    <font>
      <b/>
      <sz val="10"/>
      <name val="Tahoma"/>
      <family val="2"/>
    </font>
    <font>
      <b/>
      <sz val="8"/>
      <color indexed="23"/>
      <name val="Tahoma"/>
      <family val="2"/>
    </font>
    <font>
      <sz val="10"/>
      <color rgb="FF262626"/>
      <name val="Tahoma"/>
      <family val="2"/>
    </font>
    <font>
      <sz val="9"/>
      <name val="Tahoma"/>
      <family val="2"/>
    </font>
    <font>
      <sz val="10"/>
      <color rgb="FF000000"/>
      <name val="Tahoma"/>
      <family val="2"/>
    </font>
    <font>
      <b/>
      <sz val="11"/>
      <color rgb="FF000000"/>
      <name val="Tahoma"/>
      <family val="2"/>
    </font>
    <font>
      <sz val="11"/>
      <color rgb="FF000000"/>
      <name val="Tahoma"/>
      <family val="2"/>
    </font>
    <font>
      <sz val="10"/>
      <name val="Tahoma"/>
      <family val="2"/>
    </font>
    <font>
      <sz val="10"/>
      <color theme="1" tint="0.34998626667073579"/>
      <name val="Tahoma"/>
      <family val="2"/>
    </font>
    <font>
      <sz val="8"/>
      <name val="Tahoma"/>
      <family val="2"/>
    </font>
    <font>
      <sz val="10"/>
      <color theme="1" tint="0.0499893185216834"/>
      <name val="Tahoma"/>
      <family val="2"/>
    </font>
    <font>
      <b/>
      <sz val="11"/>
      <color theme="1"/>
      <name val="Calibri"/>
      <family val="2"/>
      <scheme val="minor"/>
    </font>
    <font>
      <sz val="10"/>
      <color theme="1" tint="0.14996795556505021"/>
      <name val="Tahoma"/>
      <family val="2"/>
    </font>
    <font>
      <sz val="10"/>
      <color rgb="FF595959"/>
      <name val="Tahoma"/>
      <family val="2"/>
    </font>
    <font>
      <sz val="10"/>
      <color rgb="FFFF0000"/>
      <name val="Tahoma"/>
      <family val="2"/>
    </font>
    <font>
      <b/>
      <sz val="8"/>
      <color rgb="FFFF0000"/>
      <name val="Tahoma"/>
      <family val="2"/>
    </font>
    <font>
      <sz val="11"/>
      <color theme="0"/>
      <name val="Calibri"/>
      <family val="2"/>
      <scheme val="minor"/>
    </font>
    <font>
      <b/>
      <sz val="11"/>
      <color theme="3"/>
      <name val="Calibri"/>
      <family val="2"/>
      <scheme val="minor"/>
    </font>
    <font>
      <sz val="11"/>
      <color rgb="FFFF0000"/>
      <name val="Calibri"/>
      <family val="2"/>
      <scheme val="minor"/>
    </font>
    <font>
      <sz val="11"/>
      <color rgb="FF9C6500"/>
      <name val="Calibri"/>
      <family val="2"/>
      <scheme val="minor"/>
    </font>
    <font>
      <b/>
      <sz val="11"/>
      <color rgb="FFFA7D00"/>
      <name val="Calibri"/>
      <family val="2"/>
      <scheme val="minor"/>
    </font>
    <font>
      <b/>
      <sz val="11"/>
      <color rgb="FF3F3F3F"/>
      <name val="Calibri"/>
      <family val="2"/>
      <scheme val="minor"/>
    </font>
    <font>
      <b/>
      <sz val="18"/>
      <color theme="3"/>
      <name val="Cambria"/>
      <family val="2"/>
      <scheme val="major"/>
    </font>
    <font>
      <sz val="11"/>
      <color rgb="FFFA7D00"/>
      <name val="Calibri"/>
      <family val="2"/>
      <scheme val="minor"/>
    </font>
    <font>
      <b/>
      <sz val="13"/>
      <color theme="3"/>
      <name val="Calibri"/>
      <family val="2"/>
      <scheme val="minor"/>
    </font>
    <font>
      <sz val="11"/>
      <color rgb="FF3F3F76"/>
      <name val="Calibri"/>
      <family val="2"/>
      <scheme val="minor"/>
    </font>
    <font>
      <b/>
      <sz val="15"/>
      <color theme="3"/>
      <name val="Calibri"/>
      <family val="2"/>
      <scheme val="minor"/>
    </font>
    <font>
      <sz val="11"/>
      <color rgb="FF006100"/>
      <name val="Calibri"/>
      <family val="2"/>
      <scheme val="minor"/>
    </font>
    <font>
      <b/>
      <sz val="11"/>
      <color theme="0"/>
      <name val="Calibri"/>
      <family val="2"/>
      <scheme val="minor"/>
    </font>
    <font>
      <i/>
      <sz val="11"/>
      <color rgb="FF7F7F7F"/>
      <name val="Calibri"/>
      <family val="2"/>
      <scheme val="minor"/>
    </font>
    <font>
      <sz val="11"/>
      <color rgb="FF9C0006"/>
      <name val="Calibri"/>
      <family val="2"/>
      <scheme val="minor"/>
    </font>
  </fonts>
  <fills count="14">
    <fill>
      <patternFill patternType="none"/>
    </fill>
    <fill>
      <patternFill patternType="gray125"/>
    </fill>
    <fill>
      <patternFill patternType="solid">
        <fgColor indexed="22"/>
        <bgColor indexed="64"/>
      </patternFill>
    </fill>
    <fill>
      <patternFill patternType="solid">
        <fgColor rgb="FFD9D9D9"/>
        <bgColor rgb="FFFFFFFF"/>
      </patternFill>
    </fill>
    <fill>
      <patternFill patternType="solid">
        <fgColor theme="3" tint="0.79995117038483843"/>
        <bgColor indexed="64"/>
      </patternFill>
    </fill>
    <fill>
      <patternFill patternType="solid">
        <fgColor rgb="FFC0C0C0"/>
        <bgColor rgb="FFFFFFFF"/>
      </patternFill>
    </fill>
    <fill>
      <patternFill patternType="solid">
        <fgColor rgb="FFC6D9F1"/>
        <bgColor rgb="FFFFFFFF"/>
      </patternFill>
    </fill>
    <fill>
      <patternFill patternType="solid">
        <fgColor indexed="43"/>
        <bgColor indexed="64"/>
      </patternFill>
    </fill>
    <fill>
      <patternFill patternType="solid">
        <fgColor rgb="FFC0C0C0"/>
        <bgColor indexed="64"/>
      </patternFill>
    </fill>
    <fill>
      <patternFill patternType="solid">
        <fgColor rgb="FFDDDDDD"/>
        <bgColor indexed="64"/>
      </patternFill>
    </fill>
    <fill>
      <patternFill patternType="solid">
        <fgColor rgb="FFD9D9D9"/>
        <bgColor indexed="64"/>
      </patternFill>
    </fill>
    <fill>
      <patternFill patternType="solid">
        <fgColor indexed="40"/>
        <bgColor indexed="64"/>
      </patternFill>
    </fill>
    <fill>
      <patternFill patternType="solid">
        <fgColor rgb="FFDDDDDD"/>
        <bgColor rgb="FFFFFFFF"/>
      </patternFill>
    </fill>
    <fill>
      <patternFill patternType="solid">
        <fgColor indexed="42"/>
        <bgColor indexed="64"/>
      </patternFill>
    </fill>
  </fills>
  <borders count="8">
    <border>
      <left/>
      <right/>
      <top/>
      <bottom/>
      <diagonal/>
    </border>
    <border>
      <left style="hair">
        <color rgb="FFC0C0C0"/>
      </left>
      <right style="hair">
        <color rgb="FFC0C0C0"/>
      </right>
      <top style="hair">
        <color rgb="FFC0C0C0"/>
      </top>
      <bottom style="hair">
        <color rgb="FFC0C0C0"/>
      </bottom>
      <diagonal/>
    </border>
    <border>
      <left style="hair">
        <color rgb="FFC0C0C0"/>
      </left>
      <right/>
      <top style="hair">
        <color rgb="FFC0C0C0"/>
      </top>
      <bottom/>
      <diagonal/>
    </border>
    <border>
      <left/>
      <right style="hair">
        <color rgb="FFC0C0C0"/>
      </right>
      <top/>
      <bottom/>
      <diagonal/>
    </border>
    <border>
      <left style="hair">
        <color indexed="22"/>
      </left>
      <right style="hair">
        <color indexed="22"/>
      </right>
      <top style="hair">
        <color indexed="22"/>
      </top>
      <bottom style="hair">
        <color indexed="22"/>
      </bottom>
      <diagonal/>
    </border>
    <border>
      <left style="thin">
        <color indexed="23"/>
      </left>
      <right/>
      <top/>
      <bottom/>
      <diagonal/>
    </border>
    <border>
      <left style="hair">
        <color rgb="FFC0C0C0"/>
      </left>
      <right style="hair">
        <color rgb="FFC0C0C0"/>
      </right>
      <top style="hair">
        <color rgb="FFC0C0C0"/>
      </top>
      <bottom/>
      <diagonal/>
    </border>
    <border>
      <left style="hair">
        <color rgb="FFC0C0C0"/>
      </left>
      <right/>
      <top style="hair">
        <color rgb="FFC0C0C0"/>
      </top>
      <bottom style="hair">
        <color rgb="FFC0C0C0"/>
      </bottom>
      <diagonal/>
    </border>
  </borders>
  <cellStyleXfs count="2">
    <xf numFmtId="0" fontId="0" fillId="0" borderId="0"/>
    <xf numFmtId="0" fontId="1" fillId="0" borderId="0"/>
  </cellStyleXfs>
  <cellXfs count="72">
    <xf numFmtId="0" fontId="0" fillId="0" borderId="0" xfId="0"/>
    <xf numFmtId="0" fontId="2" fillId="0" borderId="0" xfId="0" applyFont="1" applyFill="1" applyBorder="1"/>
    <xf numFmtId="3" fontId="3" fillId="0" borderId="0" xfId="0" applyNumberFormat="1" applyFont="1" applyFill="1" applyBorder="1"/>
    <xf numFmtId="0" fontId="4" fillId="0" borderId="0" xfId="0" quotePrefix="1" applyFont="1" applyAlignment="1">
      <alignment horizontal="left" vertical="top" wrapText="1"/>
    </xf>
    <xf numFmtId="0" fontId="5" fillId="0" borderId="0" xfId="0" applyFont="1"/>
    <xf numFmtId="0" fontId="6" fillId="0" borderId="0" xfId="0" applyFont="1"/>
    <xf numFmtId="0" fontId="7" fillId="0" borderId="1" xfId="0" quotePrefix="1" applyFont="1" applyFill="1" applyBorder="1" applyAlignment="1" applyProtection="1">
      <alignment horizontal="center"/>
    </xf>
    <xf numFmtId="0" fontId="8" fillId="2" borderId="0" xfId="1" applyFont="1" applyFill="1" applyBorder="1" applyAlignment="1">
      <alignment horizontal="center"/>
    </xf>
    <xf numFmtId="0" fontId="9" fillId="0" borderId="0" xfId="0" applyFont="1" applyFill="1" applyAlignment="1">
      <alignment vertical="top"/>
    </xf>
    <xf numFmtId="0" fontId="10" fillId="0" borderId="0" xfId="0" applyFont="1" applyFill="1" applyAlignment="1">
      <alignment vertical="top"/>
    </xf>
    <xf numFmtId="0" fontId="9" fillId="0" borderId="0" xfId="0" applyFont="1" applyFill="1" applyAlignment="1"/>
    <xf numFmtId="0" fontId="11" fillId="0" borderId="0" xfId="0" applyFont="1" applyFill="1" applyAlignment="1">
      <alignment vertical="center"/>
    </xf>
    <xf numFmtId="0" fontId="0" fillId="0" borderId="0" xfId="0" applyFill="1" applyAlignment="1"/>
    <xf numFmtId="0" fontId="7" fillId="0" borderId="1" xfId="0" applyFont="1" applyFill="1" applyBorder="1" applyAlignment="1" applyProtection="1">
      <alignment horizontal="right"/>
    </xf>
    <xf numFmtId="3" fontId="7" fillId="3" borderId="1" xfId="0" applyNumberFormat="1" applyFont="1" applyFill="1" applyBorder="1" applyAlignment="1" applyProtection="1">
      <alignment horizontal="right" vertical="center"/>
    </xf>
    <xf numFmtId="0" fontId="12" fillId="0" borderId="0" xfId="0" applyNumberFormat="1" applyFont="1" applyAlignment="1"/>
    <xf numFmtId="0" fontId="13" fillId="4" borderId="0" xfId="0" applyFont="1" applyFill="1" applyAlignment="1"/>
    <xf numFmtId="0" fontId="14" fillId="0" borderId="0" xfId="1" applyFont="1"/>
    <xf numFmtId="0" fontId="15" fillId="0" borderId="0" xfId="0" applyFont="1"/>
    <xf numFmtId="0" fontId="14" fillId="4" borderId="0" xfId="1" applyFont="1" applyFill="1"/>
    <xf numFmtId="164" fontId="7" fillId="3" borderId="1" xfId="0" applyNumberFormat="1" applyFont="1" applyFill="1" applyBorder="1" applyAlignment="1" applyProtection="1">
      <alignment horizontal="right" vertical="center"/>
    </xf>
    <xf numFmtId="0" fontId="12" fillId="0" borderId="0" xfId="0" applyFont="1" applyAlignment="1">
      <alignment horizontal="center"/>
    </xf>
    <xf numFmtId="0" fontId="16" fillId="0" borderId="0" xfId="0" applyFont="1" applyFill="1" applyAlignment="1"/>
    <xf numFmtId="0" fontId="12" fillId="0" borderId="0" xfId="0" applyFont="1"/>
    <xf numFmtId="0" fontId="7" fillId="0" borderId="2" xfId="0" applyFont="1" applyBorder="1" applyAlignment="1" applyProtection="1">
      <alignment horizontal="right"/>
    </xf>
    <xf numFmtId="0" fontId="6" fillId="0" borderId="0" xfId="0" applyFont="1" applyAlignment="1">
      <alignment horizontal="right"/>
    </xf>
    <xf numFmtId="164" fontId="7" fillId="5" borderId="1" xfId="0" quotePrefix="1" applyNumberFormat="1" applyFont="1" applyFill="1" applyBorder="1" applyAlignment="1" applyProtection="1">
      <alignment horizontal="center"/>
    </xf>
    <xf numFmtId="0" fontId="9" fillId="0" borderId="0" xfId="0" quotePrefix="1" applyFont="1" applyFill="1" applyAlignment="1">
      <alignment vertical="top"/>
    </xf>
    <xf numFmtId="0" fontId="17" fillId="0" borderId="0" xfId="0" applyFont="1"/>
    <xf numFmtId="3" fontId="7" fillId="0" borderId="1" xfId="0" applyNumberFormat="1" applyFont="1" applyFill="1" applyBorder="1" applyAlignment="1" applyProtection="1">
      <alignment horizontal="right"/>
    </xf>
    <xf numFmtId="164" fontId="7" fillId="5" borderId="1" xfId="0" applyNumberFormat="1" applyFont="1" applyFill="1" applyBorder="1" applyAlignment="1" applyProtection="1">
      <alignment horizontal="right"/>
    </xf>
    <xf numFmtId="0" fontId="18" fillId="6" borderId="3" xfId="0" quotePrefix="1" applyFont="1" applyFill="1" applyBorder="1" applyAlignment="1" applyProtection="1"/>
    <xf numFmtId="0" fontId="17" fillId="0" borderId="4" xfId="0" quotePrefix="1" applyFont="1" applyFill="1" applyBorder="1" applyAlignment="1"/>
    <xf numFmtId="0" fontId="17" fillId="0" borderId="4" xfId="0" quotePrefix="1" applyFont="1" applyFill="1" applyBorder="1" applyAlignment="1">
      <alignment horizontal="right"/>
    </xf>
    <xf numFmtId="0" fontId="12" fillId="7" borderId="0" xfId="0" applyFont="1" applyFill="1"/>
    <xf numFmtId="165" fontId="12" fillId="0" borderId="0" xfId="0" applyNumberFormat="1" applyFont="1"/>
    <xf numFmtId="0" fontId="8" fillId="2" borderId="5" xfId="1" applyFont="1" applyFill="1" applyBorder="1" applyAlignment="1">
      <alignment horizontal="center"/>
    </xf>
    <xf numFmtId="0" fontId="7" fillId="3" borderId="1" xfId="0" applyFont="1" applyFill="1" applyBorder="1" applyAlignment="1" applyProtection="1">
      <alignment vertical="center"/>
    </xf>
    <xf numFmtId="0" fontId="12" fillId="0" borderId="0" xfId="0" applyNumberFormat="1" applyFont="1" applyFill="1" applyBorder="1" applyAlignment="1"/>
    <xf numFmtId="0" fontId="7" fillId="0" borderId="2" xfId="0" applyFont="1" applyBorder="1" applyAlignment="1" applyProtection="1">
      <alignment horizontal="center"/>
    </xf>
    <xf numFmtId="3" fontId="5" fillId="0" borderId="0" xfId="0" applyNumberFormat="1" applyFont="1" applyFill="1" applyAlignment="1"/>
    <xf numFmtId="0" fontId="0" fillId="0" borderId="0" xfId="0" applyFont="1"/>
    <xf numFmtId="3" fontId="17" fillId="0" borderId="4" xfId="0" applyNumberFormat="1" applyFont="1" applyFill="1" applyBorder="1" applyAlignment="1"/>
    <xf numFmtId="0" fontId="19" fillId="0" borderId="0" xfId="0" applyFont="1"/>
    <xf numFmtId="0" fontId="12" fillId="7" borderId="0" xfId="0" applyNumberFormat="1" applyFont="1" applyFill="1" applyAlignment="1"/>
    <xf numFmtId="164" fontId="7" fillId="8" borderId="2" xfId="0" applyNumberFormat="1" applyFont="1" applyFill="1" applyBorder="1" applyAlignment="1" applyProtection="1">
      <alignment horizontal="center"/>
    </xf>
    <xf numFmtId="3" fontId="12" fillId="0" borderId="0" xfId="0" applyNumberFormat="1" applyFont="1" applyAlignment="1"/>
    <xf numFmtId="0" fontId="7" fillId="9" borderId="6" xfId="0" applyFont="1" applyFill="1" applyBorder="1" applyAlignment="1" applyProtection="1">
      <alignment horizontal="right"/>
    </xf>
    <xf numFmtId="0" fontId="20" fillId="0" borderId="0" xfId="0" applyFont="1"/>
    <xf numFmtId="0" fontId="14" fillId="7" borderId="0" xfId="1" applyFont="1" applyFill="1"/>
    <xf numFmtId="0" fontId="12" fillId="0" borderId="0" xfId="0" quotePrefix="1" applyFont="1"/>
    <xf numFmtId="0" fontId="12" fillId="0" borderId="0" xfId="0" applyFont="1" applyFill="1" applyBorder="1" applyAlignment="1">
      <alignment vertical="center"/>
    </xf>
    <xf numFmtId="0" fontId="17" fillId="0" borderId="4" xfId="0" applyFont="1" applyFill="1" applyBorder="1" applyAlignment="1">
      <alignment vertical="center"/>
    </xf>
    <xf numFmtId="0" fontId="12" fillId="0" borderId="0" xfId="0" quotePrefix="1" applyFont="1" applyFill="1"/>
    <xf numFmtId="0" fontId="6" fillId="0" borderId="0" xfId="0" applyFont="1" applyAlignment="1">
      <alignment horizontal="center"/>
    </xf>
    <xf numFmtId="0" fontId="7" fillId="10" borderId="7" xfId="0" applyFont="1" applyFill="1" applyBorder="1" applyAlignment="1" applyProtection="1">
      <alignment vertical="center"/>
    </xf>
    <xf numFmtId="0" fontId="7" fillId="0" borderId="1" xfId="0" applyFont="1" applyFill="1" applyBorder="1" applyAlignment="1" applyProtection="1">
      <alignment vertical="center"/>
    </xf>
    <xf numFmtId="2" fontId="12" fillId="0" borderId="0" xfId="0" applyNumberFormat="1" applyFont="1"/>
    <xf numFmtId="3" fontId="12" fillId="7" borderId="0" xfId="0" applyNumberFormat="1" applyFont="1" applyFill="1" applyAlignment="1"/>
    <xf numFmtId="3" fontId="12" fillId="11" borderId="0" xfId="0" applyNumberFormat="1" applyFont="1" applyFill="1" applyAlignment="1"/>
    <xf numFmtId="0" fontId="12" fillId="0" borderId="0" xfId="0" applyNumberFormat="1" applyFont="1"/>
    <xf numFmtId="0" fontId="5" fillId="0" borderId="0" xfId="0" applyFont="1" applyFill="1" applyBorder="1" applyAlignment="1">
      <alignment vertical="center"/>
    </xf>
    <xf numFmtId="0" fontId="4" fillId="0" borderId="0" xfId="0" applyFont="1" applyAlignment="1">
      <alignment horizontal="left" vertical="top" wrapText="1"/>
    </xf>
    <xf numFmtId="0" fontId="16" fillId="0" borderId="0" xfId="0" applyFont="1"/>
    <xf numFmtId="0" fontId="7" fillId="0" borderId="1" xfId="0" quotePrefix="1" applyFont="1" applyBorder="1" applyAlignment="1" applyProtection="1"/>
    <xf numFmtId="3" fontId="7" fillId="12" borderId="1" xfId="0" applyNumberFormat="1" applyFont="1" applyFill="1" applyBorder="1" applyAlignment="1" applyProtection="1">
      <alignment horizontal="right"/>
    </xf>
    <xf numFmtId="0" fontId="7" fillId="12" borderId="1" xfId="0" applyFont="1" applyFill="1" applyBorder="1" applyAlignment="1" applyProtection="1">
      <alignment horizontal="right"/>
    </xf>
    <xf numFmtId="3" fontId="12" fillId="13" borderId="0" xfId="0" applyNumberFormat="1" applyFont="1" applyFill="1" applyAlignment="1"/>
    <xf numFmtId="164" fontId="7" fillId="8" borderId="2" xfId="0" applyNumberFormat="1" applyFont="1" applyFill="1" applyBorder="1" applyAlignment="1" applyProtection="1">
      <alignment horizontal="right"/>
    </xf>
    <xf numFmtId="0" fontId="7" fillId="9" borderId="2" xfId="0" applyFont="1" applyFill="1" applyBorder="1" applyAlignment="1" applyProtection="1">
      <alignment horizontal="right"/>
    </xf>
    <xf numFmtId="0" fontId="7" fillId="10" borderId="1" xfId="0" applyFont="1" applyFill="1" applyBorder="1" applyAlignment="1" applyProtection="1">
      <alignment vertical="center"/>
    </xf>
    <xf numFmtId="0" fontId="9" fillId="0" borderId="0" xfId="0" quotePrefix="1" applyFont="1" applyFill="1" applyAlignment="1"/>
  </cellXfs>
  <cellStyles count="2">
    <cellStyle name="Normal" xfId="0" builtinId="0"/>
    <cellStyle name="Normal_Sheet1" xfId="1"/>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drawings/_rels/drawing1.xml.rels>&#65279;<?xml version="1.0" encoding="utf-8"?><Relationships xmlns="http://schemas.openxmlformats.org/package/2006/relationships"><Relationship Id="rId1" Type="http://schemas.openxmlformats.org/officeDocument/2006/relationships/image" Target="../media/image1.png" /><Relationship Id="rId2" Type="http://schemas.openxmlformats.org/officeDocument/2006/relationships/image" Target="../media/image2.png" /></Relationships>
</file>

<file path=xl/drawings/drawing1.xml><?xml version="1.0" encoding="utf-8"?>
<xdr:wsDr xmlns:a="http://schemas.openxmlformats.org/drawingml/2006/main" xmlns:xdr="http://schemas.openxmlformats.org/drawingml/2006/spreadsheetDrawing">
  <xdr:twoCellAnchor editAs="oneCell">
    <xdr:from>
      <xdr:col>0</xdr:col>
      <xdr:colOff>3697820</xdr:colOff>
      <xdr:row>9</xdr:row>
      <xdr:rowOff>190500</xdr:rowOff>
    </xdr:from>
    <xdr:to>
      <xdr:col>5</xdr:col>
      <xdr:colOff>281181</xdr:colOff>
      <xdr:row>11</xdr:row>
      <xdr:rowOff>0</xdr:rowOff>
    </xdr:to>
    <xdr:pic>
      <xdr:nvPicPr>
        <xdr:cNvPr id="3" name="Picture 2"/>
        <xdr:cNvPicPr>
          <a:picLocks/>
        </xdr:cNvPicPr>
      </xdr:nvPicPr>
      <xdr:blipFill>
        <a:blip xmlns:r="http://schemas.openxmlformats.org/officeDocument/2006/relationships" r:embed="rId1"/>
        <a:stretch>
          <a:fillRect/>
        </a:stretch>
      </xdr:blipFill>
      <xdr:spPr>
        <a:xfrm>
          <a:off x="3697820" y="2205355"/>
          <a:ext cx="3697007" cy="190500"/>
        </a:xfrm>
        <a:prstGeom prst="rect">
          <a:avLst/>
        </a:prstGeom>
        <a:noFill/>
        <a:ln w="0">
          <a:noFill/>
        </a:ln>
      </xdr:spPr>
    </xdr:pic>
    <xdr:clientData/>
  </xdr:twoCellAnchor>
  <xdr:twoCellAnchor editAs="oneCell">
    <xdr:from>
      <xdr:col>0</xdr:col>
      <xdr:colOff>3697820</xdr:colOff>
      <xdr:row>11</xdr:row>
      <xdr:rowOff>190500</xdr:rowOff>
    </xdr:from>
    <xdr:to>
      <xdr:col>5</xdr:col>
      <xdr:colOff>281181</xdr:colOff>
      <xdr:row>13</xdr:row>
      <xdr:rowOff>0</xdr:rowOff>
    </xdr:to>
    <xdr:pic>
      <xdr:nvPicPr>
        <xdr:cNvPr id="4" name="Picture 3"/>
        <xdr:cNvPicPr>
          <a:picLocks/>
        </xdr:cNvPicPr>
      </xdr:nvPicPr>
      <xdr:blipFill>
        <a:blip xmlns:r="http://schemas.openxmlformats.org/officeDocument/2006/relationships" r:embed="rId1"/>
        <a:stretch>
          <a:fillRect/>
        </a:stretch>
      </xdr:blipFill>
      <xdr:spPr>
        <a:xfrm>
          <a:off x="3697820" y="2586355"/>
          <a:ext cx="3697007" cy="190500"/>
        </a:xfrm>
        <a:prstGeom prst="rect">
          <a:avLst/>
        </a:prstGeom>
        <a:noFill/>
        <a:ln w="0">
          <a:noFill/>
        </a:ln>
      </xdr:spPr>
    </xdr:pic>
    <xdr:clientData/>
  </xdr:twoCellAnchor>
  <xdr:twoCellAnchor editAs="oneCell">
    <xdr:from>
      <xdr:col>0</xdr:col>
      <xdr:colOff>3697820</xdr:colOff>
      <xdr:row>12</xdr:row>
      <xdr:rowOff>190500</xdr:rowOff>
    </xdr:from>
    <xdr:to>
      <xdr:col>5</xdr:col>
      <xdr:colOff>281181</xdr:colOff>
      <xdr:row>14</xdr:row>
      <xdr:rowOff>0</xdr:rowOff>
    </xdr:to>
    <xdr:pic>
      <xdr:nvPicPr>
        <xdr:cNvPr id="5" name="Picture 4"/>
        <xdr:cNvPicPr>
          <a:picLocks/>
        </xdr:cNvPicPr>
      </xdr:nvPicPr>
      <xdr:blipFill>
        <a:blip xmlns:r="http://schemas.openxmlformats.org/officeDocument/2006/relationships" r:embed="rId1"/>
        <a:stretch>
          <a:fillRect/>
        </a:stretch>
      </xdr:blipFill>
      <xdr:spPr>
        <a:xfrm>
          <a:off x="3697820" y="2776855"/>
          <a:ext cx="3697007" cy="190500"/>
        </a:xfrm>
        <a:prstGeom prst="rect">
          <a:avLst/>
        </a:prstGeom>
        <a:noFill/>
        <a:ln w="0">
          <a:noFill/>
        </a:ln>
      </xdr:spPr>
    </xdr:pic>
    <xdr:clientData/>
  </xdr:twoCellAnchor>
  <xdr:twoCellAnchor editAs="oneCell">
    <xdr:from>
      <xdr:col>0</xdr:col>
      <xdr:colOff>3697820</xdr:colOff>
      <xdr:row>15</xdr:row>
      <xdr:rowOff>190500</xdr:rowOff>
    </xdr:from>
    <xdr:to>
      <xdr:col>5</xdr:col>
      <xdr:colOff>281181</xdr:colOff>
      <xdr:row>17</xdr:row>
      <xdr:rowOff>0</xdr:rowOff>
    </xdr:to>
    <xdr:pic>
      <xdr:nvPicPr>
        <xdr:cNvPr id="6" name="Picture 5"/>
        <xdr:cNvPicPr>
          <a:picLocks/>
        </xdr:cNvPicPr>
      </xdr:nvPicPr>
      <xdr:blipFill>
        <a:blip xmlns:r="http://schemas.openxmlformats.org/officeDocument/2006/relationships" r:embed="rId1"/>
        <a:stretch>
          <a:fillRect/>
        </a:stretch>
      </xdr:blipFill>
      <xdr:spPr>
        <a:xfrm>
          <a:off x="3697820" y="3348355"/>
          <a:ext cx="3697007" cy="190500"/>
        </a:xfrm>
        <a:prstGeom prst="rect">
          <a:avLst/>
        </a:prstGeom>
        <a:noFill/>
        <a:ln w="0">
          <a:noFill/>
        </a:ln>
      </xdr:spPr>
    </xdr:pic>
    <xdr:clientData/>
  </xdr:twoCellAnchor>
  <xdr:twoCellAnchor editAs="oneCell">
    <xdr:from>
      <xdr:col>0</xdr:col>
      <xdr:colOff>3697820</xdr:colOff>
      <xdr:row>8</xdr:row>
      <xdr:rowOff>189865</xdr:rowOff>
    </xdr:from>
    <xdr:to>
      <xdr:col>5</xdr:col>
      <xdr:colOff>281181</xdr:colOff>
      <xdr:row>10</xdr:row>
      <xdr:rowOff>0</xdr:rowOff>
    </xdr:to>
    <xdr:pic>
      <xdr:nvPicPr>
        <xdr:cNvPr id="7" name="Picture 6"/>
        <xdr:cNvPicPr>
          <a:picLocks/>
        </xdr:cNvPicPr>
      </xdr:nvPicPr>
      <xdr:blipFill>
        <a:blip xmlns:r="http://schemas.openxmlformats.org/officeDocument/2006/relationships" r:embed="rId2"/>
        <a:stretch>
          <a:fillRect/>
        </a:stretch>
      </xdr:blipFill>
      <xdr:spPr>
        <a:xfrm>
          <a:off x="3697820" y="2014855"/>
          <a:ext cx="3697007" cy="190500"/>
        </a:xfrm>
        <a:prstGeom prst="rect">
          <a:avLst/>
        </a:prstGeom>
        <a:noFill/>
        <a:ln w="0">
          <a:noFill/>
        </a:ln>
      </xdr:spPr>
    </xdr:pic>
    <xdr:clientData/>
  </xdr:twoCellAnchor>
  <xdr:twoCellAnchor editAs="oneCell">
    <xdr:from>
      <xdr:col>0</xdr:col>
      <xdr:colOff>3697820</xdr:colOff>
      <xdr:row>14</xdr:row>
      <xdr:rowOff>190500</xdr:rowOff>
    </xdr:from>
    <xdr:to>
      <xdr:col>5</xdr:col>
      <xdr:colOff>281181</xdr:colOff>
      <xdr:row>16</xdr:row>
      <xdr:rowOff>0</xdr:rowOff>
    </xdr:to>
    <xdr:pic>
      <xdr:nvPicPr>
        <xdr:cNvPr id="8" name="Picture 7"/>
        <xdr:cNvPicPr>
          <a:picLocks/>
        </xdr:cNvPicPr>
      </xdr:nvPicPr>
      <xdr:blipFill>
        <a:blip xmlns:r="http://schemas.openxmlformats.org/officeDocument/2006/relationships" r:embed="rId1"/>
        <a:stretch>
          <a:fillRect/>
        </a:stretch>
      </xdr:blipFill>
      <xdr:spPr>
        <a:xfrm>
          <a:off x="3697820" y="3157855"/>
          <a:ext cx="3697007" cy="190500"/>
        </a:xfrm>
        <a:prstGeom prst="rect">
          <a:avLst/>
        </a:prstGeom>
        <a:noFill/>
        <a:ln w="0">
          <a:noFill/>
        </a:ln>
      </xdr:spPr>
    </xdr:pic>
    <xdr:clientData/>
  </xdr:twoCellAnchor>
  <xdr:twoCellAnchor editAs="oneCell">
    <xdr:from>
      <xdr:col>0</xdr:col>
      <xdr:colOff>3697820</xdr:colOff>
      <xdr:row>10</xdr:row>
      <xdr:rowOff>190500</xdr:rowOff>
    </xdr:from>
    <xdr:to>
      <xdr:col>5</xdr:col>
      <xdr:colOff>281181</xdr:colOff>
      <xdr:row>12</xdr:row>
      <xdr:rowOff>0</xdr:rowOff>
    </xdr:to>
    <xdr:pic>
      <xdr:nvPicPr>
        <xdr:cNvPr id="9" name="Picture 8"/>
        <xdr:cNvPicPr>
          <a:picLocks/>
        </xdr:cNvPicPr>
      </xdr:nvPicPr>
      <xdr:blipFill>
        <a:blip xmlns:r="http://schemas.openxmlformats.org/officeDocument/2006/relationships" r:embed="rId1"/>
        <a:stretch>
          <a:fillRect/>
        </a:stretch>
      </xdr:blipFill>
      <xdr:spPr>
        <a:xfrm>
          <a:off x="3697820" y="2395855"/>
          <a:ext cx="3697007" cy="190500"/>
        </a:xfrm>
        <a:prstGeom prst="rect">
          <a:avLst/>
        </a:prstGeom>
        <a:noFill/>
        <a:ln w="0">
          <a:noFill/>
        </a:ln>
      </xdr:spPr>
    </xdr:pic>
    <xdr:clientData/>
  </xdr:twoCellAnchor>
  <xdr:twoCellAnchor editAs="oneCell">
    <xdr:from>
      <xdr:col>0</xdr:col>
      <xdr:colOff>3697820</xdr:colOff>
      <xdr:row>16</xdr:row>
      <xdr:rowOff>190500</xdr:rowOff>
    </xdr:from>
    <xdr:to>
      <xdr:col>5</xdr:col>
      <xdr:colOff>281181</xdr:colOff>
      <xdr:row>18</xdr:row>
      <xdr:rowOff>0</xdr:rowOff>
    </xdr:to>
    <xdr:pic>
      <xdr:nvPicPr>
        <xdr:cNvPr id="10" name="Picture 9"/>
        <xdr:cNvPicPr>
          <a:picLocks/>
        </xdr:cNvPicPr>
      </xdr:nvPicPr>
      <xdr:blipFill>
        <a:blip xmlns:r="http://schemas.openxmlformats.org/officeDocument/2006/relationships" r:embed="rId1"/>
        <a:stretch>
          <a:fillRect/>
        </a:stretch>
      </xdr:blipFill>
      <xdr:spPr>
        <a:xfrm>
          <a:off x="3697820" y="3538855"/>
          <a:ext cx="3697007" cy="190500"/>
        </a:xfrm>
        <a:prstGeom prst="rect">
          <a:avLst/>
        </a:prstGeom>
        <a:noFill/>
        <a:ln w="0">
          <a:noFill/>
        </a:ln>
      </xdr:spPr>
    </xdr:pic>
    <xdr:clientData/>
  </xdr:twoCellAnchor>
  <xdr:twoCellAnchor editAs="oneCell">
    <xdr:from>
      <xdr:col>0</xdr:col>
      <xdr:colOff>3697820</xdr:colOff>
      <xdr:row>13</xdr:row>
      <xdr:rowOff>190500</xdr:rowOff>
    </xdr:from>
    <xdr:to>
      <xdr:col>5</xdr:col>
      <xdr:colOff>281181</xdr:colOff>
      <xdr:row>15</xdr:row>
      <xdr:rowOff>0</xdr:rowOff>
    </xdr:to>
    <xdr:pic>
      <xdr:nvPicPr>
        <xdr:cNvPr id="11" name="Picture 10"/>
        <xdr:cNvPicPr>
          <a:picLocks/>
        </xdr:cNvPicPr>
      </xdr:nvPicPr>
      <xdr:blipFill>
        <a:blip xmlns:r="http://schemas.openxmlformats.org/officeDocument/2006/relationships" r:embed="rId1"/>
        <a:stretch>
          <a:fillRect/>
        </a:stretch>
      </xdr:blipFill>
      <xdr:spPr>
        <a:xfrm>
          <a:off x="3697820" y="2967355"/>
          <a:ext cx="3697007" cy="190500"/>
        </a:xfrm>
        <a:prstGeom prst="rect">
          <a:avLst/>
        </a:prstGeom>
        <a:noFill/>
        <a:ln w="0">
          <a:noFill/>
        </a:ln>
      </xdr:spPr>
    </xdr:pic>
    <xdr:clientData/>
  </xdr:twoCellAnchor>
</xdr:wsDr>
</file>

<file path=xl/drawings/drawing2.xml><?xml version="1.0" encoding="utf-8"?>
<xdr:wsDr xmlns:a="http://schemas.openxmlformats.org/drawingml/2006/main" xmlns:xdr="http://schemas.openxmlformats.org/drawingml/2006/spreadsheetDrawing">
  <xdr:twoCellAnchor editAs="absolute">
    <xdr:from>
      <xdr:col>9</xdr:col>
      <xdr:colOff>114300</xdr:colOff>
      <xdr:row>3</xdr:row>
      <xdr:rowOff>109220</xdr:rowOff>
    </xdr:from>
    <xdr:to>
      <xdr:col>10</xdr:col>
      <xdr:colOff>305497</xdr:colOff>
      <xdr:row>7</xdr:row>
      <xdr:rowOff>104140</xdr:rowOff>
    </xdr:to>
    <xdr:sp macro="" textlink="">
      <xdr:nvSpPr>
        <xdr:cNvPr id="2" name="Comment 1" hidden="1"/>
        <xdr:cNvSpPr txBox="1"/>
      </xdr:nvSpPr>
      <xdr:spPr>
        <a:xfrm>
          <a:off x="12905418" y="627380"/>
          <a:ext cx="1097280" cy="685800"/>
        </a:xfrm>
        <a:prstGeom prst="rect">
          <a:avLst/>
        </a:prstGeom>
        <a:solidFill>
          <a:srgbClr val="FFFFE1"/>
        </a:solidFill>
        <a:ln w="9525">
          <a:solidFill>
            <a:srgbClr val="000000"/>
          </a:solidFill>
        </a:ln>
      </xdr:spPr>
      <xdr:txBody>
        <a:bodyPr rtlCol="0"/>
        <a:lstStyle/>
        <a:p>
          <a:pPr algn="l"/>
          <a:r>
            <a:rPr/>
            <a:t>XLCubed:</a:t>
          </a:r>
        </a:p>
        <a:p>
          <a:pPr algn="l"/>
          <a:r>
            <a:rPr/>
            <a:t>Blank name gives the default format.</a:t>
          </a:r>
        </a:p>
        <a:p>
          <a:pPr algn="l"/>
          <a:r>
            <a:rPr/>
            <a:t>Specify slicer name for slicer specific formats</a:t>
          </a:r>
        </a:p>
      </xdr:txBody>
    </xdr:sp>
    <xdr:clientData/>
  </xdr:twoCellAnchor>
  <xdr:twoCellAnchor editAs="absolute">
    <xdr:from>
      <xdr:col>10</xdr:col>
      <xdr:colOff>114300</xdr:colOff>
      <xdr:row>3</xdr:row>
      <xdr:rowOff>109220</xdr:rowOff>
    </xdr:from>
    <xdr:to>
      <xdr:col>11</xdr:col>
      <xdr:colOff>305497</xdr:colOff>
      <xdr:row>7</xdr:row>
      <xdr:rowOff>104140</xdr:rowOff>
    </xdr:to>
    <xdr:sp macro="" textlink="">
      <xdr:nvSpPr>
        <xdr:cNvPr id="3" name="Comment 2" hidden="1"/>
        <xdr:cNvSpPr txBox="1"/>
      </xdr:nvSpPr>
      <xdr:spPr>
        <a:xfrm>
          <a:off x="13811500" y="627380"/>
          <a:ext cx="1097280" cy="685800"/>
        </a:xfrm>
        <a:prstGeom prst="rect">
          <a:avLst/>
        </a:prstGeom>
        <a:solidFill>
          <a:srgbClr val="FFFFE1"/>
        </a:solidFill>
        <a:ln w="9525">
          <a:solidFill>
            <a:srgbClr val="000000"/>
          </a:solidFill>
        </a:ln>
      </xdr:spPr>
      <xdr:txBody>
        <a:bodyPr rtlCol="0"/>
        <a:lstStyle/>
        <a:p>
          <a:pPr algn="l"/>
          <a:r>
            <a:rPr/>
            <a:t>Display format for slicer title</a:t>
          </a:r>
        </a:p>
        <a:p>
          <a:pPr algn="l"/>
          <a:endParaRPr/>
        </a:p>
        <a:p>
          <a:pPr algn="l"/>
          <a:endParaRPr/>
        </a:p>
      </xdr:txBody>
    </xdr:sp>
    <xdr:clientData/>
  </xdr:twoCellAnchor>
  <xdr:twoCellAnchor editAs="absolute">
    <xdr:from>
      <xdr:col>11</xdr:col>
      <xdr:colOff>114300</xdr:colOff>
      <xdr:row>3</xdr:row>
      <xdr:rowOff>109220</xdr:rowOff>
    </xdr:from>
    <xdr:to>
      <xdr:col>12</xdr:col>
      <xdr:colOff>305497</xdr:colOff>
      <xdr:row>7</xdr:row>
      <xdr:rowOff>104140</xdr:rowOff>
    </xdr:to>
    <xdr:sp macro="" textlink="">
      <xdr:nvSpPr>
        <xdr:cNvPr id="4" name="Comment 3" hidden="1"/>
        <xdr:cNvSpPr txBox="1"/>
      </xdr:nvSpPr>
      <xdr:spPr>
        <a:xfrm>
          <a:off x="14717583" y="627380"/>
          <a:ext cx="1097280" cy="685800"/>
        </a:xfrm>
        <a:prstGeom prst="rect">
          <a:avLst/>
        </a:prstGeom>
        <a:solidFill>
          <a:srgbClr val="FFFFE1"/>
        </a:solidFill>
        <a:ln w="9525">
          <a:solidFill>
            <a:srgbClr val="000000"/>
          </a:solidFill>
        </a:ln>
      </xdr:spPr>
      <xdr:txBody>
        <a:bodyPr rtlCol="0"/>
        <a:lstStyle/>
        <a:p>
          <a:pPr algn="l"/>
          <a:r>
            <a:rPr/>
            <a:t>Format for non-button slicer text</a:t>
          </a:r>
        </a:p>
        <a:p>
          <a:pPr algn="l"/>
          <a:endParaRPr/>
        </a:p>
      </xdr:txBody>
    </xdr:sp>
    <xdr:clientData/>
  </xdr:twoCellAnchor>
  <xdr:twoCellAnchor editAs="absolute">
    <xdr:from>
      <xdr:col>12</xdr:col>
      <xdr:colOff>114300</xdr:colOff>
      <xdr:row>3</xdr:row>
      <xdr:rowOff>109220</xdr:rowOff>
    </xdr:from>
    <xdr:to>
      <xdr:col>13</xdr:col>
      <xdr:colOff>44867</xdr:colOff>
      <xdr:row>7</xdr:row>
      <xdr:rowOff>104140</xdr:rowOff>
    </xdr:to>
    <xdr:sp macro="" textlink="">
      <xdr:nvSpPr>
        <xdr:cNvPr id="5" name="Comment 4" hidden="1"/>
        <xdr:cNvSpPr txBox="1"/>
      </xdr:nvSpPr>
      <xdr:spPr>
        <a:xfrm>
          <a:off x="15623665" y="627380"/>
          <a:ext cx="1097280" cy="685800"/>
        </a:xfrm>
        <a:prstGeom prst="rect">
          <a:avLst/>
        </a:prstGeom>
        <a:solidFill>
          <a:srgbClr val="FFFFE1"/>
        </a:solidFill>
        <a:ln w="9525">
          <a:solidFill>
            <a:srgbClr val="000000"/>
          </a:solidFill>
        </a:ln>
      </xdr:spPr>
      <xdr:txBody>
        <a:bodyPr rtlCol="0"/>
        <a:lstStyle/>
        <a:p>
          <a:pPr algn="l"/>
          <a:r>
            <a:rPr/>
            <a:t>Default format for slicer buttons</a:t>
          </a:r>
        </a:p>
      </xdr:txBody>
    </xdr:sp>
    <xdr:clientData/>
  </xdr:twoCellAnchor>
  <xdr:twoCellAnchor editAs="absolute">
    <xdr:from>
      <xdr:col>13</xdr:col>
      <xdr:colOff>114300</xdr:colOff>
      <xdr:row>3</xdr:row>
      <xdr:rowOff>109220</xdr:rowOff>
    </xdr:from>
    <xdr:to>
      <xdr:col>14</xdr:col>
      <xdr:colOff>169913</xdr:colOff>
      <xdr:row>7</xdr:row>
      <xdr:rowOff>104140</xdr:rowOff>
    </xdr:to>
    <xdr:sp macro="" textlink="">
      <xdr:nvSpPr>
        <xdr:cNvPr id="6" name="Comment 5" hidden="1"/>
        <xdr:cNvSpPr txBox="1"/>
      </xdr:nvSpPr>
      <xdr:spPr>
        <a:xfrm>
          <a:off x="16790379" y="627380"/>
          <a:ext cx="1097280" cy="685800"/>
        </a:xfrm>
        <a:prstGeom prst="rect">
          <a:avLst/>
        </a:prstGeom>
        <a:solidFill>
          <a:srgbClr val="FFFFE1"/>
        </a:solidFill>
        <a:ln w="9525">
          <a:solidFill>
            <a:srgbClr val="000000"/>
          </a:solidFill>
        </a:ln>
      </xdr:spPr>
      <xdr:txBody>
        <a:bodyPr rtlCol="0"/>
        <a:lstStyle/>
        <a:p>
          <a:pPr algn="l"/>
          <a:r>
            <a:rPr/>
            <a:t>Display format for selected button</a:t>
          </a:r>
        </a:p>
      </xdr:txBody>
    </xdr:sp>
    <xdr:clientData/>
  </xdr:twoCellAnchor>
  <xdr:twoCellAnchor editAs="absolute">
    <xdr:from>
      <xdr:col>14</xdr:col>
      <xdr:colOff>114300</xdr:colOff>
      <xdr:row>3</xdr:row>
      <xdr:rowOff>109220</xdr:rowOff>
    </xdr:from>
    <xdr:to>
      <xdr:col>14</xdr:col>
      <xdr:colOff>1211580</xdr:colOff>
      <xdr:row>7</xdr:row>
      <xdr:rowOff>104140</xdr:rowOff>
    </xdr:to>
    <xdr:sp macro="" textlink="">
      <xdr:nvSpPr>
        <xdr:cNvPr id="7" name="Comment 6" hidden="1"/>
        <xdr:cNvSpPr txBox="1"/>
      </xdr:nvSpPr>
      <xdr:spPr>
        <a:xfrm>
          <a:off x="17832046" y="627380"/>
          <a:ext cx="1097280" cy="685800"/>
        </a:xfrm>
        <a:prstGeom prst="rect">
          <a:avLst/>
        </a:prstGeom>
        <a:solidFill>
          <a:srgbClr val="FFFFE1"/>
        </a:solidFill>
        <a:ln w="9525">
          <a:solidFill>
            <a:srgbClr val="000000"/>
          </a:solidFill>
        </a:ln>
      </xdr:spPr>
      <xdr:txBody>
        <a:bodyPr rtlCol="0"/>
        <a:lstStyle/>
        <a:p>
          <a:pPr algn="l"/>
          <a:r>
            <a:rPr/>
            <a:t>Display format for button when hovered over</a:t>
          </a:r>
        </a:p>
        <a:p>
          <a:pPr algn="l"/>
          <a:endParaRPr/>
        </a:p>
      </xdr:txBody>
    </xdr:sp>
    <xdr:clientData/>
  </xdr:twoCellAnchor>
  <xdr:twoCellAnchor editAs="absolute">
    <xdr:from>
      <xdr:col>15</xdr:col>
      <xdr:colOff>114300</xdr:colOff>
      <xdr:row>3</xdr:row>
      <xdr:rowOff>109220</xdr:rowOff>
    </xdr:from>
    <xdr:to>
      <xdr:col>16</xdr:col>
      <xdr:colOff>545050</xdr:colOff>
      <xdr:row>7</xdr:row>
      <xdr:rowOff>104140</xdr:rowOff>
    </xdr:to>
    <xdr:sp macro="" textlink="">
      <xdr:nvSpPr>
        <xdr:cNvPr id="8" name="Comment 7" hidden="1"/>
        <xdr:cNvSpPr txBox="1"/>
      </xdr:nvSpPr>
      <xdr:spPr>
        <a:xfrm>
          <a:off x="19165392" y="627380"/>
          <a:ext cx="1097280" cy="685800"/>
        </a:xfrm>
        <a:prstGeom prst="rect">
          <a:avLst/>
        </a:prstGeom>
        <a:solidFill>
          <a:srgbClr val="FFFFE1"/>
        </a:solidFill>
        <a:ln w="9525">
          <a:solidFill>
            <a:srgbClr val="000000"/>
          </a:solidFill>
        </a:ln>
      </xdr:spPr>
      <xdr:txBody>
        <a:bodyPr rtlCol="0"/>
        <a:lstStyle/>
        <a:p>
          <a:pPr algn="l"/>
          <a:r>
            <a:rPr/>
            <a:t>Background between the slicer buttons.</a:t>
          </a:r>
        </a:p>
      </xdr:txBody>
    </xdr:sp>
    <xdr:clientData/>
  </xdr:twoCellAnchor>
  <xdr:twoCellAnchor editAs="absolute">
    <xdr:from>
      <xdr:col>4</xdr:col>
      <xdr:colOff>114300</xdr:colOff>
      <xdr:row>22</xdr:row>
      <xdr:rowOff>109220</xdr:rowOff>
    </xdr:from>
    <xdr:to>
      <xdr:col>4</xdr:col>
      <xdr:colOff>1211580</xdr:colOff>
      <xdr:row>26</xdr:row>
      <xdr:rowOff>104140</xdr:rowOff>
    </xdr:to>
    <xdr:sp macro="" textlink="">
      <xdr:nvSpPr>
        <xdr:cNvPr id="9" name="Comment 8" hidden="1"/>
        <xdr:cNvSpPr txBox="1"/>
      </xdr:nvSpPr>
      <xdr:spPr>
        <a:xfrm>
          <a:off x="7322513" y="3563620"/>
          <a:ext cx="1097280" cy="685800"/>
        </a:xfrm>
        <a:prstGeom prst="rect">
          <a:avLst/>
        </a:prstGeom>
        <a:solidFill>
          <a:srgbClr val="FFFFE1"/>
        </a:solidFill>
        <a:ln w="9525">
          <a:solidFill>
            <a:srgbClr val="000000"/>
          </a:solidFill>
        </a:ln>
      </xdr:spPr>
      <xdr:txBody>
        <a:bodyPr rtlCol="0"/>
        <a:lstStyle/>
        <a:p>
          <a:pPr algn="l"/>
          <a:r>
            <a:rPr/>
            <a:t>Can use wildcard character - '*'</a:t>
          </a:r>
        </a:p>
        <a:p>
          <a:pPr algn="l"/>
          <a:endParaRPr/>
        </a:p>
        <a:p>
          <a:pPr algn="l"/>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_rels/sheet2.xml.rels>&#65279;<?xml version="1.0" encoding="utf-8"?><Relationships xmlns="http://schemas.openxmlformats.org/package/2006/relationships"><Relationship Id="rId1" Type="http://schemas.openxmlformats.org/officeDocument/2006/relationships/drawing" Target="../drawings/drawing2.xml" /></Relationships>
</file>

<file path=xl/worksheets/sheet1.xml><?xml version="1.0" encoding="utf-8"?>
<worksheet xmlns:r="http://schemas.openxmlformats.org/officeDocument/2006/relationships" xmlns="http://schemas.openxmlformats.org/spreadsheetml/2006/main">
  <sheetPr>
    <pageSetUpPr fitToPage="1"/>
  </sheetPr>
  <dimension ref="A1:K640"/>
  <sheetViews>
    <sheetView tabSelected="1" workbookViewId="0"/>
  </sheetViews>
  <sheetFormatPr defaultColWidth="11.42578125" defaultRowHeight="14.95"/>
  <cols>
    <col min="1" max="1" width="50.7109375" style="41" customWidth="1"/>
    <col min="2" max="17" width="11.7109375" customWidth="1"/>
    <col min="18" max="20" width="8.28515625" customWidth="1"/>
    <col min="21" max="21" width="7.28515625" customWidth="1"/>
    <col min="22" max="22" width="11.28515625" customWidth="1"/>
    <col min="23" max="23" width="9.85546875" customWidth="1"/>
    <col min="24" max="24" width="7.28515625" customWidth="1"/>
    <col min="25" max="25" width="11.28515625" customWidth="1"/>
    <col min="26" max="26" width="17.140625" customWidth="1"/>
    <col min="27" max="27" width="6.7109375" customWidth="1"/>
    <col min="28" max="28" width="7.140625" customWidth="1"/>
    <col min="29" max="29" width="17.140625" customWidth="1"/>
    <col min="30" max="30" width="6.7109375" customWidth="1"/>
    <col min="31" max="31" width="7.140625" customWidth="1"/>
    <col min="32" max="32" width="17.140625" customWidth="1"/>
    <col min="33" max="33" width="6.7109375" customWidth="1"/>
    <col min="34" max="34" width="7.140625" customWidth="1"/>
  </cols>
  <sheetData>
    <row>
      <c s="11" t="s">
        <v>15</v>
      </c>
      <c s="11"/>
      <c s="11"/>
      <c s="11"/>
      <c s="11"/>
      <c s="12"/>
      <c s="12"/>
    </row>
    <row s="63" customFormat="1">
      <c s="9" t="s">
        <v>49</v>
      </c>
      <c s="9"/>
      <c s="9"/>
      <c s="9"/>
      <c s="9"/>
      <c s="22"/>
      <c s="22"/>
    </row>
    <row s="63" customFormat="1">
      <c s="27" t="s">
        <v>59</v>
      </c>
      <c s="9"/>
      <c s="9"/>
      <c s="9"/>
      <c s="9"/>
      <c s="22"/>
      <c s="22"/>
    </row>
    <row s="63" customFormat="1">
      <c s="3" t="s">
        <v>110</v>
      </c>
      <c s="3"/>
      <c s="3"/>
      <c s="3"/>
      <c s="3"/>
      <c s="3"/>
      <c s="3"/>
      <c s="3"/>
      <c s="3"/>
    </row>
    <row s="63" customFormat="1">
      <c s="3" t="s">
        <v>34</v>
      </c>
      <c s="3"/>
      <c s="3"/>
      <c s="3"/>
      <c s="3"/>
      <c s="3"/>
      <c s="3"/>
      <c s="3"/>
      <c s="62"/>
    </row>
    <row ht="39" customHeight="1" s="63" customFormat="1">
      <c s="3" t="s">
        <v>101</v>
      </c>
      <c s="3"/>
      <c s="3"/>
      <c s="3"/>
      <c s="3"/>
      <c s="3"/>
      <c s="3"/>
      <c s="3"/>
      <c s="62"/>
    </row>
    <row ht="15" customHeight="1">
      <c s="71" t="s">
        <v>102</v>
      </c>
      <c s="10"/>
      <c s="10"/>
      <c s="10"/>
      <c s="10"/>
      <c s="10"/>
      <c s="12"/>
    </row>
    <row>
      <c s="27" t="s">
        <v>82</v>
      </c>
      <c s="8"/>
      <c s="8"/>
      <c s="8"/>
      <c s="8"/>
      <c s="12"/>
      <c s="12"/>
    </row>
    <row>
      <c s="8"/>
      <c s="8"/>
      <c s="8"/>
      <c s="8"/>
      <c s="8"/>
      <c s="12"/>
      <c s="12"/>
    </row>
    <row ht="15" customHeight="1">
      <c s="31" t="s">
        <v>43</v>
      </c>
      <c s="64" t="s">
        <v>41</v>
      </c>
      <c r="F10" t="s">
        <v>27</v>
      </c>
    </row>
    <row ht="15" customHeight="1">
      <c s="31" t="s">
        <v>2</v>
      </c>
      <c s="64" t="s">
        <v>22</v>
      </c>
      <c r="F11" t="s">
        <v>27</v>
      </c>
    </row>
    <row ht="15" customHeight="1">
      <c s="31" t="s">
        <v>67</v>
      </c>
      <c s="64" t="s">
        <v>22</v>
      </c>
      <c r="F12" t="s">
        <v>27</v>
      </c>
    </row>
    <row ht="15" customHeight="1">
      <c s="31" t="s">
        <v>60</v>
      </c>
      <c s="64" t="s">
        <v>22</v>
      </c>
      <c r="F13" t="s">
        <v>27</v>
      </c>
    </row>
    <row ht="15" customHeight="1">
      <c s="31" t="s">
        <v>9</v>
      </c>
      <c s="64" t="s">
        <v>22</v>
      </c>
      <c r="F14" t="s">
        <v>27</v>
      </c>
    </row>
    <row ht="15" customHeight="1">
      <c s="31" t="s">
        <v>75</v>
      </c>
      <c s="64" t="s">
        <v>22</v>
      </c>
      <c r="F15" t="s">
        <v>27</v>
      </c>
    </row>
    <row ht="15" customHeight="1">
      <c s="31" t="s">
        <v>51</v>
      </c>
      <c s="64" t="s">
        <v>22</v>
      </c>
      <c r="F16" t="s">
        <v>27</v>
      </c>
    </row>
    <row ht="15" customHeight="1">
      <c s="31" t="s">
        <v>83</v>
      </c>
      <c s="64" t="s">
        <v>22</v>
      </c>
      <c r="F17" t="s">
        <v>27</v>
      </c>
    </row>
    <row ht="15" customHeight="1">
      <c s="31" t="s">
        <v>42</v>
      </c>
      <c s="64" t="s">
        <v>22</v>
      </c>
    </row>
    <row ht="15" hidden="1">
      <c s="31" t="s">
        <v>50</v>
      </c>
      <c s="64" t="s">
        <v>16</v>
      </c>
    </row>
    <row ht="15" hidden="1">
      <c s="31" t="s">
        <v>66</v>
      </c>
      <c s="64" t="s">
        <v>81</v>
      </c>
    </row>
    <row ht="15" hidden="1">
      <c s="31" t="s">
        <v>100</v>
      </c>
      <c s="64" t="s">
        <v>38</v>
      </c>
    </row>
    <row ht="15" customHeight="1">
      <c/>
    </row>
    <row ht="15" customHeight="1">
      <c/>
    </row>
    <row ht="15" customHeight="1">
      <c/>
      <c s="6" t="s">
        <v>17</v>
      </c>
      <c s="6"/>
      <c s="6"/>
      <c s="6"/>
      <c s="6"/>
    </row>
    <row>
      <c/>
      <c s="6" t="s">
        <v>10</v>
      </c>
      <c s="6"/>
      <c s="6"/>
      <c s="26" t="s">
        <v>68</v>
      </c>
      <c s="26"/>
    </row>
    <row>
      <c s="31" t="s">
        <v>0</v>
      </c>
      <c s="13" t="s">
        <v>3</v>
      </c>
      <c s="13" t="s">
        <v>36</v>
      </c>
      <c s="66" t="s">
        <v>22</v>
      </c>
      <c s="13" t="s">
        <v>3</v>
      </c>
      <c s="13" t="s">
        <v>36</v>
      </c>
    </row>
    <row>
      <c s="56" t="s">
        <v>19</v>
      </c>
      <c s="29">
        <v>15976.348310000001</v>
      </c>
      <c s="29">
        <v>8984.137319999998</v>
      </c>
      <c s="65">
        <v>24960.485630000014</v>
      </c>
      <c s="30">
        <v>0.64006560396397194</v>
      </c>
      <c s="30">
        <v>0.3599343960360275</v>
      </c>
    </row>
    <row>
      <c s="56" t="s">
        <v>85</v>
      </c>
      <c s="29">
        <v>4839.0055999999986</v>
      </c>
      <c s="29">
        <v>2592.873</v>
      </c>
      <c s="65">
        <v>7431.8785999999964</v>
      </c>
      <c s="30">
        <v>0.65111472622817079</v>
      </c>
      <c s="30">
        <v>0.34888527377182954</v>
      </c>
    </row>
    <row>
      <c s="56" t="s">
        <v>53</v>
      </c>
      <c s="29">
        <v>5142.9285000000009</v>
      </c>
      <c s="29">
        <v>4121.90085</v>
      </c>
      <c s="65">
        <v>9264.8293499999982</v>
      </c>
      <c s="30">
        <v>0.55510234519322277</v>
      </c>
      <c s="30">
        <v>0.44489765480677751</v>
      </c>
    </row>
    <row>
      <c s="56" t="s">
        <v>96</v>
      </c>
      <c s="29">
        <v>909.20000000000005</v>
      </c>
      <c s="29">
        <v>598.90000000000009</v>
      </c>
      <c s="65">
        <v>1508.0999999999997</v>
      </c>
      <c s="30">
        <v>0.60287779324978463</v>
      </c>
      <c s="30">
        <v>0.39712220675021564</v>
      </c>
    </row>
    <row>
      <c s="56" t="s">
        <v>52</v>
      </c>
      <c s="29">
        <v>589.32669999999985</v>
      </c>
      <c s="29">
        <v>352.66190000000006</v>
      </c>
      <c s="65">
        <v>941.98860000000013</v>
      </c>
      <c s="30">
        <v>0.62561977926272117</v>
      </c>
      <c s="30">
        <v>0.37438022073727856</v>
      </c>
    </row>
    <row>
      <c s="56" t="s">
        <v>35</v>
      </c>
      <c s="29">
        <v>448.5</v>
      </c>
      <c s="29">
        <v>266.5</v>
      </c>
      <c s="65">
        <v>715</v>
      </c>
      <c s="30">
        <v>0.62727272727272732</v>
      </c>
      <c s="30">
        <v>0.37272727272727274</v>
      </c>
    </row>
    <row>
      <c s="56" t="s">
        <v>95</v>
      </c>
      <c s="29">
        <v>2779.6239500000001</v>
      </c>
      <c s="29">
        <v>1506.9963500000001</v>
      </c>
      <c s="65">
        <v>4286.6202999999987</v>
      </c>
      <c s="30">
        <v>0.6484418389004506</v>
      </c>
      <c s="30">
        <v>0.35155816109954985</v>
      </c>
    </row>
    <row>
      <c s="56" t="s">
        <v>103</v>
      </c>
      <c s="29">
        <v>2437.83338</v>
      </c>
      <c s="29">
        <v>4862.1667000000007</v>
      </c>
      <c s="65">
        <v>7300.0000799999998</v>
      </c>
      <c s="30">
        <v>0.33394977442246826</v>
      </c>
      <c s="30">
        <v>0.66605022557753191</v>
      </c>
    </row>
    <row>
      <c s="56" t="s">
        <v>61</v>
      </c>
      <c s="29">
        <v>1608.4900500000001</v>
      </c>
      <c s="29">
        <v>2533.5169000000005</v>
      </c>
      <c s="65">
        <v>4142.0069500000009</v>
      </c>
      <c s="30">
        <v>0.38833591285982749</v>
      </c>
      <c s="30">
        <v>0.61166408714017251</v>
      </c>
    </row>
    <row>
      <c s="56" t="s">
        <v>40</v>
      </c>
      <c s="29">
        <v>250</v>
      </c>
      <c s="29">
        <v>520</v>
      </c>
      <c s="65">
        <v>770</v>
      </c>
      <c s="30">
        <v>0.32467532467532467</v>
      </c>
      <c s="30">
        <v>0.67532467532467533</v>
      </c>
    </row>
    <row>
      <c s="56" t="s">
        <v>94</v>
      </c>
      <c s="29">
        <v>1910.8333099999998</v>
      </c>
      <c s="29">
        <v>1461.0666499999998</v>
      </c>
      <c s="65">
        <v>3371.8999599999997</v>
      </c>
      <c s="30">
        <v>0.56669335765228335</v>
      </c>
      <c s="30">
        <v>0.4333066423477166</v>
      </c>
    </row>
    <row>
      <c s="56" t="s">
        <v>39</v>
      </c>
      <c s="29">
        <v>410.1400000000001</v>
      </c>
      <c s="29">
        <v>123.12</v>
      </c>
      <c s="65">
        <v>533.2600000000001</v>
      </c>
      <c s="30">
        <v>0.76911825375989207</v>
      </c>
      <c s="30">
        <v>0.23088174624010799</v>
      </c>
    </row>
    <row>
      <c s="56" t="s">
        <v>1</v>
      </c>
      <c s="29">
        <v>3704</v>
      </c>
      <c s="29">
        <v>3956</v>
      </c>
      <c s="65">
        <v>7660</v>
      </c>
      <c s="30">
        <v>0.4835509138381201</v>
      </c>
      <c s="30">
        <v>0.5164490861618799</v>
      </c>
    </row>
    <row>
      <c s="56" t="s">
        <v>93</v>
      </c>
      <c s="29">
        <v>3105.5932500000004</v>
      </c>
      <c s="29">
        <v>3438.6169499999992</v>
      </c>
      <c s="65">
        <v>6544.2101999999968</v>
      </c>
      <c s="30">
        <v>0.47455585243884768</v>
      </c>
      <c s="30">
        <v>0.52544414756115276</v>
      </c>
    </row>
    <row>
      <c s="56" t="s">
        <v>24</v>
      </c>
      <c s="29">
        <v>1473.5547000000006</v>
      </c>
      <c s="29">
        <v>1021.5387000000003</v>
      </c>
      <c s="65">
        <v>2495.0934000000011</v>
      </c>
      <c s="30">
        <v>0.59058097785036823</v>
      </c>
      <c s="30">
        <v>0.40941902214963166</v>
      </c>
    </row>
    <row>
      <c s="56" t="s">
        <v>18</v>
      </c>
      <c s="29">
        <v>341.5</v>
      </c>
      <c s="29">
        <v>142</v>
      </c>
      <c s="65">
        <v>483.5</v>
      </c>
      <c s="30">
        <v>0.70630816959669085</v>
      </c>
      <c s="30">
        <v>0.29369183040330921</v>
      </c>
    </row>
    <row>
      <c s="56" t="s">
        <v>11</v>
      </c>
      <c s="29">
        <v>355</v>
      </c>
      <c s="29">
        <v>272.5</v>
      </c>
      <c s="65">
        <v>627.5</v>
      </c>
      <c s="30">
        <v>0.56573705179282874</v>
      </c>
      <c s="30">
        <v>0.43426294820717132</v>
      </c>
    </row>
    <row>
      <c s="56" t="s">
        <v>23</v>
      </c>
      <c s="29">
        <v>318.23839999999996</v>
      </c>
      <c s="29">
        <v>187.76510000000002</v>
      </c>
      <c s="65">
        <v>506.00349999999997</v>
      </c>
      <c s="30">
        <v>0.62892529399500197</v>
      </c>
      <c s="30">
        <v>0.37107470600499803</v>
      </c>
    </row>
    <row>
      <c s="56" t="s">
        <v>84</v>
      </c>
      <c s="29">
        <v>256.48794999999996</v>
      </c>
      <c s="29">
        <v>232.34059999999999</v>
      </c>
      <c s="65">
        <v>488.82855000000006</v>
      </c>
      <c s="30">
        <v>0.52469920179580332</v>
      </c>
      <c s="30">
        <v>0.47530079820419646</v>
      </c>
    </row>
    <row>
      <c s="56" t="s">
        <v>74</v>
      </c>
      <c s="29">
        <v>242.54640000000001</v>
      </c>
      <c s="29">
        <v>110.50159999999998</v>
      </c>
      <c s="65">
        <v>353.04799999999994</v>
      </c>
      <c s="30">
        <v>0.6870068659219144</v>
      </c>
      <c s="30">
        <v>0.31299313407808571</v>
      </c>
    </row>
    <row>
      <c s="56" t="s">
        <v>76</v>
      </c>
      <c s="29">
        <v>247.5</v>
      </c>
      <c s="29">
        <v>125.5</v>
      </c>
      <c s="65">
        <v>373</v>
      </c>
      <c s="30">
        <v>0.66353887399463807</v>
      </c>
      <c s="30">
        <v>0.33646112600536193</v>
      </c>
    </row>
    <row>
      <c s="56" t="s">
        <v>48</v>
      </c>
      <c s="29">
        <v>8</v>
      </c>
      <c s="29">
        <v>5</v>
      </c>
      <c s="65">
        <v>13</v>
      </c>
      <c s="30">
        <v>0.61538461538461542</v>
      </c>
      <c s="30">
        <v>0.38461538461538464</v>
      </c>
    </row>
    <row>
      <c s="56" t="s">
        <v>69</v>
      </c>
      <c s="29">
        <v>13</v>
      </c>
      <c s="29">
        <v>14</v>
      </c>
      <c s="65">
        <v>27</v>
      </c>
      <c s="30">
        <v>0.48148148148148145</v>
      </c>
      <c s="30">
        <v>0.51851851851851849</v>
      </c>
    </row>
    <row>
      <c s="37" t="s">
        <v>22</v>
      </c>
      <c s="14">
        <v>47367.650499999989</v>
      </c>
      <c s="14">
        <v>37429.602620000005</v>
      </c>
      <c s="14">
        <v>84797.253120000008</v>
      </c>
      <c s="20">
        <v>0.5585988785859386</v>
      </c>
      <c s="20">
        <v>0.44140112141406124</v>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s="1"/>
      <c s="1"/>
      <c s="1"/>
      <c s="1"/>
      <c s="1"/>
      <c s="1"/>
      <c s="1"/>
      <c s="1"/>
      <c s="1"/>
      <c s="1"/>
      <c s="1"/>
    </row>
    <row>
      <c s="1"/>
      <c s="1"/>
      <c s="1"/>
      <c s="1"/>
      <c s="1"/>
      <c s="1"/>
      <c s="1"/>
      <c s="1"/>
      <c s="1"/>
      <c s="1"/>
      <c s="1"/>
    </row>
    <row>
      <c s="1"/>
      <c s="1"/>
      <c s="1"/>
      <c s="1"/>
      <c s="1"/>
      <c s="1"/>
      <c s="1"/>
      <c s="1"/>
      <c s="1"/>
      <c s="1"/>
      <c s="1"/>
    </row>
    <row>
      <c s="61"/>
      <c s="2"/>
      <c s="2"/>
      <c s="2"/>
      <c s="2"/>
      <c s="2"/>
      <c s="2"/>
      <c s="2"/>
      <c s="2"/>
      <c s="2"/>
      <c s="1"/>
    </row>
    <row>
      <c s="1"/>
      <c s="1"/>
      <c s="1"/>
      <c s="1"/>
      <c s="1"/>
      <c s="1"/>
      <c s="1"/>
      <c s="1"/>
      <c s="1"/>
      <c s="1"/>
      <c s="1"/>
    </row>
    <row>
      <c s="1"/>
      <c s="1"/>
      <c s="1"/>
      <c s="1"/>
      <c s="1"/>
      <c s="1"/>
      <c s="1"/>
      <c s="1"/>
      <c s="1"/>
      <c s="1"/>
      <c s="1"/>
    </row>
    <row>
      <c s="1"/>
      <c s="1"/>
      <c s="1"/>
      <c s="1"/>
      <c s="1"/>
      <c s="1"/>
      <c s="1"/>
      <c s="1"/>
      <c s="1"/>
      <c s="1"/>
      <c s="1"/>
    </row>
    <row>
      <c s="1"/>
      <c s="1"/>
      <c s="1"/>
      <c s="1"/>
      <c s="1"/>
      <c s="1"/>
      <c s="1"/>
      <c s="1"/>
      <c s="1"/>
      <c s="1"/>
      <c s="1"/>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sheetData>
  <mergeCells count="6">
    <mergeCell ref="A4:I4"/>
    <mergeCell ref="A5:H5"/>
    <mergeCell ref="A6:H6"/>
    <mergeCell ref="B24:F24"/>
    <mergeCell ref="B25:D25"/>
    <mergeCell ref="E25:F25"/>
  </mergeCells>
  <pageMargins left="0.70866141732283472" right="0.70866141732283472" top="0.78740157480314965" bottom="0.78740157480314965" header="0.31496062992125984" footer="0.31496062992125984"/>
  <pageSetup paperSize="9" scale="68" orientation="landscape"/>
  <headerFooter>
    <oddHeader>&amp;L&amp;"Tahoma,Standard"&amp;10unidata.gv.at&amp;R&amp;"Tahoma,Standard"&amp;10&amp;D</oddHeader>
    <oddFooter>&amp;R&amp;"Tahoma,Standard"&amp;10&amp;P/&amp;N</oddFooter>
  </headerFooter>
  <drawing r:id="rId1"/>
</worksheet>
</file>

<file path=xl/worksheets/sheet2.xml><?xml version="1.0" encoding="utf-8"?>
<worksheet xmlns:r="http://schemas.openxmlformats.org/officeDocument/2006/relationships" xmlns="http://schemas.openxmlformats.org/spreadsheetml/2006/main">
  <dimension ref="A1:Z33"/>
  <sheetViews>
    <sheetView workbookViewId="0">
      <selection activeCell="E27" sqref="E27:E31"/>
    </sheetView>
  </sheetViews>
  <sheetFormatPr defaultColWidth="9.140625" defaultRowHeight="13.6"/>
  <cols>
    <col min="1" max="1" width="13.5703125" style="23" customWidth="1"/>
    <col min="2" max="2" width="40.85546875" style="23" customWidth="1"/>
    <col min="3" max="3" width="28.140625" style="23" customWidth="1"/>
    <col min="4" max="4" width="16.28515625" style="23" customWidth="1"/>
    <col min="5" max="5" width="19.42578125" style="23" customWidth="1"/>
    <col min="6" max="6" width="11.140625" style="23" customWidth="1"/>
    <col min="7" max="7" width="9.140625" style="23" customWidth="1"/>
    <col min="8" max="8" width="17.28515625" style="23" customWidth="1"/>
    <col min="9" max="9" width="19.5703125" style="23" customWidth="1"/>
    <col min="10" max="12" width="12.42578125" style="23" customWidth="1"/>
    <col min="13" max="13" width="16" style="23" customWidth="1"/>
    <col min="14" max="14" width="14.28515625" style="23" customWidth="1"/>
    <col min="15" max="15" width="18.28515625" style="23" customWidth="1"/>
    <col min="16" max="25" width="9.140625" style="23" customWidth="1"/>
    <col min="26" max="26" width="9.140625" style="23" hidden="1" customWidth="1"/>
    <col min="27" max="27" width="9.140625" style="23" customWidth="1"/>
    <col min="28" max="16384" width="9.140625" style="23"/>
  </cols>
  <sheetData>
    <row>
      <c s="60"/>
      <c r="H1" s="35">
        <v>129806172700000000</v>
      </c>
      <c r="Z1" s="57" t="b">
        <f>0=1</f>
        <v>0</v>
      </c>
    </row>
    <row>
      <c r="Z2" s="57" t="b">
        <f>1=1</f>
        <v>1</v>
      </c>
    </row>
    <row>
      <c r="Z3" s="57"/>
    </row>
    <row>
      <c r="I4" s="23" t="s">
        <v>37</v>
      </c>
      <c s="36" t="s">
        <v>77</v>
      </c>
      <c s="7"/>
      <c s="7"/>
      <c s="7"/>
      <c s="7"/>
      <c s="7"/>
    </row>
    <row>
      <c r="J5" s="19" t="s">
        <v>28</v>
      </c>
      <c s="17" t="s">
        <v>54</v>
      </c>
      <c s="17" t="s">
        <v>70</v>
      </c>
      <c s="19" t="s">
        <v>105</v>
      </c>
      <c s="49" t="s">
        <v>86</v>
      </c>
      <c s="17" t="s">
        <v>4</v>
      </c>
    </row>
    <row>
      <c r="B6" s="25" t="s">
        <v>87</v>
      </c>
      <c s="16" t="s">
        <v>97</v>
      </c>
      <c s="32" t="s">
        <v>12</v>
      </c>
      <c s="5" t="s">
        <v>55</v>
      </c>
    </row>
    <row>
      <c r="C7" s="18"/>
      <c s="28" t="s">
        <v>13</v>
      </c>
      <c s="5" t="s">
        <v>62</v>
      </c>
    </row>
    <row>
      <c r="C8" s="28" t="s">
        <v>5</v>
      </c>
      <c s="18"/>
    </row>
    <row>
      <c r="C9" s="18"/>
      <c s="16" t="s">
        <v>29</v>
      </c>
      <c s="48"/>
    </row>
    <row>
      <c r="C10" s="16" t="s">
        <v>44</v>
      </c>
      <c s="33" t="s">
        <v>71</v>
      </c>
      <c s="5" t="s">
        <v>20</v>
      </c>
    </row>
    <row>
      <c r="B11" s="25" t="s">
        <v>56</v>
      </c>
      <c s="52" t="s">
        <v>45</v>
      </c>
      <c s="42">
        <v>60398</v>
      </c>
      <c s="5" t="s">
        <v>30</v>
      </c>
    </row>
    <row>
      <c r="B12" s="25"/>
      <c s="51"/>
      <c s="38"/>
      <c s="54" t="s">
        <v>78</v>
      </c>
    </row>
    <row>
      <c r="B13" s="25" t="s">
        <v>46</v>
      </c>
      <c s="34" t="s">
        <v>25</v>
      </c>
      <c s="58">
        <v>1212</v>
      </c>
      <c s="23" t="b">
        <v>0</v>
      </c>
      <c s="5" t="s">
        <v>72</v>
      </c>
    </row>
    <row ht="12.75" hidden="1">
      <c r="B14" s="25"/>
      <c s="34"/>
      <c s="44"/>
      <c s="23" t="b">
        <v>0</v>
      </c>
    </row>
    <row>
      <c r="B15" s="25" t="s">
        <v>98</v>
      </c>
      <c s="23" t="s">
        <v>104</v>
      </c>
      <c s="46">
        <v>1212</v>
      </c>
      <c s="23" t="b">
        <v>0</v>
      </c>
      <c s="5" t="s">
        <v>26</v>
      </c>
    </row>
    <row ht="12.75" hidden="1">
      <c r="B16" s="25"/>
      <c r="D16" s="15"/>
      <c s="23" t="b">
        <v>0</v>
      </c>
      <c s="5"/>
    </row>
    <row>
      <c r="B17" s="25"/>
      <c s="23" t="s">
        <v>31</v>
      </c>
      <c s="67">
        <v>3434</v>
      </c>
      <c s="23" t="b">
        <v>0</v>
      </c>
      <c s="5" t="s">
        <v>73</v>
      </c>
    </row>
    <row>
      <c r="B18" s="25"/>
      <c r="D18" s="15"/>
      <c s="23" t="b">
        <v>0</v>
      </c>
      <c s="5"/>
    </row>
    <row>
      <c r="B19" s="25"/>
      <c s="23" t="s">
        <v>6</v>
      </c>
      <c s="59">
        <v>3434</v>
      </c>
      <c s="23" t="b">
        <v>0</v>
      </c>
      <c s="5" t="s">
        <v>88</v>
      </c>
    </row>
    <row>
      <c r="B20" s="25"/>
      <c r="D20" s="15"/>
      <c s="23" t="b">
        <v>0</v>
      </c>
      <c s="5"/>
    </row>
    <row>
      <c r="B21" s="25"/>
      <c s="23" t="s">
        <v>89</v>
      </c>
      <c s="40">
        <v>5656</v>
      </c>
      <c s="23" t="b">
        <v>0</v>
      </c>
      <c s="5" t="s">
        <v>106</v>
      </c>
    </row>
    <row>
      <c r="B22" s="25"/>
      <c r="E22" s="5"/>
      <c r="I22" s="43"/>
    </row>
    <row>
      <c r="B23" s="21" t="s">
        <v>7</v>
      </c>
      <c s="21"/>
    </row>
    <row>
      <c r="B24" s="4" t="s">
        <v>57</v>
      </c>
      <c s="4" t="s">
        <v>32</v>
      </c>
      <c s="4" t="s">
        <v>14</v>
      </c>
      <c s="4" t="s">
        <v>90</v>
      </c>
      <c s="4"/>
      <c s="4"/>
      <c s="4" t="s">
        <v>107</v>
      </c>
    </row>
    <row>
      <c s="23" t="s">
        <v>63</v>
      </c>
      <c r="C25" s="53" t="s">
        <v>58</v>
      </c>
      <c s="24" t="s">
        <v>79</v>
      </c>
      <c s="24">
        <v>1234.5599999999999</v>
      </c>
      <c s="5" t="s">
        <v>80</v>
      </c>
      <c r="H25" s="23" t="s">
        <v>91</v>
      </c>
    </row>
    <row>
      <c s="23" t="s">
        <v>99</v>
      </c>
      <c r="C26" s="53" t="s">
        <v>58</v>
      </c>
      <c s="24" t="s">
        <v>79</v>
      </c>
      <c s="24">
        <v>1234.5599999999999</v>
      </c>
      <c s="5" t="s">
        <v>64</v>
      </c>
      <c r="H26" s="23" t="s">
        <v>108</v>
      </c>
    </row>
    <row>
      <c r="C27" s="53" t="s">
        <v>58</v>
      </c>
      <c s="39" t="s">
        <v>79</v>
      </c>
      <c s="24">
        <v>1234.5599999999999</v>
      </c>
      <c r="H27" s="23" t="s">
        <v>65</v>
      </c>
    </row>
    <row>
      <c r="C28" s="50" t="s">
        <v>58</v>
      </c>
      <c s="39" t="s">
        <v>47</v>
      </c>
      <c s="24">
        <v>1234.5599999999999</v>
      </c>
      <c r="H28" s="23" t="s">
        <v>33</v>
      </c>
    </row>
    <row>
      <c r="C29" s="50" t="s">
        <v>58</v>
      </c>
      <c s="39" t="s">
        <v>17</v>
      </c>
      <c s="24">
        <v>1234.5599999999999</v>
      </c>
      <c r="H29" s="23" t="s">
        <v>109</v>
      </c>
    </row>
    <row>
      <c r="C30" s="50" t="s">
        <v>8</v>
      </c>
      <c s="39" t="s">
        <v>10</v>
      </c>
      <c s="24">
        <v>1234.5599999999999</v>
      </c>
    </row>
    <row>
      <c r="C31" s="50" t="s">
        <v>8</v>
      </c>
      <c s="45" t="s">
        <v>68</v>
      </c>
      <c s="68">
        <v>1234.5599999999999</v>
      </c>
    </row>
    <row>
      <c r="C32" s="50" t="s">
        <v>92</v>
      </c>
      <c s="69" t="s">
        <v>22</v>
      </c>
      <c s="47">
        <v>1234.5599999999999</v>
      </c>
    </row>
    <row>
      <c r="C33" s="50" t="s">
        <v>21</v>
      </c>
      <c s="55" t="s">
        <v>22</v>
      </c>
      <c s="70">
        <v>1234.5599999999999</v>
      </c>
    </row>
  </sheetData>
  <mergeCells count="2">
    <mergeCell ref="J4:O4"/>
    <mergeCell ref="B23:C23"/>
  </mergeCells>
  <dataValidations count="1">
    <dataValidation type="list" allowBlank="1" showInputMessage="1" showErrorMessage="1" sqref="E13:E21">
      <formula1>$Z$1:$Z$2</formula1>
    </dataValidation>
  </dataValidations>
  <pageMargins left="0.7" right="0.7" top="0.787401575" bottom="0.787401575" header="0.3" footer="0.3"/>
  <pageSetup paperSize="9" orientation="portrait"/>
  <drawing r:id="rId1"/>
</worksheet>
</file>
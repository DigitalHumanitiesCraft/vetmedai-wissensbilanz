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media/image2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28800" windowHeight="12000"/>
  </bookViews>
  <sheets>
    <sheet name="Tab" sheetId="1" r:id="rId1"/>
    <sheet name="XLCubedFormats" sheetId="2" state="hidden" r:id="rId2"/>
  </sheets>
  <definedNames>
    <definedName name="_xlnm.Print_Area" localSheetId="0">Tab!$A$1:$J$651</definedName>
    <definedName name="_xlnm.Print_Titles" localSheetId="0">Tab!$23:$24</definedName>
    <definedName name="XL3DisableCameraObjects" hidden="1">XLCubedFormats!A1</definedName>
    <definedName name="XL3ObjLocation4d2dc12a_8384_4494_bef6_ec5dd9cdf60a">Tab!$A$9</definedName>
  </definedNames>
  <calcPr calcId="40001"/>
</workbook>
</file>

<file path=xl/sharedStrings.xml><?xml version="1.0" encoding="utf-8"?>
<sst xmlns="http://schemas.openxmlformats.org/spreadsheetml/2006/main" uniqueCount="142">
  <si>
    <t>Universität</t>
  </si>
  <si>
    <t>Semester und Datenstichtag</t>
  </si>
  <si>
    <t>Reife/Koop.-Vertrag (Inland)</t>
  </si>
  <si>
    <t>Slicer Button Background</t>
  </si>
  <si>
    <t>Grid Title</t>
  </si>
  <si>
    <t>Oth Written Member</t>
  </si>
  <si>
    <t>Fill in Grid Name, Dimension or Both</t>
  </si>
  <si>
    <t>[ALLG Wertart].[Wertart]</t>
  </si>
  <si>
    <t>Frauen</t>
  </si>
  <si>
    <t>Staatengruppe (Ö, EU, andere)</t>
  </si>
  <si>
    <t>Absolutwert</t>
  </si>
  <si>
    <t>inl. akkred. Privatuniversität</t>
  </si>
  <si>
    <t>IB Diploma (Ausland)</t>
  </si>
  <si>
    <t>All Marital Status</t>
  </si>
  <si>
    <t>Male</t>
  </si>
  <si>
    <t>Member1 Name</t>
  </si>
  <si>
    <t>Wintersemester 2024 (Stichtag: 28.02.2025)</t>
  </si>
  <si>
    <t>Studien Universitäten</t>
  </si>
  <si>
    <t>ord. Studium</t>
  </si>
  <si>
    <t>Studienberechtigung HStudBerG</t>
  </si>
  <si>
    <t>Frauenoberschule</t>
  </si>
  <si>
    <t>Aufbaurealgymnasium</t>
  </si>
  <si>
    <t>&lt;-- default Column Member Format</t>
  </si>
  <si>
    <t>Begonnene Studien</t>
  </si>
  <si>
    <t>[STU Studium].[Studium #Kurztext#]</t>
  </si>
  <si>
    <t>Gesamt</t>
  </si>
  <si>
    <t>Oberstufenrealgymnasium</t>
  </si>
  <si>
    <t>keine Reifeprüfung</t>
  </si>
  <si>
    <t>ausl. postsekund.Bildungseinr.</t>
  </si>
  <si>
    <t>Alternate Rows</t>
  </si>
  <si>
    <t>&lt;--  writeable cell format</t>
  </si>
  <si>
    <t xml:space="preserve"> </t>
  </si>
  <si>
    <t>Handelsakademie</t>
  </si>
  <si>
    <t>BA-Stud.bes.Stud.erf.eig.Uni.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</si>
  <si>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</si>
  <si>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</si>
  <si>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</si>
  <si>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</si>
  <si>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</si>
  <si>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</si>
  <si>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Wirtschaftskundl.Realgymnasium</t>
  </si>
  <si>
    <t>Dadurch sind Studien auf ganze Zahlen zu runden und es kann zu Abweichungen zwischen der Gesamtsumme und den addierten Detailergebnissen kommen.</t>
  </si>
  <si>
    <t>Naturwissensch. Realgymnasium</t>
  </si>
  <si>
    <t>inl. FH-Diplom-/MA-Studiengang</t>
  </si>
  <si>
    <t>Gymnasium</t>
  </si>
  <si>
    <t>Externistenreifeprüfung</t>
  </si>
  <si>
    <t>Berufsreifeprüfung</t>
  </si>
  <si>
    <t>Männer</t>
  </si>
  <si>
    <t>Slice Name (Optional)</t>
  </si>
  <si>
    <t>(Members of Studienfach (Fachcode)) - (Erweiterungsstudium, Zweitfach, Keine Angabe, Keine Angabe)</t>
  </si>
  <si>
    <t>Master-/Diplomst.and.inl.Univ.</t>
  </si>
  <si>
    <t>Bachelorstud. and. inl. Univ.</t>
  </si>
  <si>
    <t>ausl. beschränkte HS-Reife</t>
  </si>
  <si>
    <t>Aufbaumittelschule</t>
  </si>
  <si>
    <t>(Wirtsch.kundl.) RG f.Berufst.</t>
  </si>
  <si>
    <t>Studienberechtigungsprüfung</t>
  </si>
  <si>
    <t>H.techn.u.gewerbl. Lehranstalt</t>
  </si>
  <si>
    <t>gilt als inländisch</t>
  </si>
  <si>
    <t>Europäisches Abitur (Ausland)</t>
  </si>
  <si>
    <t>Bachelorstudium eigene Univ.</t>
  </si>
  <si>
    <t>Customer</t>
  </si>
  <si>
    <t>-All Customer</t>
  </si>
  <si>
    <t>Default Alternate Row Member Format --&gt;</t>
  </si>
  <si>
    <t>Studien von Erstzugelassenen</t>
  </si>
  <si>
    <t>Studientyp</t>
  </si>
  <si>
    <t>Bundesland Universität</t>
  </si>
  <si>
    <t>Schulform-Gruppe</t>
  </si>
  <si>
    <t>Realistisches Gymnasium</t>
  </si>
  <si>
    <t>Realgymnasium</t>
  </si>
  <si>
    <t>Master-/Diplomst.eigene Univ.</t>
  </si>
  <si>
    <t>Lehrerbildungsanstalt</t>
  </si>
  <si>
    <t>inl. Pädagogische Hochschule</t>
  </si>
  <si>
    <t>Akademie</t>
  </si>
  <si>
    <t>Slicer Item</t>
  </si>
  <si>
    <t>&lt;-- default Slicer Member Format</t>
  </si>
  <si>
    <t>Default Row Member Format --&gt;</t>
  </si>
  <si>
    <t>Grid/Table Name</t>
  </si>
  <si>
    <t>[Measures]</t>
  </si>
  <si>
    <t>(ohne Erweiterungsstudien; bei kombinationspflichtigen Studien bis STJ 2015/16 nur Erstfach gezählt)</t>
  </si>
  <si>
    <t>ISCED2013 3.Ebene (Code, Langtext)</t>
  </si>
  <si>
    <t>IB Diploma (Inland)</t>
  </si>
  <si>
    <t>BA f.Kindergartenpädagogik</t>
  </si>
  <si>
    <t>&lt;-- writeable Slicer Member Format</t>
  </si>
  <si>
    <t>Slice Format 1</t>
  </si>
  <si>
    <t>&lt;-- Gesamtzeile</t>
  </si>
  <si>
    <t>3) Formatierung der Gesamtspalte und -zeile (siehe E25:E26)</t>
  </si>
  <si>
    <t>BA-Stud.bes.Stud.erf.and.BE</t>
  </si>
  <si>
    <t>Studienfach (Fachcode)</t>
  </si>
  <si>
    <t>Frauen-/Männeranteil in %</t>
  </si>
  <si>
    <t>Mathematisches Realgymnasium</t>
  </si>
  <si>
    <t>Slicer Button</t>
  </si>
  <si>
    <t>+2009</t>
  </si>
  <si>
    <t>&lt;-- default alternate row cell format</t>
  </si>
  <si>
    <t>&lt;--  written cell format</t>
  </si>
  <si>
    <t>Reifeprüfung nicht relevant</t>
  </si>
  <si>
    <t>Doktoratsstud. eigene Univ.</t>
  </si>
  <si>
    <t>Studienart</t>
  </si>
  <si>
    <t>Schulform-Obergruppe</t>
  </si>
  <si>
    <t>Ordentliche Studien</t>
  </si>
  <si>
    <t>künstler. Zulassungsprüfung</t>
  </si>
  <si>
    <t>inl. postsekund. Bildungseinr.</t>
  </si>
  <si>
    <t>Humanistisches Gymnasium</t>
  </si>
  <si>
    <t>Display Formats For:</t>
  </si>
  <si>
    <t>Enabled?</t>
  </si>
  <si>
    <t>&lt;-- Gesamtspalte</t>
  </si>
  <si>
    <t>Datenprüfung und -aufbereitung: bmfwf, Abt. I/10</t>
  </si>
  <si>
    <t>Schulform</t>
  </si>
  <si>
    <t>Universität-Ausrichtung</t>
  </si>
  <si>
    <t>Neusprachliches Gymnasium</t>
  </si>
  <si>
    <t>Doktoratsstud. and. inl. Univ.</t>
  </si>
  <si>
    <t>Arbeitermittelschule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</si>
  <si>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</si>
  <si>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</si>
  <si>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</si>
  <si>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</si>
  <si>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</si>
  <si>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</si>
  <si>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</si>
  <si>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Gymnasium für Berufstätige</t>
  </si>
  <si>
    <t>Quelle: Datenmeldungen der Universitäten auf Basis UHSBV zum jeweiligen Stichtag</t>
  </si>
  <si>
    <t>Ao. MA gem. § 56 (2) UG 2002</t>
  </si>
  <si>
    <t>Marital Status</t>
  </si>
  <si>
    <t>Default Writeable Member Format --&gt;</t>
  </si>
  <si>
    <t>Slice Format 2</t>
  </si>
  <si>
    <t>Reife/Koop.-Vertrag (Ausland)</t>
  </si>
  <si>
    <t>H.Lehranst. f.wirtsch. Berufe</t>
  </si>
  <si>
    <t>Europäisches Abitur (Inland)</t>
  </si>
  <si>
    <t>ausländische Reifeprüfung</t>
  </si>
  <si>
    <t>Aufbaugymnasium</t>
  </si>
  <si>
    <t>Writeable Member</t>
  </si>
  <si>
    <t>Ordentliche Studien an Universitäten nach Form der allgemeinen Universitätsreife</t>
  </si>
  <si>
    <t>Realschule</t>
  </si>
  <si>
    <t>H.land- u.forstwirt. Lehranst.</t>
  </si>
  <si>
    <t>Fehlerhafte Angabe</t>
  </si>
  <si>
    <t>BA für Sozialpädagogik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</si>
  <si>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</si>
  <si>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</si>
  <si>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</si>
  <si>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</si>
  <si>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</si>
  <si>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inl. FH-Bachelorstudiengang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</si>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</sst>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0"/>
      <name val="Tahoma"/>
      <family val="2"/>
    </font>
    <font>
      <sz val="10"/>
      <color rgb="FF00000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0"/>
      <color rgb="FF262626"/>
      <name val="Tahoma"/>
      <family val="2"/>
    </font>
    <font>
      <b/>
      <sz val="11"/>
      <color rgb="FF000000"/>
      <name val="Tahoma"/>
      <family val="2"/>
    </font>
    <font>
      <sz val="11"/>
      <color rgb="FF000000"/>
      <name val="Tahoma"/>
      <family val="2"/>
    </font>
    <font>
      <sz val="10"/>
      <name val="Tahoma"/>
      <family val="2"/>
    </font>
    <font>
      <sz val="10"/>
      <color theme="1" tint="0.0499893185216834"/>
      <name val="Tahoma"/>
      <family val="2"/>
    </font>
    <font>
      <sz val="10"/>
      <color theme="1" tint="0.34998626667073579"/>
      <name val="Tahoma"/>
      <family val="2"/>
    </font>
    <font>
      <sz val="8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rgb="FF595959"/>
      <name val="Tahoma"/>
      <family val="2"/>
    </font>
    <font>
      <b/>
      <sz val="8"/>
      <color rgb="FFFF0000"/>
      <name val="Tahoma"/>
      <family val="2"/>
    </font>
    <font>
      <sz val="10"/>
      <color rgb="FFFF0000"/>
      <name val="Tahoma"/>
      <family val="2"/>
    </font>
    <font>
      <sz val="10"/>
      <color theme="1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BFBFBF"/>
        <bgColor rgb="FFFFFFFF"/>
      </patternFill>
    </fill>
    <fill>
      <patternFill patternType="solid">
        <fgColor rgb="FFBFBFBF"/>
        <bgColor indexed="64"/>
      </patternFill>
    </fill>
    <fill>
      <patternFill patternType="solid">
        <fgColor rgb="FFC6D9F1"/>
        <bgColor rgb="FFFFFFFF"/>
      </patternFill>
    </fill>
    <fill>
      <patternFill patternType="solid">
        <fgColor rgb="FFD9D9D9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</fills>
  <borders count="8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 style="hair">
        <color rgb="FFC0C0C0"/>
      </right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0" fillId="0" borderId="0" xfId="0" applyFill="1" applyAlignme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5" fillId="2" borderId="0" xfId="1" applyFont="1" applyFill="1" applyBorder="1" applyAlignment="1">
      <alignment horizontal="center"/>
    </xf>
    <xf numFmtId="0" fontId="6" fillId="0" borderId="1" xfId="0" quotePrefix="1" applyFont="1" applyFill="1" applyBorder="1" applyAlignment="1" applyProtection="1">
      <alignment horizontal="center"/>
    </xf>
    <xf numFmtId="0" fontId="7" fillId="0" borderId="0" xfId="0" applyFont="1" applyFill="1" applyAlignment="1">
      <alignment vertical="top"/>
    </xf>
    <xf numFmtId="0" fontId="8" fillId="0" borderId="0" xfId="0" applyFont="1" applyFill="1" applyAlignment="1">
      <alignment vertical="center"/>
    </xf>
    <xf numFmtId="0" fontId="7" fillId="0" borderId="0" xfId="0" applyFont="1" applyFill="1" applyAlignment="1">
      <alignment horizontal="left" vertical="top"/>
    </xf>
    <xf numFmtId="0" fontId="3" fillId="0" borderId="0" xfId="0" applyFont="1" applyFill="1" applyAlignment="1">
      <alignment vertical="top"/>
    </xf>
    <xf numFmtId="0" fontId="6" fillId="0" borderId="1" xfId="0" applyFont="1" applyFill="1" applyBorder="1" applyAlignment="1" applyProtection="1">
      <alignment horizontal="right"/>
    </xf>
    <xf numFmtId="0" fontId="9" fillId="0" borderId="0" xfId="0" applyNumberFormat="1" applyFont="1" applyAlignment="1"/>
    <xf numFmtId="0" fontId="10" fillId="0" borderId="0" xfId="0" applyFont="1"/>
    <xf numFmtId="0" fontId="11" fillId="3" borderId="0" xfId="0" applyFont="1" applyFill="1" applyAlignment="1"/>
    <xf numFmtId="0" fontId="12" fillId="0" borderId="0" xfId="1" applyFont="1"/>
    <xf numFmtId="0" fontId="13" fillId="0" borderId="0" xfId="0" applyFont="1"/>
    <xf numFmtId="0" fontId="9" fillId="0" borderId="0" xfId="0" applyFont="1" applyAlignment="1">
      <alignment horizontal="center"/>
    </xf>
    <xf numFmtId="0" fontId="12" fillId="3" borderId="0" xfId="1" applyFont="1" applyFill="1"/>
    <xf numFmtId="164" fontId="6" fillId="4" borderId="1" xfId="0" quotePrefix="1" applyNumberFormat="1" applyFont="1" applyFill="1" applyBorder="1" applyAlignment="1" applyProtection="1">
      <alignment horizontal="right"/>
    </xf>
    <xf numFmtId="0" fontId="4" fillId="0" borderId="0" xfId="0" applyFont="1" applyAlignment="1">
      <alignment horizontal="right"/>
    </xf>
    <xf numFmtId="0" fontId="6" fillId="0" borderId="2" xfId="0" applyFont="1" applyBorder="1" applyAlignment="1" applyProtection="1">
      <alignment horizontal="right"/>
    </xf>
    <xf numFmtId="0" fontId="9" fillId="0" borderId="0" xfId="0" applyFont="1"/>
    <xf numFmtId="164" fontId="6" fillId="5" borderId="2" xfId="0" applyNumberFormat="1" applyFont="1" applyFill="1" applyBorder="1" applyAlignment="1" applyProtection="1">
      <alignment horizontal="right"/>
    </xf>
    <xf numFmtId="0" fontId="14" fillId="0" borderId="0" xfId="0" applyFont="1" applyFill="1" applyAlignment="1"/>
    <xf numFmtId="0" fontId="15" fillId="6" borderId="3" xfId="0" quotePrefix="1" applyFont="1" applyFill="1" applyBorder="1" applyAlignment="1" applyProtection="1"/>
    <xf numFmtId="164" fontId="6" fillId="4" borderId="1" xfId="0" applyNumberFormat="1" applyFont="1" applyFill="1" applyBorder="1" applyAlignment="1" applyProtection="1">
      <alignment horizontal="right"/>
    </xf>
    <xf numFmtId="3" fontId="6" fillId="0" borderId="1" xfId="0" applyNumberFormat="1" applyFont="1" applyFill="1" applyBorder="1" applyAlignment="1" applyProtection="1">
      <alignment horizontal="right"/>
    </xf>
    <xf numFmtId="0" fontId="6" fillId="7" borderId="4" xfId="0" applyFont="1" applyFill="1" applyBorder="1" applyAlignment="1" applyProtection="1">
      <alignment vertical="center"/>
    </xf>
    <xf numFmtId="0" fontId="16" fillId="0" borderId="0" xfId="0" applyFont="1"/>
    <xf numFmtId="0" fontId="6" fillId="7" borderId="1" xfId="0" applyFont="1" applyFill="1" applyBorder="1" applyAlignment="1" applyProtection="1">
      <alignment vertical="center"/>
    </xf>
    <xf numFmtId="0" fontId="9" fillId="0" borderId="0" xfId="0" applyFont="1" applyFill="1" applyBorder="1" applyAlignment="1">
      <alignment vertical="center"/>
    </xf>
    <xf numFmtId="0" fontId="13" fillId="0" borderId="5" xfId="0" quotePrefix="1" applyFont="1" applyFill="1" applyBorder="1" applyAlignment="1"/>
    <xf numFmtId="0" fontId="6" fillId="8" borderId="6" xfId="0" applyFont="1" applyFill="1" applyBorder="1" applyAlignment="1" applyProtection="1">
      <alignment horizontal="right"/>
    </xf>
    <xf numFmtId="0" fontId="9" fillId="0" borderId="0" xfId="0" quotePrefix="1" applyFont="1" applyFill="1"/>
    <xf numFmtId="3" fontId="13" fillId="0" borderId="5" xfId="0" applyNumberFormat="1" applyFont="1" applyFill="1" applyBorder="1" applyAlignment="1"/>
    <xf numFmtId="0" fontId="6" fillId="0" borderId="1" xfId="0" applyFont="1" applyFill="1" applyBorder="1" applyAlignment="1" applyProtection="1">
      <alignment vertical="center"/>
    </xf>
    <xf numFmtId="0" fontId="17" fillId="0" borderId="0" xfId="0" applyFont="1"/>
    <xf numFmtId="0" fontId="5" fillId="2" borderId="7" xfId="1" applyFont="1" applyFill="1" applyBorder="1" applyAlignment="1">
      <alignment horizontal="center"/>
    </xf>
    <xf numFmtId="0" fontId="9" fillId="0" borderId="0" xfId="0" quotePrefix="1" applyFont="1"/>
    <xf numFmtId="3" fontId="9" fillId="0" borderId="0" xfId="0" applyNumberFormat="1" applyFont="1" applyAlignment="1"/>
    <xf numFmtId="165" fontId="9" fillId="0" borderId="0" xfId="0" applyNumberFormat="1" applyFont="1"/>
    <xf numFmtId="0" fontId="9" fillId="0" borderId="0" xfId="0" applyNumberFormat="1" applyFont="1" applyFill="1" applyBorder="1" applyAlignment="1"/>
    <xf numFmtId="0" fontId="3" fillId="0" borderId="0" xfId="0" quotePrefix="1" applyFont="1" applyFill="1" applyAlignment="1">
      <alignment vertical="top"/>
    </xf>
    <xf numFmtId="0" fontId="13" fillId="0" borderId="5" xfId="0" quotePrefix="1" applyFont="1" applyFill="1" applyBorder="1" applyAlignment="1">
      <alignment horizontal="right"/>
    </xf>
    <xf numFmtId="0" fontId="6" fillId="0" borderId="1" xfId="0" quotePrefix="1" applyFont="1" applyBorder="1" applyAlignment="1" applyProtection="1"/>
    <xf numFmtId="2" fontId="9" fillId="0" borderId="0" xfId="0" applyNumberFormat="1" applyFont="1"/>
    <xf numFmtId="0" fontId="18" fillId="0" borderId="0" xfId="0" quotePrefix="1" applyFont="1" applyAlignment="1">
      <alignment vertical="top"/>
    </xf>
    <xf numFmtId="0" fontId="6" fillId="9" borderId="1" xfId="0" applyFont="1" applyFill="1" applyBorder="1" applyAlignment="1" applyProtection="1">
      <alignment horizontal="right"/>
    </xf>
    <xf numFmtId="0" fontId="0" fillId="0" borderId="0" xfId="0" applyFont="1"/>
    <xf numFmtId="0" fontId="3" fillId="0" borderId="0" xfId="0" quotePrefix="1" applyFont="1" applyFill="1" applyAlignment="1"/>
    <xf numFmtId="3" fontId="9" fillId="10" borderId="0" xfId="0" applyNumberFormat="1" applyFont="1" applyFill="1" applyAlignment="1"/>
    <xf numFmtId="0" fontId="14" fillId="0" borderId="0" xfId="0" applyFont="1"/>
    <xf numFmtId="0" fontId="6" fillId="8" borderId="2" xfId="0" applyFont="1" applyFill="1" applyBorder="1" applyAlignment="1" applyProtection="1">
      <alignment horizontal="right"/>
    </xf>
    <xf numFmtId="0" fontId="9" fillId="0" borderId="0" xfId="0" applyNumberFormat="1" applyFont="1"/>
    <xf numFmtId="3" fontId="2" fillId="0" borderId="0" xfId="0" applyNumberFormat="1" applyFont="1" applyFill="1" applyAlignment="1"/>
    <xf numFmtId="0" fontId="13" fillId="0" borderId="5" xfId="0" applyFont="1" applyFill="1" applyBorder="1" applyAlignment="1">
      <alignment vertical="center"/>
    </xf>
    <xf numFmtId="3" fontId="6" fillId="9" borderId="1" xfId="0" applyNumberFormat="1" applyFont="1" applyFill="1" applyBorder="1" applyAlignment="1" applyProtection="1">
      <alignment horizontal="right"/>
    </xf>
    <xf numFmtId="0" fontId="6" fillId="0" borderId="2" xfId="0" applyFont="1" applyBorder="1" applyAlignment="1" applyProtection="1">
      <alignment horizontal="center"/>
    </xf>
    <xf numFmtId="0" fontId="4" fillId="0" borderId="0" xfId="0" applyFont="1" applyAlignment="1">
      <alignment horizontal="center"/>
    </xf>
    <xf numFmtId="0" fontId="9" fillId="11" borderId="0" xfId="0" applyFont="1" applyFill="1"/>
    <xf numFmtId="3" fontId="9" fillId="11" borderId="0" xfId="0" applyNumberFormat="1" applyFont="1" applyFill="1" applyAlignment="1"/>
    <xf numFmtId="0" fontId="0" fillId="0" borderId="0" xfId="0" applyFont="1" applyFill="1" applyAlignment="1"/>
    <xf numFmtId="0" fontId="9" fillId="11" borderId="0" xfId="0" applyNumberFormat="1" applyFont="1" applyFill="1" applyAlignment="1"/>
    <xf numFmtId="0" fontId="12" fillId="11" borderId="0" xfId="1" applyFont="1" applyFill="1"/>
    <xf numFmtId="3" fontId="9" fillId="12" borderId="0" xfId="0" applyNumberFormat="1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2.png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1</xdr:col>
      <xdr:colOff>0</xdr:colOff>
      <xdr:row>8</xdr:row>
      <xdr:rowOff>0</xdr:rowOff>
    </xdr:from>
    <xdr:to>
      <xdr:col>5</xdr:col>
      <xdr:colOff>239559</xdr:colOff>
      <xdr:row>9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8624" y="1540510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5</xdr:col>
      <xdr:colOff>239559</xdr:colOff>
      <xdr:row>10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30375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189865</xdr:rowOff>
    </xdr:from>
    <xdr:to>
      <xdr:col>5</xdr:col>
      <xdr:colOff>239559</xdr:colOff>
      <xdr:row>10</xdr:row>
      <xdr:rowOff>189865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920240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5</xdr:col>
      <xdr:colOff>239559</xdr:colOff>
      <xdr:row>14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489835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5</xdr:col>
      <xdr:colOff>239559</xdr:colOff>
      <xdr:row>15</xdr:row>
      <xdr:rowOff>0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679700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189865</xdr:rowOff>
    </xdr:from>
    <xdr:to>
      <xdr:col>5</xdr:col>
      <xdr:colOff>239559</xdr:colOff>
      <xdr:row>16</xdr:row>
      <xdr:rowOff>0</xdr:rowOff>
    </xdr:to>
    <xdr:pic>
      <xdr:nvPicPr>
        <xdr:cNvPr id="8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869565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5</xdr:col>
      <xdr:colOff>239559</xdr:colOff>
      <xdr:row>12</xdr:row>
      <xdr:rowOff>0</xdr:rowOff>
    </xdr:to>
    <xdr:pic>
      <xdr:nvPicPr>
        <xdr:cNvPr id="9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110105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5</xdr:col>
      <xdr:colOff>239559</xdr:colOff>
      <xdr:row>12</xdr:row>
      <xdr:rowOff>189865</xdr:rowOff>
    </xdr:to>
    <xdr:pic>
      <xdr:nvPicPr>
        <xdr:cNvPr id="10" name="Picture 9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99970"/>
          <a:ext cx="3697542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731"/>
  <sheetViews>
    <sheetView tabSelected="1" workbookViewId="0"/>
  </sheetViews>
  <sheetFormatPr defaultColWidth="11.28515625" defaultRowHeight="14.95"/>
  <cols>
    <col min="1" max="1" width="40.7109375" style="49" customWidth="1"/>
    <col min="2" max="6" width="11.85546875" customWidth="1"/>
    <col min="7" max="10" width="11.7109375" customWidth="1"/>
    <col min="11" max="11" width="11.28515625" customWidth="1"/>
    <col min="12" max="12" width="9.85546875" customWidth="1"/>
    <col min="13" max="13" width="7.28515625" customWidth="1"/>
    <col min="14" max="14" width="11.28515625" customWidth="1"/>
    <col min="15" max="15" width="9.85546875" customWidth="1"/>
    <col min="16" max="16" width="7.28515625" customWidth="1"/>
    <col min="17" max="17" width="11.28515625" customWidth="1"/>
    <col min="18" max="18" width="7.28515625" customWidth="1"/>
    <col min="19" max="19" width="11.28515625" customWidth="1"/>
    <col min="20" max="20" width="9.85546875" customWidth="1"/>
    <col min="21" max="21" width="7.28515625" customWidth="1"/>
    <col min="22" max="22" width="11.28515625" customWidth="1"/>
    <col min="23" max="23" width="9.85546875" customWidth="1"/>
    <col min="24" max="24" width="7.28515625" customWidth="1"/>
    <col min="25" max="25" width="11.28515625" customWidth="1"/>
    <col min="26" max="26" width="17.140625" customWidth="1"/>
    <col min="27" max="27" width="6.7109375" customWidth="1"/>
    <col min="28" max="28" width="7.140625" customWidth="1"/>
    <col min="29" max="29" width="17.140625" customWidth="1"/>
    <col min="30" max="30" width="6.7109375" customWidth="1"/>
    <col min="31" max="31" width="7.140625" customWidth="1"/>
    <col min="32" max="32" width="17.140625" customWidth="1"/>
    <col min="33" max="33" width="6.7109375" customWidth="1"/>
    <col min="34" max="34" width="7.140625" customWidth="1"/>
  </cols>
  <sheetData>
    <row>
      <c s="8" t="s">
        <v>17</v>
      </c>
      <c s="8"/>
      <c s="8"/>
      <c s="8"/>
      <c s="8"/>
      <c s="1"/>
      <c s="1"/>
    </row>
    <row s="52" customFormat="1">
      <c s="7" t="s">
        <v>130</v>
      </c>
      <c s="7"/>
      <c s="7"/>
      <c s="7"/>
      <c s="7"/>
      <c s="24"/>
      <c s="24"/>
    </row>
    <row ht="15" customHeight="1" s="52" customFormat="1">
      <c s="3" t="s">
        <v>78</v>
      </c>
      <c s="9"/>
      <c s="9"/>
      <c s="9"/>
      <c s="9"/>
      <c s="24"/>
      <c s="24"/>
    </row>
    <row s="52" customFormat="1">
      <c s="47" t="s">
        <v>141</v>
      </c>
      <c s="9"/>
      <c s="9"/>
      <c s="9"/>
      <c s="9"/>
      <c s="24"/>
      <c s="24"/>
    </row>
    <row s="52" customFormat="1">
      <c s="47" t="s">
        <v>41</v>
      </c>
      <c s="9"/>
      <c s="9"/>
      <c s="9"/>
      <c s="9"/>
      <c s="24"/>
      <c s="24"/>
    </row>
    <row ht="15" customHeight="1">
      <c s="50" t="s">
        <v>119</v>
      </c>
      <c s="3"/>
      <c s="3"/>
      <c s="3"/>
      <c s="3"/>
      <c s="3"/>
      <c s="1"/>
    </row>
    <row ht="15" customHeight="1">
      <c s="43" t="s">
        <v>105</v>
      </c>
      <c s="10"/>
      <c s="10"/>
      <c s="10"/>
      <c s="10"/>
      <c s="1"/>
      <c s="1"/>
    </row>
    <row ht="16.5" customHeight="1">
      <c s="62"/>
      <c s="1"/>
      <c s="1"/>
      <c s="1"/>
      <c s="1"/>
      <c s="1"/>
      <c s="1"/>
    </row>
    <row>
      <c s="25" t="s">
        <v>1</v>
      </c>
      <c s="45" t="s">
        <v>16</v>
      </c>
      <c r="F9" t="s">
        <v>31</v>
      </c>
    </row>
    <row>
      <c s="25" t="s">
        <v>0</v>
      </c>
      <c s="45" t="s">
        <v>25</v>
      </c>
      <c r="F10" t="s">
        <v>31</v>
      </c>
    </row>
    <row>
      <c s="25" t="s">
        <v>79</v>
      </c>
      <c s="45" t="s">
        <v>25</v>
      </c>
      <c r="F11" t="s">
        <v>31</v>
      </c>
    </row>
    <row>
      <c s="25" t="s">
        <v>66</v>
      </c>
      <c s="45" t="s">
        <v>25</v>
      </c>
      <c r="F12" t="s">
        <v>31</v>
      </c>
    </row>
    <row>
      <c s="25" t="s">
        <v>97</v>
      </c>
      <c s="45" t="s">
        <v>25</v>
      </c>
      <c r="F13" t="s">
        <v>31</v>
      </c>
    </row>
    <row>
      <c s="25" t="s">
        <v>9</v>
      </c>
      <c s="45" t="s">
        <v>25</v>
      </c>
      <c r="F14" t="s">
        <v>31</v>
      </c>
    </row>
    <row>
      <c s="25" t="s">
        <v>96</v>
      </c>
      <c s="45" t="s">
        <v>25</v>
      </c>
      <c r="F15" t="s">
        <v>31</v>
      </c>
    </row>
    <row>
      <c s="25" t="s">
        <v>65</v>
      </c>
      <c s="45" t="s">
        <v>25</v>
      </c>
      <c r="F16" t="s">
        <v>31</v>
      </c>
    </row>
    <row ht="15" hidden="1">
      <c s="25" t="s">
        <v>107</v>
      </c>
      <c s="45" t="s">
        <v>25</v>
      </c>
      <c r="F17" t="s">
        <v>31</v>
      </c>
    </row>
    <row ht="15" hidden="1">
      <c s="25" t="s">
        <v>87</v>
      </c>
      <c s="45" t="s">
        <v>49</v>
      </c>
    </row>
    <row ht="15" hidden="1">
      <c s="25" t="s">
        <v>64</v>
      </c>
      <c s="45" t="s">
        <v>18</v>
      </c>
    </row>
    <row>
      <c/>
    </row>
    <row ht="15" customHeight="1">
      <c/>
    </row>
    <row ht="15" customHeight="1">
      <c/>
      <c s="6" t="s">
        <v>98</v>
      </c>
      <c s="6"/>
      <c s="6"/>
      <c s="6"/>
      <c s="6"/>
    </row>
    <row>
      <c/>
      <c s="6" t="s">
        <v>10</v>
      </c>
      <c s="6"/>
      <c s="6"/>
      <c s="19" t="s">
        <v>88</v>
      </c>
      <c s="19"/>
    </row>
    <row>
      <c s="25" t="s">
        <v>106</v>
      </c>
      <c s="11" t="s">
        <v>8</v>
      </c>
      <c s="11" t="s">
        <v>47</v>
      </c>
      <c s="48" t="s">
        <v>25</v>
      </c>
      <c s="11" t="s">
        <v>8</v>
      </c>
      <c s="11" t="s">
        <v>47</v>
      </c>
    </row>
    <row>
      <c s="36" t="s">
        <v>54</v>
      </c>
      <c s="27">
        <v>374.39269999999988</v>
      </c>
      <c s="27">
        <v>258.80134999999996</v>
      </c>
      <c s="57">
        <v>633.19405000000017</v>
      </c>
      <c s="26">
        <v>0.59127640254989722</v>
      </c>
      <c s="26">
        <v>0.40872359745010223</v>
      </c>
    </row>
    <row>
      <c s="36" t="s">
        <v>72</v>
      </c>
      <c s="27">
        <v>13.615</v>
      </c>
      <c s="27">
        <v>6.6856</v>
      </c>
      <c s="57">
        <v>20.300600000000003</v>
      </c>
      <c s="26">
        <v>0.67066983241874611</v>
      </c>
      <c s="26">
        <v>0.32933016758125372</v>
      </c>
    </row>
    <row>
      <c s="36" t="s">
        <v>120</v>
      </c>
      <c s="27">
        <v>2</v>
      </c>
      <c s="27">
        <v>1</v>
      </c>
      <c s="57">
        <v>3</v>
      </c>
      <c s="26">
        <v>0.66666666666666663</v>
      </c>
      <c s="26">
        <v>0.33333333333333331</v>
      </c>
    </row>
    <row>
      <c s="36" t="s">
        <v>110</v>
      </c>
      <c s="27">
        <v>3</v>
      </c>
      <c s="27">
        <v>1</v>
      </c>
      <c s="57">
        <v>4</v>
      </c>
      <c s="26">
        <v>0.75</v>
      </c>
      <c s="26">
        <v>0.25</v>
      </c>
    </row>
    <row>
      <c s="36" t="s">
        <v>128</v>
      </c>
      <c s="27">
        <v>70.221999999999994</v>
      </c>
      <c s="27">
        <v>32.661099999999998</v>
      </c>
      <c s="57">
        <v>102.88310000000001</v>
      </c>
      <c s="26">
        <v>0.68254164192175382</v>
      </c>
      <c s="26">
        <v>0.31745835807824602</v>
      </c>
    </row>
    <row>
      <c s="36" t="s">
        <v>53</v>
      </c>
      <c s="27">
        <v>9.8580000000000005</v>
      </c>
      <c s="27">
        <v>3</v>
      </c>
      <c s="57">
        <v>12.858000000000001</v>
      </c>
      <c s="26">
        <v>0.76668222118525431</v>
      </c>
      <c s="26">
        <v>0.23331777881474566</v>
      </c>
    </row>
    <row>
      <c s="36" t="s">
        <v>21</v>
      </c>
      <c s="27">
        <v>168.58409999999998</v>
      </c>
      <c s="27">
        <v>169.62334999999999</v>
      </c>
      <c s="57">
        <v>338.20745000000005</v>
      </c>
      <c s="26">
        <v>0.49846359091143599</v>
      </c>
      <c s="26">
        <v>0.50153640908856367</v>
      </c>
    </row>
    <row>
      <c s="36" t="s">
        <v>52</v>
      </c>
      <c s="27">
        <v>32.434899999999999</v>
      </c>
      <c s="27">
        <v>46.851649999999999</v>
      </c>
      <c s="57">
        <v>79.286549999999991</v>
      </c>
      <c s="26">
        <v>0.4090845168568944</v>
      </c>
      <c s="26">
        <v>0.59091548314310571</v>
      </c>
    </row>
    <row>
      <c s="36" t="s">
        <v>28</v>
      </c>
      <c s="27">
        <v>14136.420649999998</v>
      </c>
      <c s="27">
        <v>13804.41195</v>
      </c>
      <c s="57">
        <v>27940.832600000005</v>
      </c>
      <c s="26">
        <v>0.50594128143482719</v>
      </c>
      <c s="26">
        <v>0.49405871856517253</v>
      </c>
    </row>
    <row>
      <c s="36" t="s">
        <v>127</v>
      </c>
      <c s="27">
        <v>20769.878550000009</v>
      </c>
      <c s="27">
        <v>17158.7883</v>
      </c>
      <c s="57">
        <v>37928.666850000016</v>
      </c>
      <c s="26">
        <v>0.54760370650886714</v>
      </c>
      <c s="26">
        <v>0.45239629349113264</v>
      </c>
    </row>
    <row>
      <c s="36" t="s">
        <v>81</v>
      </c>
      <c s="27">
        <v>1370.5042000000005</v>
      </c>
      <c s="27">
        <v>140.44839999999996</v>
      </c>
      <c s="57">
        <v>1510.9525999999998</v>
      </c>
      <c s="26">
        <v>0.90704645532891015</v>
      </c>
      <c s="26">
        <v>0.092953544671090266</v>
      </c>
    </row>
    <row>
      <c s="36" t="s">
        <v>134</v>
      </c>
      <c s="27">
        <v>84.004449999999991</v>
      </c>
      <c s="27">
        <v>8.8550000000000004</v>
      </c>
      <c s="57">
        <v>92.85945000000001</v>
      </c>
      <c s="26">
        <v>0.90464083084704872</v>
      </c>
      <c s="26">
        <v>0.095359169152951034</v>
      </c>
    </row>
    <row>
      <c s="36" t="s">
        <v>51</v>
      </c>
      <c s="27">
        <v>3119.1106500000001</v>
      </c>
      <c s="27">
        <v>2407.872800000001</v>
      </c>
      <c s="57">
        <v>5526.9834500000006</v>
      </c>
      <c s="26">
        <v>0.56434231768868415</v>
      </c>
      <c s="26">
        <v>0.43565768231131591</v>
      </c>
    </row>
    <row>
      <c s="36" t="s">
        <v>59</v>
      </c>
      <c s="27">
        <v>26738.318249999997</v>
      </c>
      <c s="27">
        <v>21962.950399999987</v>
      </c>
      <c s="57">
        <v>48701.268649999984</v>
      </c>
      <c s="26">
        <v>0.5490271401790271</v>
      </c>
      <c s="26">
        <v>0.45097285982097296</v>
      </c>
    </row>
    <row>
      <c s="36" t="s">
        <v>86</v>
      </c>
      <c s="27"/>
      <c s="27">
        <v>1</v>
      </c>
      <c s="57">
        <v>1</v>
      </c>
      <c s="26"/>
      <c s="26">
        <v>1</v>
      </c>
    </row>
    <row>
      <c s="36" t="s">
        <v>33</v>
      </c>
      <c s="27">
        <v>1</v>
      </c>
      <c s="27"/>
      <c s="57">
        <v>1</v>
      </c>
      <c s="26">
        <v>1</v>
      </c>
      <c s="26"/>
    </row>
    <row>
      <c s="36" t="s">
        <v>46</v>
      </c>
      <c s="27">
        <v>2261.1815499999993</v>
      </c>
      <c s="27">
        <v>2878.2475999999997</v>
      </c>
      <c s="57">
        <v>5139.4291500000008</v>
      </c>
      <c s="26">
        <v>0.43996745241638341</v>
      </c>
      <c s="26">
        <v>0.5600325475836162</v>
      </c>
    </row>
    <row>
      <c s="36" t="s">
        <v>109</v>
      </c>
      <c s="27">
        <v>1</v>
      </c>
      <c s="27">
        <v>2</v>
      </c>
      <c s="57">
        <v>3</v>
      </c>
      <c s="26">
        <v>0.33333333333333331</v>
      </c>
      <c s="26">
        <v>0.66666666666666663</v>
      </c>
    </row>
    <row>
      <c s="36" t="s">
        <v>95</v>
      </c>
      <c s="27">
        <v>1</v>
      </c>
      <c s="27">
        <v>2</v>
      </c>
      <c s="57">
        <v>3</v>
      </c>
      <c s="26">
        <v>0.33333333333333331</v>
      </c>
      <c s="26">
        <v>0.66666666666666663</v>
      </c>
    </row>
    <row>
      <c s="36" t="s">
        <v>58</v>
      </c>
      <c s="27">
        <v>108.2966</v>
      </c>
      <c s="27">
        <v>123.74400000000001</v>
      </c>
      <c s="57">
        <v>232.04059999999998</v>
      </c>
      <c s="26">
        <v>0.46671401470259949</v>
      </c>
      <c s="26">
        <v>0.53328598529740068</v>
      </c>
    </row>
    <row>
      <c s="36" t="s">
        <v>126</v>
      </c>
      <c s="27">
        <v>6</v>
      </c>
      <c s="27">
        <v>4</v>
      </c>
      <c s="57">
        <v>10</v>
      </c>
      <c s="26">
        <v>0.59999999999999998</v>
      </c>
      <c s="26">
        <v>0.40000000000000002</v>
      </c>
    </row>
    <row>
      <c s="36" t="s">
        <v>45</v>
      </c>
      <c s="27">
        <v>427.12200000000001</v>
      </c>
      <c s="27">
        <v>498.34370000000007</v>
      </c>
      <c s="57">
        <v>925.46569999999986</v>
      </c>
      <c s="26">
        <v>0.46152115632162283</v>
      </c>
      <c s="26">
        <v>0.53847884367837739</v>
      </c>
    </row>
    <row>
      <c s="36" t="s">
        <v>133</v>
      </c>
      <c s="27">
        <v>366</v>
      </c>
      <c s="27">
        <v>516</v>
      </c>
      <c s="57">
        <v>882</v>
      </c>
      <c s="26">
        <v>0.41496598639455784</v>
      </c>
      <c s="26">
        <v>0.58503401360544216</v>
      </c>
    </row>
    <row>
      <c s="36" t="s">
        <v>20</v>
      </c>
      <c s="27">
        <v>1</v>
      </c>
      <c s="27"/>
      <c s="57">
        <v>1</v>
      </c>
      <c s="26">
        <v>1</v>
      </c>
      <c s="26"/>
    </row>
    <row>
      <c s="36" t="s">
        <v>57</v>
      </c>
      <c s="27">
        <v>1594.5398499999999</v>
      </c>
      <c s="27">
        <v>1289.3139500000002</v>
      </c>
      <c s="57">
        <v>2883.8537999999994</v>
      </c>
      <c s="26">
        <v>0.552919794339089</v>
      </c>
      <c s="26">
        <v>0.44708020566091128</v>
      </c>
    </row>
    <row>
      <c s="36" t="s">
        <v>44</v>
      </c>
      <c s="27">
        <v>20969.247299999995</v>
      </c>
      <c s="27">
        <v>12409.713499999996</v>
      </c>
      <c s="57">
        <v>33378.960799999993</v>
      </c>
      <c s="26">
        <v>0.6282174998090414</v>
      </c>
      <c s="26">
        <v>0.37178250019095854</v>
      </c>
    </row>
    <row>
      <c s="36" t="s">
        <v>118</v>
      </c>
      <c s="27">
        <v>623.41724999999997</v>
      </c>
      <c s="27">
        <v>496.7560499999999</v>
      </c>
      <c s="57">
        <v>1120.1733000000002</v>
      </c>
      <c s="26">
        <v>0.55653643056837709</v>
      </c>
      <c s="26">
        <v>0.44346356943162263</v>
      </c>
    </row>
    <row>
      <c s="36" t="s">
        <v>132</v>
      </c>
      <c s="27">
        <v>524.25435000000004</v>
      </c>
      <c s="27">
        <v>512.2560000000002</v>
      </c>
      <c s="57">
        <v>1036.5103499999998</v>
      </c>
      <c s="26">
        <v>0.50578785826885386</v>
      </c>
      <c s="26">
        <v>0.49421214173114653</v>
      </c>
    </row>
    <row>
      <c s="36" t="s">
        <v>125</v>
      </c>
      <c s="27">
        <v>8309.5325499999981</v>
      </c>
      <c s="27">
        <v>1708.2384000000002</v>
      </c>
      <c s="57">
        <v>10017.77095</v>
      </c>
      <c s="26">
        <v>0.82947919167586859</v>
      </c>
      <c s="26">
        <v>0.17052080832413125</v>
      </c>
    </row>
    <row>
      <c s="36" t="s">
        <v>56</v>
      </c>
      <c s="27">
        <v>4032.5416999999984</v>
      </c>
      <c s="27">
        <v>13278.389299999999</v>
      </c>
      <c s="57">
        <v>17310.931</v>
      </c>
      <c s="26">
        <v>0.23294770801177581</v>
      </c>
      <c s="26">
        <v>0.767052291988224</v>
      </c>
    </row>
    <row>
      <c s="36" t="s">
        <v>32</v>
      </c>
      <c s="27">
        <v>7697.6904000000004</v>
      </c>
      <c s="27">
        <v>5179.1070499999996</v>
      </c>
      <c s="57">
        <v>12876.797449999998</v>
      </c>
      <c s="26">
        <v>0.59779540913723095</v>
      </c>
      <c s="26">
        <v>0.40220459086276927</v>
      </c>
    </row>
    <row>
      <c s="36" t="s">
        <v>101</v>
      </c>
      <c s="27">
        <v>557.63070000000005</v>
      </c>
      <c s="27">
        <v>561.54110000000014</v>
      </c>
      <c s="57">
        <v>1119.1718000000003</v>
      </c>
      <c s="26">
        <v>0.49825299386564231</v>
      </c>
      <c s="26">
        <v>0.50174700613435752</v>
      </c>
    </row>
    <row>
      <c s="36" t="s">
        <v>12</v>
      </c>
      <c s="27">
        <v>423.88244999999995</v>
      </c>
      <c s="27">
        <v>327.786</v>
      </c>
      <c s="57">
        <v>751.66845000000001</v>
      </c>
      <c s="26">
        <v>0.56392209889878964</v>
      </c>
      <c s="26">
        <v>0.43607790110121025</v>
      </c>
    </row>
    <row>
      <c s="36" t="s">
        <v>80</v>
      </c>
      <c s="27">
        <v>211.51740000000004</v>
      </c>
      <c s="27">
        <v>159.21084999999999</v>
      </c>
      <c s="57">
        <v>370.72825</v>
      </c>
      <c s="26">
        <v>0.5705456759769455</v>
      </c>
      <c s="26">
        <v>0.42945432402305461</v>
      </c>
    </row>
    <row>
      <c s="36" t="s">
        <v>11</v>
      </c>
      <c s="27">
        <v>97</v>
      </c>
      <c s="27">
        <v>50</v>
      </c>
      <c s="57">
        <v>147</v>
      </c>
      <c s="26">
        <v>0.65986394557823125</v>
      </c>
      <c s="26">
        <v>0.3401360544217687</v>
      </c>
    </row>
    <row>
      <c s="36" t="s">
        <v>140</v>
      </c>
      <c s="27">
        <v>1512.4211500000001</v>
      </c>
      <c s="27">
        <v>1192.2313999999999</v>
      </c>
      <c s="57">
        <v>2704.6525499999993</v>
      </c>
      <c s="26">
        <v>0.559192399777931</v>
      </c>
      <c s="26">
        <v>0.44080760022206927</v>
      </c>
    </row>
    <row>
      <c s="36" t="s">
        <v>43</v>
      </c>
      <c s="27">
        <v>318.0976</v>
      </c>
      <c s="27">
        <v>517</v>
      </c>
      <c s="57">
        <v>835.09759999999983</v>
      </c>
      <c s="26">
        <v>0.38091068636767733</v>
      </c>
      <c s="26">
        <v>0.61908931363232289</v>
      </c>
    </row>
    <row>
      <c s="36" t="s">
        <v>71</v>
      </c>
      <c s="27">
        <v>378.78314999999992</v>
      </c>
      <c s="27">
        <v>113.23419999999999</v>
      </c>
      <c s="57">
        <v>492.01734999999985</v>
      </c>
      <c s="26">
        <v>0.76985730279633435</v>
      </c>
      <c s="26">
        <v>0.23014269720366573</v>
      </c>
    </row>
    <row>
      <c s="36" t="s">
        <v>100</v>
      </c>
      <c s="27">
        <v>377.36335000000003</v>
      </c>
      <c s="27">
        <v>353.91034999999994</v>
      </c>
      <c s="57">
        <v>731.27369999999996</v>
      </c>
      <c s="26">
        <v>0.5160357195944556</v>
      </c>
      <c s="26">
        <v>0.4839642804055444</v>
      </c>
    </row>
    <row>
      <c s="36" t="s">
        <v>27</v>
      </c>
      <c s="27">
        <v>4</v>
      </c>
      <c s="27">
        <v>5</v>
      </c>
      <c s="57">
        <v>9</v>
      </c>
      <c s="26">
        <v>0.44444444444444442</v>
      </c>
      <c s="26">
        <v>0.55555555555555558</v>
      </c>
    </row>
    <row>
      <c s="36" t="s">
        <v>99</v>
      </c>
      <c s="27">
        <v>2594</v>
      </c>
      <c s="27">
        <v>2113.9999999999995</v>
      </c>
      <c s="57">
        <v>4708</v>
      </c>
      <c s="26">
        <v>0.55097706032285476</v>
      </c>
      <c s="26">
        <v>0.44902293967714518</v>
      </c>
    </row>
    <row>
      <c s="36" t="s">
        <v>70</v>
      </c>
      <c s="27">
        <v>12.088700000000001</v>
      </c>
      <c s="27">
        <v>4.6527500000000011</v>
      </c>
      <c s="57">
        <v>16.74145</v>
      </c>
      <c s="26">
        <v>0.72208201798530003</v>
      </c>
      <c s="26">
        <v>0.27791798201470008</v>
      </c>
    </row>
    <row>
      <c s="36" t="s">
        <v>50</v>
      </c>
      <c s="27">
        <v>1868.2418</v>
      </c>
      <c s="27">
        <v>1878.8534</v>
      </c>
      <c s="57">
        <v>3747.0951999999997</v>
      </c>
      <c s="26">
        <v>0.4985840231654643</v>
      </c>
      <c s="26">
        <v>0.50141597683453576</v>
      </c>
    </row>
    <row>
      <c s="36" t="s">
        <v>69</v>
      </c>
      <c s="27">
        <v>5605.3802500000002</v>
      </c>
      <c s="27">
        <v>6453.7972500000014</v>
      </c>
      <c s="57">
        <v>12059.177499999998</v>
      </c>
      <c s="26">
        <v>0.46482276672683531</v>
      </c>
      <c s="26">
        <v>0.53517723327316502</v>
      </c>
    </row>
    <row>
      <c s="36" t="s">
        <v>89</v>
      </c>
      <c s="27">
        <v>67.539850000000001</v>
      </c>
      <c s="27">
        <v>109.1735</v>
      </c>
      <c s="57">
        <v>176.71334999999999</v>
      </c>
      <c s="26">
        <v>0.38220004317726985</v>
      </c>
      <c s="26">
        <v>0.61779995682273015</v>
      </c>
    </row>
    <row>
      <c s="36" t="s">
        <v>42</v>
      </c>
      <c s="27">
        <v>1713.5431000000001</v>
      </c>
      <c s="27">
        <v>2196.45145</v>
      </c>
      <c s="57">
        <v>3909.9945499999999</v>
      </c>
      <c s="26">
        <v>0.43824692799124237</v>
      </c>
      <c s="26">
        <v>0.56175307200875768</v>
      </c>
    </row>
    <row>
      <c s="36" t="s">
        <v>108</v>
      </c>
      <c s="27">
        <v>1006.27675</v>
      </c>
      <c s="27">
        <v>621.46844999999996</v>
      </c>
      <c s="57">
        <v>1627.7452000000001</v>
      </c>
      <c s="26">
        <v>0.61820286737752317</v>
      </c>
      <c s="26">
        <v>0.38179713262247672</v>
      </c>
    </row>
    <row>
      <c s="36" t="s">
        <v>26</v>
      </c>
      <c s="27">
        <v>10427.371899999996</v>
      </c>
      <c s="27">
        <v>6709.2067499999994</v>
      </c>
      <c s="57">
        <v>17136.578649999996</v>
      </c>
      <c s="26">
        <v>0.60848621612109244</v>
      </c>
      <c s="26">
        <v>0.39151378387890751</v>
      </c>
    </row>
    <row>
      <c s="36" t="s">
        <v>68</v>
      </c>
      <c s="27">
        <v>10686.904850000001</v>
      </c>
      <c s="27">
        <v>12837.171049999999</v>
      </c>
      <c s="57">
        <v>23524.075899999989</v>
      </c>
      <c s="26">
        <v>0.45429647886827323</v>
      </c>
      <c s="26">
        <v>0.54570352113172726</v>
      </c>
    </row>
    <row>
      <c s="36" t="s">
        <v>67</v>
      </c>
      <c s="27">
        <v>71.048150000000007</v>
      </c>
      <c s="27">
        <v>213.74544999999998</v>
      </c>
      <c s="57">
        <v>284.79360000000003</v>
      </c>
      <c s="26">
        <v>0.24947242494213354</v>
      </c>
      <c s="26">
        <v>0.75052757505786627</v>
      </c>
    </row>
    <row>
      <c s="36" t="s">
        <v>131</v>
      </c>
      <c s="27">
        <v>8.7949999999999999</v>
      </c>
      <c s="27">
        <v>11.192749999999998</v>
      </c>
      <c s="57">
        <v>19.987749999999998</v>
      </c>
      <c s="26">
        <v>0.44001951195107009</v>
      </c>
      <c s="26">
        <v>0.55998048804892997</v>
      </c>
    </row>
    <row>
      <c s="36" t="s">
        <v>124</v>
      </c>
      <c s="27">
        <v>2848.6511500000001</v>
      </c>
      <c s="27">
        <v>1606.8647500000002</v>
      </c>
      <c s="57">
        <v>4455.5158999999985</v>
      </c>
      <c s="26">
        <v>0.63935382881250657</v>
      </c>
      <c s="26">
        <v>0.36064617118749387</v>
      </c>
    </row>
    <row>
      <c s="36" t="s">
        <v>2</v>
      </c>
      <c s="27">
        <v>11</v>
      </c>
      <c s="27">
        <v>4</v>
      </c>
      <c s="57">
        <v>15</v>
      </c>
      <c s="26">
        <v>0.73333333333333328</v>
      </c>
      <c s="26">
        <v>0.26666666666666666</v>
      </c>
    </row>
    <row>
      <c s="36" t="s">
        <v>94</v>
      </c>
      <c s="27">
        <v>1</v>
      </c>
      <c s="27">
        <v>3</v>
      </c>
      <c s="57">
        <v>4</v>
      </c>
      <c s="26">
        <v>0.25</v>
      </c>
      <c s="26">
        <v>0.75</v>
      </c>
    </row>
    <row>
      <c s="36" t="s">
        <v>19</v>
      </c>
      <c s="27">
        <v>9.386750000000001</v>
      </c>
      <c s="27">
        <v>5.8628499999999999</v>
      </c>
      <c s="57">
        <v>15.249599999999999</v>
      </c>
      <c s="26">
        <v>0.61554073549470156</v>
      </c>
      <c s="26">
        <v>0.38445926450529849</v>
      </c>
    </row>
    <row>
      <c s="36" t="s">
        <v>55</v>
      </c>
      <c s="27">
        <v>713.60389999999995</v>
      </c>
      <c s="27">
        <v>943.70625000000018</v>
      </c>
      <c s="57">
        <v>1657.3101500000002</v>
      </c>
      <c s="26">
        <v>0.4305795749817859</v>
      </c>
      <c s="26">
        <v>0.56942042501821399</v>
      </c>
    </row>
    <row>
      <c s="36" t="s">
        <v>40</v>
      </c>
      <c s="27">
        <v>2238.1667000000007</v>
      </c>
      <c s="27">
        <v>1380.5794500000002</v>
      </c>
      <c s="57">
        <v>3618.7461500000013</v>
      </c>
      <c s="26">
        <v>0.61849231950132777</v>
      </c>
      <c s="26">
        <v>0.38150768049867206</v>
      </c>
    </row>
    <row>
      <c s="36" t="s">
        <v>25</v>
      </c>
      <c s="27">
        <v>157579.86165000009</v>
      </c>
      <c s="27">
        <v>135275.6994500001</v>
      </c>
      <c s="57">
        <v>292855.56110000005</v>
      </c>
      <c s="26">
        <v>0.53808048260415997</v>
      </c>
      <c s="26">
        <v>0.46191951739584047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">
    <mergeCell ref="B22:F22"/>
    <mergeCell ref="B23:D23"/>
    <mergeCell ref="E23:F23"/>
  </mergeCells>
  <pageMargins left="0.70866141732283472" right="0.70866141732283472" top="0.78740157480314965" bottom="0.78740157480314965" header="0.31496062992125984" footer="0.31496062992125984"/>
  <pageSetup paperSize="9" scale="89" fitToHeight="20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612" max="16383" man="1"/>
  </row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3"/>
  <sheetViews>
    <sheetView workbookViewId="0">
      <selection activeCell="E27" sqref="E27:E30"/>
    </sheetView>
  </sheetViews>
  <sheetFormatPr defaultColWidth="9.140625" defaultRowHeight="13.6"/>
  <cols>
    <col min="1" max="1" width="13.7109375" style="22" customWidth="1"/>
    <col min="2" max="2" width="40.85546875" style="22" customWidth="1"/>
    <col min="3" max="3" width="28.140625" style="22" customWidth="1"/>
    <col min="4" max="4" width="16.28515625" style="22" customWidth="1"/>
    <col min="5" max="5" width="19.28515625" style="22" customWidth="1"/>
    <col min="6" max="6" width="11.140625" style="22" customWidth="1"/>
    <col min="7" max="7" width="9.140625" style="22" customWidth="1"/>
    <col min="8" max="8" width="17.28515625" style="22" customWidth="1"/>
    <col min="9" max="9" width="19.7109375" style="22" customWidth="1"/>
    <col min="10" max="12" width="12.28515625" style="22" customWidth="1"/>
    <col min="13" max="13" width="16" style="22" customWidth="1"/>
    <col min="14" max="14" width="14.28515625" style="22" customWidth="1"/>
    <col min="15" max="15" width="18.28515625" style="22" customWidth="1"/>
    <col min="16" max="25" width="9.140625" style="22" customWidth="1"/>
    <col min="26" max="26" width="9.140625" style="22" hidden="1" customWidth="1"/>
    <col min="27" max="27" width="9.140625" style="22" customWidth="1"/>
    <col min="28" max="16384" width="9.140625" style="22"/>
  </cols>
  <sheetData>
    <row>
      <c s="54"/>
      <c r="H1" s="41">
        <v>129806172700000000</v>
      </c>
      <c r="Z1" s="46" t="b">
        <f>0=1</f>
        <v>0</v>
      </c>
    </row>
    <row>
      <c r="Z2" s="46" t="b">
        <f>1=1</f>
        <v>1</v>
      </c>
    </row>
    <row>
      <c r="Z3" s="46"/>
    </row>
    <row>
      <c r="I4" s="22" t="s">
        <v>48</v>
      </c>
      <c s="38" t="s">
        <v>102</v>
      </c>
      <c s="5"/>
      <c s="5"/>
      <c s="5"/>
      <c s="5"/>
      <c s="5"/>
    </row>
    <row>
      <c r="J5" s="18" t="s">
        <v>34</v>
      </c>
      <c s="15" t="s">
        <v>73</v>
      </c>
      <c s="15" t="s">
        <v>90</v>
      </c>
      <c s="18" t="s">
        <v>135</v>
      </c>
      <c s="64" t="s">
        <v>111</v>
      </c>
      <c s="15" t="s">
        <v>3</v>
      </c>
    </row>
    <row>
      <c r="B6" s="20" t="s">
        <v>112</v>
      </c>
      <c s="14" t="s">
        <v>121</v>
      </c>
      <c s="32" t="s">
        <v>13</v>
      </c>
      <c s="4" t="s">
        <v>74</v>
      </c>
    </row>
    <row>
      <c r="C7" s="13"/>
      <c s="16" t="s">
        <v>14</v>
      </c>
      <c s="4" t="s">
        <v>82</v>
      </c>
    </row>
    <row>
      <c r="C8" s="16" t="s">
        <v>4</v>
      </c>
      <c s="13"/>
    </row>
    <row>
      <c r="C9" s="13"/>
      <c s="14" t="s">
        <v>35</v>
      </c>
      <c s="29"/>
    </row>
    <row>
      <c r="C10" s="14" t="s">
        <v>60</v>
      </c>
      <c s="44" t="s">
        <v>91</v>
      </c>
      <c s="4" t="s">
        <v>22</v>
      </c>
    </row>
    <row>
      <c r="B11" s="20" t="s">
        <v>75</v>
      </c>
      <c s="56" t="s">
        <v>61</v>
      </c>
      <c s="35">
        <v>60398</v>
      </c>
      <c s="4" t="s">
        <v>36</v>
      </c>
    </row>
    <row>
      <c r="B12" s="20"/>
      <c s="31"/>
      <c s="42"/>
      <c s="59" t="s">
        <v>103</v>
      </c>
    </row>
    <row>
      <c r="B13" s="20" t="s">
        <v>62</v>
      </c>
      <c s="60" t="s">
        <v>29</v>
      </c>
      <c s="61">
        <v>1212</v>
      </c>
      <c s="22" t="b">
        <v>0</v>
      </c>
      <c s="4" t="s">
        <v>92</v>
      </c>
    </row>
    <row ht="12.75" hidden="1">
      <c r="B14" s="20"/>
      <c s="60"/>
      <c s="63"/>
      <c s="22" t="b">
        <v>0</v>
      </c>
    </row>
    <row>
      <c r="B15" s="20" t="s">
        <v>122</v>
      </c>
      <c s="22" t="s">
        <v>129</v>
      </c>
      <c s="40">
        <v>1212</v>
      </c>
      <c s="22" t="b">
        <v>0</v>
      </c>
      <c s="4" t="s">
        <v>30</v>
      </c>
    </row>
    <row ht="12.75" hidden="1">
      <c r="B16" s="20"/>
      <c r="D16" s="12"/>
      <c s="22" t="b">
        <v>0</v>
      </c>
      <c s="4"/>
    </row>
    <row>
      <c r="B17" s="20"/>
      <c s="22" t="s">
        <v>37</v>
      </c>
      <c s="51">
        <v>3434</v>
      </c>
      <c s="22" t="b">
        <v>0</v>
      </c>
      <c s="4" t="s">
        <v>93</v>
      </c>
    </row>
    <row>
      <c r="B18" s="20"/>
      <c r="D18" s="12"/>
      <c s="22" t="b">
        <v>0</v>
      </c>
      <c s="4"/>
    </row>
    <row>
      <c r="B19" s="20"/>
      <c s="22" t="s">
        <v>5</v>
      </c>
      <c s="65">
        <v>3434</v>
      </c>
      <c s="22" t="b">
        <v>0</v>
      </c>
      <c s="4" t="s">
        <v>113</v>
      </c>
    </row>
    <row>
      <c r="B20" s="20"/>
      <c r="D20" s="12"/>
      <c s="22" t="b">
        <v>0</v>
      </c>
      <c s="4"/>
    </row>
    <row>
      <c r="B21" s="20"/>
      <c s="22" t="s">
        <v>114</v>
      </c>
      <c s="55">
        <v>5656</v>
      </c>
      <c s="22" t="b">
        <v>0</v>
      </c>
      <c s="4" t="s">
        <v>136</v>
      </c>
    </row>
    <row>
      <c r="B22" s="20"/>
      <c r="E22" s="4"/>
      <c r="I22" s="37"/>
    </row>
    <row>
      <c r="B23" s="17" t="s">
        <v>6</v>
      </c>
      <c s="17"/>
    </row>
    <row>
      <c r="B24" s="2" t="s">
        <v>76</v>
      </c>
      <c s="2" t="s">
        <v>38</v>
      </c>
      <c s="2" t="s">
        <v>15</v>
      </c>
      <c s="2" t="s">
        <v>115</v>
      </c>
      <c s="2"/>
      <c s="2"/>
      <c s="2" t="s">
        <v>137</v>
      </c>
    </row>
    <row>
      <c s="22" t="s">
        <v>83</v>
      </c>
      <c r="C25" s="34" t="s">
        <v>77</v>
      </c>
      <c s="21" t="s">
        <v>98</v>
      </c>
      <c s="21">
        <v>1234.5599999999999</v>
      </c>
      <c s="4" t="s">
        <v>104</v>
      </c>
      <c r="H25" s="22" t="s">
        <v>116</v>
      </c>
    </row>
    <row>
      <c s="22" t="s">
        <v>123</v>
      </c>
      <c r="C26" s="34" t="s">
        <v>77</v>
      </c>
      <c s="21" t="s">
        <v>98</v>
      </c>
      <c s="21">
        <v>1234.5599999999999</v>
      </c>
      <c s="4" t="s">
        <v>84</v>
      </c>
      <c r="H26" s="22" t="s">
        <v>138</v>
      </c>
    </row>
    <row>
      <c r="C27" s="34" t="s">
        <v>77</v>
      </c>
      <c s="58" t="s">
        <v>98</v>
      </c>
      <c s="21">
        <v>1234.5599999999999</v>
      </c>
      <c r="H27" s="22" t="s">
        <v>85</v>
      </c>
    </row>
    <row>
      <c r="C28" s="39" t="s">
        <v>77</v>
      </c>
      <c s="58" t="s">
        <v>63</v>
      </c>
      <c s="21">
        <v>1234.5599999999999</v>
      </c>
      <c r="H28" s="22" t="s">
        <v>39</v>
      </c>
    </row>
    <row>
      <c r="C29" s="39" t="s">
        <v>77</v>
      </c>
      <c s="58" t="s">
        <v>23</v>
      </c>
      <c s="21">
        <v>1234.5599999999999</v>
      </c>
      <c r="H29" s="22" t="s">
        <v>139</v>
      </c>
    </row>
    <row>
      <c r="C30" s="39" t="s">
        <v>7</v>
      </c>
      <c s="58" t="s">
        <v>10</v>
      </c>
      <c s="21">
        <v>1234.5599999999999</v>
      </c>
    </row>
    <row>
      <c r="C31" s="39" t="s">
        <v>117</v>
      </c>
      <c s="53" t="s">
        <v>25</v>
      </c>
      <c s="33">
        <v>1234.5599999999999</v>
      </c>
    </row>
    <row>
      <c r="C32" s="39" t="s">
        <v>7</v>
      </c>
      <c s="23" t="s">
        <v>88</v>
      </c>
      <c s="23">
        <v>1234.5599999999999</v>
      </c>
    </row>
    <row>
      <c r="C33" s="39" t="s">
        <v>24</v>
      </c>
      <c s="28" t="s">
        <v>25</v>
      </c>
      <c s="30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
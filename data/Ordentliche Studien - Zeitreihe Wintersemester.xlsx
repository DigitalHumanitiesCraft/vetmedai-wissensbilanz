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Tabelle1" sheetId="2" state="hidden" r:id="rId2"/>
    <sheet name="XLCubedFormats" sheetId="3" state="hidden" r:id="rId3"/>
  </sheets>
  <definedNames>
    <definedName name="XL3DisableCameraObjects" hidden="1">XLCubedFormats!A1</definedName>
    <definedName name="XL3ObjLocation83659f47_d897_4b71_8fad_d4866abf20c0">Tab!$A$9</definedName>
  </definedNames>
  <calcPr calcId="40001"/>
</workbook>
</file>

<file path=xl/sharedStrings.xml><?xml version="1.0" encoding="utf-8"?>
<sst xmlns="http://schemas.openxmlformats.org/spreadsheetml/2006/main" uniqueCount="108">
  <si>
    <t>Universität</t>
  </si>
  <si>
    <t xml:space="preserve">Ordentliche Studien </t>
  </si>
  <si>
    <t>Semester und Datenstichtag</t>
  </si>
  <si>
    <t>Frauen</t>
  </si>
  <si>
    <t>Wintersemester 2001 (Stichtag: 28.02.2002)</t>
  </si>
  <si>
    <t>Wintersemester 2016 (Stichtag: 28.02.2017)</t>
  </si>
  <si>
    <t>Slicer Button Background</t>
  </si>
  <si>
    <t>Grid Title</t>
  </si>
  <si>
    <t>Oth Written Member</t>
  </si>
  <si>
    <t>Fill in Grid Name, Dimension or Both</t>
  </si>
  <si>
    <t>[ALLG Wertart].[Wertart]</t>
  </si>
  <si>
    <t>(Members of Studienfach (Fachcode)) - (Erweiterungsstudium, Zweitfach)</t>
  </si>
  <si>
    <t>Staatengruppe (Ö, EU, andere)</t>
  </si>
  <si>
    <t>Absolutwert</t>
  </si>
  <si>
    <t>All Marital Status</t>
  </si>
  <si>
    <t>Male</t>
  </si>
  <si>
    <t>Member1 Name</t>
  </si>
  <si>
    <t>Wintersemester 2024 (Stichtag: 28.02.2025)</t>
  </si>
  <si>
    <t>Studien Universitäten</t>
  </si>
  <si>
    <t>ord. Studium</t>
  </si>
  <si>
    <t>Wintersemester 2003 (Stichtag: 28.02.2004)</t>
  </si>
  <si>
    <t>Wintersemester 2018 (Stichtag: 28.02.2019)</t>
  </si>
  <si>
    <t>&lt;-- default Column Member Format</t>
  </si>
  <si>
    <t>Begonnene Studien</t>
  </si>
  <si>
    <t>Gesamt</t>
  </si>
  <si>
    <t>Wintersemester 2011 (Stichtag: 28.02.2012)</t>
  </si>
  <si>
    <t>Alternate Rows</t>
  </si>
  <si>
    <t>&lt;--  writeable cell format</t>
  </si>
  <si>
    <t xml:space="preserve"> 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</si>
  <si>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</si>
  <si>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</si>
  <si>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</si>
  <si>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</si>
  <si>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</si>
  <si>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</si>
  <si>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</si>
  <si>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</si>
  <si>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Männer</t>
  </si>
  <si>
    <t>Wintersemester 2013 (Stichtag: 28.02.2014)</t>
  </si>
  <si>
    <t>Slice Name (Optional)</t>
  </si>
  <si>
    <t>Wintersemester 2009 (Stichtag: 28.02.2010)</t>
  </si>
  <si>
    <t>Wintersemester 2021 (Stichtag: 28.02.2022)</t>
  </si>
  <si>
    <t>Wintersemester 2007 (Stichtag: 28.02.2008)</t>
  </si>
  <si>
    <t>Wintersemester 2000 (Stichtag: 28.02.2001)</t>
  </si>
  <si>
    <t>Wintersemester 2015 (Stichtag: 28.02.2016)</t>
  </si>
  <si>
    <t>Customer</t>
  </si>
  <si>
    <t>-All Customer</t>
  </si>
  <si>
    <t>Default Alternate Row Member Format --&gt;</t>
  </si>
  <si>
    <t>NUR VERWEISE AUF AUSWERTUNG IN TAB1</t>
  </si>
  <si>
    <t>Studientyp</t>
  </si>
  <si>
    <t>Bundesland Universität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</si>
  <si>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</si>
  <si>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</si>
  <si>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</si>
  <si>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</si>
  <si>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</si>
  <si>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</si>
  <si>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(Members of Universität (Codex)) - (~)</t>
  </si>
  <si>
    <t>ISCED2013 3.Ebene (Code, Langtext)</t>
  </si>
  <si>
    <t>Wintersemester 2002 (Stichtag: 28.02.2003)</t>
  </si>
  <si>
    <t>Wintersemester 2017 (Stichtag: 28.02.2018)</t>
  </si>
  <si>
    <t>Wintersemester 2019 (Stichtag: 28.02.2020)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</si>
  <si>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</si>
  <si>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</si>
  <si>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</si>
  <si>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</si>
  <si>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</si>
  <si>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</si>
  <si>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</si>
  <si>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</si>
  <si>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</si>
  <si>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</si>
  <si>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</si>
  <si>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</si>
  <si>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Studienart</t>
  </si>
  <si>
    <t>Wintersemester 2004 (Stichtag: 28.02.2005)</t>
  </si>
  <si>
    <t>Display Formats For:</t>
  </si>
  <si>
    <t>Enabled?</t>
  </si>
  <si>
    <t>&lt;-- Gesamtspalte</t>
  </si>
  <si>
    <t>Datenprüfung und -aufbereitung: bmfwf, Abt. I/10</t>
  </si>
  <si>
    <t>Universität-Ausrichtung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</si>
  <si>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</si>
  <si>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</si>
  <si>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</si>
  <si>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</si>
  <si>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</si>
  <si>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</si>
  <si>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</si>
  <si>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</si>
  <si>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Universität (Codex)</t>
  </si>
  <si>
    <t>Wintersemester 2006 (Stichtag: 28.02.2007)</t>
  </si>
  <si>
    <t>Wintersemester 2020 (Stichtag: 28.02.2021)</t>
  </si>
  <si>
    <t>Marital Status</t>
  </si>
  <si>
    <t>Default Writeable Member Format --&gt;</t>
  </si>
  <si>
    <t>Slice Format 2</t>
  </si>
  <si>
    <t xml:space="preserve">Studien von Erstzugelassenen </t>
  </si>
  <si>
    <t>Quelle: Datenmeldungen der Universitäten auf Basis UHSBV zum jeweiligen Stichtag</t>
  </si>
  <si>
    <t>Ordentliche Studien - Zeitreihe Wintersemester</t>
  </si>
  <si>
    <t>Wintersemester 2014 (Stichtag: 28.02.2015)</t>
  </si>
  <si>
    <t>Writeable Member</t>
  </si>
  <si>
    <t>Wintersemester 2022 (Stichtag: 28.02.2023)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</si>
  <si>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</si>
  <si>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</si>
  <si>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</si>
  <si>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</si>
  <si>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</si>
  <si>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Wintersemester 2008 (Stichtag: 28.02.2009)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</si>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</sst>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rgb="FF262626"/>
      <name val="Tahoma"/>
      <family val="2"/>
    </font>
    <font>
      <sz val="9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rgb="FF595959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 tint="0.34998626667073579"/>
      <name val="+mn-lt"/>
      <family val="2"/>
    </font>
    <font>
      <sz val="9"/>
      <color theme="1" tint="0.34998626667073579"/>
      <name val="+mn-lt"/>
      <family val="2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6"/>
      <color theme="1" tint="0.34998626667073579"/>
      <name val="+mn-lt"/>
      <family val="2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14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/>
      <top/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hair">
        <color rgb="FFC0C0C0"/>
      </left>
      <right/>
      <top/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2" fillId="0" borderId="0" xfId="0" applyFont="1" applyFill="1" applyBorder="1"/>
    <xf numFmtId="0" fontId="0" fillId="0" borderId="0" xfId="0" applyFill="1" applyAlignment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3" fillId="0" borderId="0" xfId="0" applyFont="1" applyFill="1" applyAlignment="1"/>
    <xf numFmtId="0" fontId="5" fillId="0" borderId="0" xfId="0" applyFont="1"/>
    <xf numFmtId="0" fontId="6" fillId="0" borderId="0" xfId="0" applyFont="1"/>
    <xf numFmtId="0" fontId="7" fillId="0" borderId="0" xfId="0" applyFont="1" applyFill="1" applyAlignment="1"/>
    <xf numFmtId="0" fontId="8" fillId="2" borderId="0" xfId="0" applyFont="1" applyFill="1" applyAlignment="1">
      <alignment horizontal="center"/>
    </xf>
    <xf numFmtId="0" fontId="9" fillId="0" borderId="0" xfId="0" applyFont="1" applyFill="1" applyAlignment="1"/>
    <xf numFmtId="0" fontId="10" fillId="0" borderId="0" xfId="0" applyFont="1" applyFill="1" applyAlignment="1">
      <alignment vertical="top"/>
    </xf>
    <xf numFmtId="0" fontId="11" fillId="0" borderId="0" xfId="0" applyFont="1" applyFill="1" applyAlignment="1">
      <alignment vertical="center"/>
    </xf>
    <xf numFmtId="164" fontId="12" fillId="0" borderId="0" xfId="0" applyNumberFormat="1" applyFont="1" applyFill="1" applyBorder="1" applyAlignment="1" applyProtection="1">
      <alignment horizontal="right"/>
    </xf>
    <xf numFmtId="0" fontId="12" fillId="0" borderId="1" xfId="0" quotePrefix="1" applyFont="1" applyFill="1" applyBorder="1" applyAlignment="1" applyProtection="1">
      <alignment horizontal="center"/>
    </xf>
    <xf numFmtId="0" fontId="12" fillId="0" borderId="0" xfId="0" quotePrefix="1" applyFont="1" applyBorder="1" applyAlignment="1" applyProtection="1">
      <alignment horizontal="right"/>
    </xf>
    <xf numFmtId="0" fontId="13" fillId="3" borderId="0" xfId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1" xfId="0" applyFont="1" applyFill="1" applyBorder="1" applyAlignment="1" applyProtection="1">
      <alignment horizontal="right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14" fillId="0" borderId="0" xfId="0" applyNumberFormat="1" applyFont="1" applyAlignment="1"/>
    <xf numFmtId="0" fontId="15" fillId="4" borderId="0" xfId="0" applyFont="1" applyFill="1" applyAlignment="1"/>
    <xf numFmtId="0" fontId="16" fillId="0" borderId="0" xfId="0" applyFont="1"/>
    <xf numFmtId="0" fontId="17" fillId="0" borderId="0" xfId="1" applyFont="1"/>
    <xf numFmtId="0" fontId="0" fillId="0" borderId="2" xfId="0" applyBorder="1" applyAlignment="1">
      <alignment horizontal="center"/>
    </xf>
    <xf numFmtId="0" fontId="18" fillId="5" borderId="3" xfId="0" quotePrefix="1" applyFont="1" applyFill="1" applyBorder="1" applyAlignment="1" applyProtection="1"/>
    <xf numFmtId="0" fontId="12" fillId="0" borderId="4" xfId="0" applyFont="1" applyBorder="1" applyAlignment="1" applyProtection="1">
      <alignment horizontal="right"/>
    </xf>
    <xf numFmtId="0" fontId="19" fillId="0" borderId="0" xfId="0" applyFont="1"/>
    <xf numFmtId="0" fontId="12" fillId="0" borderId="3" xfId="0" quotePrefix="1" applyFont="1" applyBorder="1" applyAlignment="1" applyProtection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/>
    <xf numFmtId="0" fontId="6" fillId="0" borderId="0" xfId="0" applyFont="1" applyAlignment="1">
      <alignment horizontal="right"/>
    </xf>
    <xf numFmtId="164" fontId="12" fillId="6" borderId="1" xfId="0" applyNumberFormat="1" applyFont="1" applyFill="1" applyBorder="1" applyAlignment="1" applyProtection="1">
      <alignment horizontal="right"/>
    </xf>
    <xf numFmtId="164" fontId="12" fillId="6" borderId="1" xfId="0" quotePrefix="1" applyNumberFormat="1" applyFont="1" applyFill="1" applyBorder="1" applyAlignment="1" applyProtection="1">
      <alignment horizontal="center"/>
    </xf>
    <xf numFmtId="0" fontId="3" fillId="0" borderId="0" xfId="0" quotePrefix="1" applyFont="1" applyFill="1" applyAlignment="1">
      <alignment vertical="top"/>
    </xf>
    <xf numFmtId="0" fontId="0" fillId="0" borderId="5" xfId="0" applyBorder="1" applyAlignment="1">
      <alignment horizontal="center"/>
    </xf>
    <xf numFmtId="3" fontId="12" fillId="0" borderId="1" xfId="0" applyNumberFormat="1" applyFont="1" applyFill="1" applyBorder="1" applyAlignment="1" applyProtection="1">
      <alignment horizontal="right"/>
    </xf>
    <xf numFmtId="0" fontId="17" fillId="4" borderId="0" xfId="1" applyFont="1" applyFill="1"/>
    <xf numFmtId="0" fontId="12" fillId="0" borderId="4" xfId="0" applyFont="1" applyBorder="1" applyAlignment="1" applyProtection="1">
      <alignment horizontal="center"/>
    </xf>
    <xf numFmtId="0" fontId="14" fillId="7" borderId="0" xfId="0" applyNumberFormat="1" applyFont="1" applyFill="1" applyAlignment="1"/>
    <xf numFmtId="0" fontId="18" fillId="8" borderId="6" xfId="0" quotePrefix="1" applyFont="1" applyFill="1" applyBorder="1" applyAlignment="1" applyProtection="1"/>
    <xf numFmtId="0" fontId="12" fillId="0" borderId="7" xfId="0" quotePrefix="1" applyFont="1" applyBorder="1" applyAlignment="1" applyProtection="1">
      <alignment horizontal="right"/>
    </xf>
    <xf numFmtId="2" fontId="14" fillId="0" borderId="0" xfId="0" applyNumberFormat="1" applyFont="1"/>
    <xf numFmtId="0" fontId="12" fillId="0" borderId="8" xfId="0" quotePrefix="1" applyFont="1" applyBorder="1" applyAlignment="1" applyProtection="1">
      <alignment horizontal="right"/>
    </xf>
    <xf numFmtId="0" fontId="0" fillId="0" borderId="0" xfId="0" applyFont="1" applyFill="1" applyAlignment="1"/>
    <xf numFmtId="0" fontId="14" fillId="7" borderId="0" xfId="0" applyFont="1" applyFill="1"/>
    <xf numFmtId="3" fontId="5" fillId="0" borderId="0" xfId="0" applyNumberFormat="1" applyFont="1" applyFill="1" applyAlignment="1"/>
    <xf numFmtId="3" fontId="12" fillId="0" borderId="1" xfId="0" applyNumberFormat="1" applyFont="1" applyBorder="1" applyAlignment="1" applyProtection="1">
      <alignment horizontal="right"/>
    </xf>
    <xf numFmtId="0" fontId="12" fillId="0" borderId="9" xfId="0" quotePrefix="1" applyFont="1" applyBorder="1" applyAlignment="1" applyProtection="1">
      <alignment vertical="center"/>
    </xf>
    <xf numFmtId="0" fontId="9" fillId="0" borderId="0" xfId="0" applyFont="1"/>
    <xf numFmtId="0" fontId="19" fillId="0" borderId="10" xfId="0" quotePrefix="1" applyFont="1" applyFill="1" applyBorder="1" applyAlignment="1"/>
    <xf numFmtId="0" fontId="12" fillId="9" borderId="1" xfId="0" applyFont="1" applyFill="1" applyBorder="1" applyAlignment="1" applyProtection="1">
      <alignment horizontal="right"/>
    </xf>
    <xf numFmtId="3" fontId="14" fillId="0" borderId="0" xfId="0" applyNumberFormat="1" applyFont="1" applyAlignment="1"/>
    <xf numFmtId="0" fontId="20" fillId="0" borderId="0" xfId="0" applyFont="1"/>
    <xf numFmtId="3" fontId="14" fillId="7" borderId="0" xfId="0" applyNumberFormat="1" applyFont="1" applyFill="1" applyAlignment="1"/>
    <xf numFmtId="164" fontId="12" fillId="10" borderId="5" xfId="0" applyNumberFormat="1" applyFont="1" applyFill="1" applyBorder="1" applyAlignment="1" applyProtection="1">
      <alignment horizontal="right"/>
    </xf>
    <xf numFmtId="0" fontId="14" fillId="0" borderId="0" xfId="0" quotePrefix="1" applyFont="1"/>
    <xf numFmtId="3" fontId="12" fillId="9" borderId="1" xfId="0" applyNumberFormat="1" applyFont="1" applyFill="1" applyBorder="1" applyAlignment="1" applyProtection="1">
      <alignment horizontal="right"/>
    </xf>
    <xf numFmtId="0" fontId="14" fillId="0" borderId="0" xfId="0" quotePrefix="1" applyFont="1" applyFill="1"/>
    <xf numFmtId="0" fontId="12" fillId="11" borderId="11" xfId="0" quotePrefix="1" applyFont="1" applyFill="1" applyBorder="1" applyAlignment="1" applyProtection="1">
      <alignment horizontal="right"/>
    </xf>
    <xf numFmtId="0" fontId="12" fillId="0" borderId="12" xfId="0" quotePrefix="1" applyFont="1" applyBorder="1" applyAlignment="1" applyProtection="1">
      <alignment horizontal="center"/>
    </xf>
    <xf numFmtId="164" fontId="12" fillId="10" borderId="4" xfId="0" applyNumberFormat="1" applyFont="1" applyFill="1" applyBorder="1" applyAlignment="1" applyProtection="1">
      <alignment horizontal="right"/>
    </xf>
    <xf numFmtId="3" fontId="12" fillId="11" borderId="1" xfId="0" applyNumberFormat="1" applyFont="1" applyFill="1" applyBorder="1" applyAlignment="1" applyProtection="1">
      <alignment horizontal="right"/>
    </xf>
    <xf numFmtId="164" fontId="12" fillId="10" borderId="4" xfId="0" applyNumberFormat="1" applyFont="1" applyFill="1" applyBorder="1" applyAlignment="1" applyProtection="1">
      <alignment horizontal="center"/>
    </xf>
    <xf numFmtId="0" fontId="21" fillId="0" borderId="0" xfId="0" applyFont="1"/>
    <xf numFmtId="0" fontId="3" fillId="0" borderId="0" xfId="0" applyFont="1" applyFill="1" applyAlignment="1">
      <alignment horizontal="left" vertical="top" wrapText="1"/>
    </xf>
    <xf numFmtId="0" fontId="3" fillId="0" borderId="0" xfId="0" quotePrefix="1" applyFont="1" applyFill="1" applyAlignment="1"/>
    <xf numFmtId="0" fontId="0" fillId="0" borderId="0" xfId="0" applyFont="1"/>
    <xf numFmtId="164" fontId="12" fillId="10" borderId="1" xfId="0" applyNumberFormat="1" applyFont="1" applyFill="1" applyBorder="1" applyAlignment="1" applyProtection="1">
      <alignment horizontal="right"/>
    </xf>
    <xf numFmtId="3" fontId="14" fillId="12" borderId="0" xfId="0" applyNumberFormat="1" applyFont="1" applyFill="1" applyAlignment="1"/>
    <xf numFmtId="0" fontId="12" fillId="0" borderId="1" xfId="0" applyFont="1" applyFill="1" applyBorder="1" applyAlignment="1" applyProtection="1">
      <alignment vertical="center"/>
    </xf>
    <xf numFmtId="0" fontId="12" fillId="11" borderId="1" xfId="0" applyFont="1" applyFill="1" applyBorder="1" applyAlignment="1" applyProtection="1">
      <alignment horizontal="right"/>
    </xf>
    <xf numFmtId="0" fontId="14" fillId="0" borderId="0" xfId="0" applyNumberFormat="1" applyFont="1"/>
    <xf numFmtId="0" fontId="19" fillId="0" borderId="10" xfId="0" quotePrefix="1" applyFont="1" applyFill="1" applyBorder="1" applyAlignment="1">
      <alignment horizontal="right"/>
    </xf>
    <xf numFmtId="165" fontId="14" fillId="0" borderId="0" xfId="0" applyNumberFormat="1" applyFont="1"/>
    <xf numFmtId="0" fontId="13" fillId="3" borderId="13" xfId="1" applyFont="1" applyFill="1" applyBorder="1" applyAlignment="1">
      <alignment horizontal="center"/>
    </xf>
    <xf numFmtId="3" fontId="12" fillId="0" borderId="12" xfId="0" applyNumberFormat="1" applyFont="1" applyBorder="1" applyAlignment="1" applyProtection="1">
      <alignment horizontal="right"/>
    </xf>
    <xf numFmtId="164" fontId="12" fillId="10" borderId="12" xfId="0" quotePrefix="1" applyNumberFormat="1" applyFont="1" applyFill="1" applyBorder="1" applyAlignment="1" applyProtection="1">
      <alignment horizontal="center"/>
    </xf>
    <xf numFmtId="3" fontId="14" fillId="13" borderId="0" xfId="0" applyNumberFormat="1" applyFont="1" applyFill="1" applyAlignment="1"/>
    <xf numFmtId="0" fontId="12" fillId="11" borderId="12" xfId="0" applyFont="1" applyFill="1" applyBorder="1" applyAlignment="1" applyProtection="1">
      <alignment horizontal="right"/>
    </xf>
    <xf numFmtId="3" fontId="19" fillId="0" borderId="10" xfId="0" applyNumberFormat="1" applyFont="1" applyFill="1" applyBorder="1" applyAlignment="1"/>
    <xf numFmtId="0" fontId="19" fillId="0" borderId="10" xfId="0" applyFont="1" applyFill="1" applyBorder="1" applyAlignment="1">
      <alignment vertical="center"/>
    </xf>
    <xf numFmtId="0" fontId="14" fillId="0" borderId="0" xfId="0" applyNumberFormat="1" applyFont="1" applyFill="1" applyBorder="1" applyAlignment="1"/>
    <xf numFmtId="0" fontId="17" fillId="7" borderId="0" xfId="1" applyFont="1" applyFill="1"/>
    <xf numFmtId="0" fontId="14" fillId="0" borderId="0" xfId="0" applyFont="1" applyFill="1" applyBorder="1" applyAlignment="1">
      <alignment vertical="center"/>
    </xf>
    <xf numFmtId="0" fontId="12" fillId="0" borderId="1" xfId="0" quotePrefix="1" applyFont="1" applyBorder="1" applyAlignment="1" applyProtection="1"/>
    <xf numFmtId="0" fontId="5" fillId="0" borderId="0" xfId="0" applyFont="1" applyFill="1" applyBorder="1" applyAlignment="1">
      <alignment vertic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Tabelle1!$B$7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Tabelle1!$A$8:$A$22</c:f>
              <c:strCache/>
            </c:strRef>
          </c:cat>
          <c:val>
            <c:numRef>
              <c:f>Tabelle1!$B$8:$B$22</c:f>
              <c:numCache/>
            </c:numRef>
          </c:val>
          <c:smooth val="0"/>
        </c:ser>
        <c:ser>
          <c:idx val="1"/>
          <c:order val="1"/>
          <c:tx>
            <c:strRef>
              <c:f>Tabelle1!$C$7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Tabelle1!$A$8:$A$22</c:f>
              <c:strCache/>
            </c:strRef>
          </c:cat>
          <c:val>
            <c:numRef>
              <c:f>Tabelle1!$C$8:$C$22</c:f>
              <c:numCache/>
            </c:numRef>
          </c:val>
          <c:smooth val="0"/>
        </c:ser>
        <c:ser>
          <c:idx val="2"/>
          <c:order val="2"/>
          <c:tx>
            <c:strRef>
              <c:f>Tabelle1!$D$7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Tabelle1!$A$8:$A$22</c:f>
              <c:strCache/>
            </c:strRef>
          </c:cat>
          <c:val>
            <c:numRef>
              <c:f>Tabelle1!$D$8:$D$22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Tab!$B$21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0</xdr:colOff>
      <xdr:row>21</xdr:row>
      <xdr:rowOff>0</xdr:rowOff>
    </xdr:from>
    <xdr:to>
      <xdr:col>20</xdr:col>
      <xdr:colOff>0</xdr:colOff>
      <xdr:row>48</xdr:row>
      <xdr:rowOff>12700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30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4051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281181</xdr:colOff>
      <xdr:row>10</xdr:row>
      <xdr:rowOff>0</xdr:rowOff>
    </xdr:to>
    <xdr:pic>
      <xdr:nvPicPr>
        <xdr:cNvPr id="31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3037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5</xdr:col>
      <xdr:colOff>281181</xdr:colOff>
      <xdr:row>10</xdr:row>
      <xdr:rowOff>189865</xdr:rowOff>
    </xdr:to>
    <xdr:pic>
      <xdr:nvPicPr>
        <xdr:cNvPr id="32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92024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5</xdr:col>
      <xdr:colOff>281181</xdr:colOff>
      <xdr:row>12</xdr:row>
      <xdr:rowOff>0</xdr:rowOff>
    </xdr:to>
    <xdr:pic>
      <xdr:nvPicPr>
        <xdr:cNvPr id="33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1101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281181</xdr:colOff>
      <xdr:row>12</xdr:row>
      <xdr:rowOff>189865</xdr:rowOff>
    </xdr:to>
    <xdr:pic>
      <xdr:nvPicPr>
        <xdr:cNvPr id="34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2999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5</xdr:col>
      <xdr:colOff>281181</xdr:colOff>
      <xdr:row>14</xdr:row>
      <xdr:rowOff>0</xdr:rowOff>
    </xdr:to>
    <xdr:pic>
      <xdr:nvPicPr>
        <xdr:cNvPr id="35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48983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2</xdr:col>
      <xdr:colOff>114300</xdr:colOff>
      <xdr:row>5</xdr:row>
      <xdr:rowOff>126365</xdr:rowOff>
    </xdr:from>
    <xdr:to>
      <xdr:col>3</xdr:col>
      <xdr:colOff>378417</xdr:colOff>
      <xdr:row>9</xdr:row>
      <xdr:rowOff>52705</xdr:rowOff>
    </xdr:to>
    <xdr:sp macro="" textlink="">
      <xdr:nvSpPr>
        <xdr:cNvPr id="2" name="Comment 1" hidden="1"/>
        <xdr:cNvSpPr txBox="1"/>
      </xdr:nvSpPr>
      <xdr:spPr>
        <a:xfrm>
          <a:off x="2759913" y="107569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Columns are being restricted by members.</a:t>
          </a:r>
        </a:p>
        <a:p>
          <a:pPr algn="l"/>
          <a:endParaRPr/>
        </a:p>
        <a:p>
          <a:pPr algn="l"/>
          <a:r>
            <a:rPr/>
            <a:t>Right click to edit Axis.</a:t>
          </a:r>
        </a:p>
      </xdr:txBody>
    </xdr:sp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39"/>
  <sheetViews>
    <sheetView tabSelected="1" workbookViewId="0"/>
  </sheetViews>
  <sheetFormatPr defaultColWidth="11.42578125" defaultRowHeight="14.95"/>
  <cols>
    <col min="1" max="1" width="40.7109375" style="68" customWidth="1"/>
    <col min="2" max="26" width="11.7109375" customWidth="1"/>
    <col min="27" max="27" width="9.85546875" customWidth="1"/>
    <col min="28" max="28" width="7.28515625" customWidth="1"/>
    <col min="29" max="29" width="11.28515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  <col min="36" max="36" width="17.140625" customWidth="1"/>
    <col min="37" max="37" width="6.7109375" customWidth="1"/>
    <col min="38" max="38" width="7.140625" customWidth="1"/>
  </cols>
  <sheetData>
    <row>
      <c s="12" t="s">
        <v>18</v>
      </c>
      <c s="12"/>
      <c s="12"/>
      <c s="12"/>
      <c s="12"/>
      <c s="2"/>
      <c s="2"/>
      <c s="2"/>
      <c s="2"/>
      <c s="2"/>
      <c s="2"/>
    </row>
    <row s="50" customFormat="1">
      <c s="11" t="s">
        <v>97</v>
      </c>
      <c s="11"/>
      <c s="11"/>
      <c s="11"/>
      <c s="11"/>
      <c s="10"/>
      <c s="10"/>
      <c s="10"/>
      <c s="10"/>
      <c s="10"/>
      <c s="10"/>
    </row>
    <row ht="15" customHeight="1" s="50" customFormat="1">
      <c s="35" t="s">
        <v>66</v>
      </c>
      <c s="19"/>
      <c s="19"/>
      <c s="19"/>
      <c s="19"/>
      <c s="8"/>
      <c s="8"/>
      <c s="8"/>
      <c s="8"/>
      <c s="8"/>
      <c s="8"/>
    </row>
    <row s="50" customFormat="1">
      <c s="3" t="s">
        <v>107</v>
      </c>
      <c s="3"/>
      <c s="3"/>
      <c s="3"/>
      <c s="3"/>
      <c s="3"/>
      <c s="3"/>
      <c s="3"/>
      <c s="3"/>
      <c s="3"/>
      <c s="3"/>
      <c s="3"/>
      <c s="3"/>
      <c s="3"/>
    </row>
    <row s="50" customFormat="1">
      <c s="3" t="s">
        <v>36</v>
      </c>
      <c s="3"/>
      <c s="3"/>
      <c s="3"/>
      <c s="3"/>
      <c s="3"/>
      <c s="3"/>
      <c s="3"/>
      <c s="3"/>
      <c s="3"/>
      <c s="3"/>
      <c s="3"/>
      <c s="3"/>
      <c s="66"/>
    </row>
    <row ht="15" customHeight="1">
      <c s="67" t="s">
        <v>96</v>
      </c>
      <c s="5"/>
      <c s="5"/>
      <c s="5"/>
      <c s="5"/>
      <c s="5"/>
      <c s="5"/>
      <c s="5"/>
      <c s="5"/>
      <c s="5"/>
      <c s="5"/>
    </row>
    <row ht="15" customHeight="1">
      <c s="35" t="s">
        <v>79</v>
      </c>
      <c s="20"/>
      <c s="20"/>
      <c s="20"/>
      <c s="20"/>
      <c s="2"/>
      <c s="2"/>
      <c s="2"/>
      <c s="2"/>
      <c s="2"/>
      <c s="2"/>
    </row>
    <row ht="16.5" customHeight="1">
      <c s="45"/>
      <c s="2"/>
      <c s="2"/>
      <c s="2"/>
      <c s="2"/>
      <c s="2"/>
      <c s="2"/>
      <c s="2"/>
      <c s="2"/>
      <c s="2"/>
      <c s="2"/>
    </row>
    <row>
      <c s="26" t="s">
        <v>0</v>
      </c>
      <c s="86" t="s">
        <v>24</v>
      </c>
      <c r="F9" t="s">
        <v>28</v>
      </c>
    </row>
    <row>
      <c s="26" t="s">
        <v>58</v>
      </c>
      <c s="86" t="s">
        <v>24</v>
      </c>
      <c r="F10" t="s">
        <v>28</v>
      </c>
    </row>
    <row>
      <c s="26" t="s">
        <v>12</v>
      </c>
      <c s="86" t="s">
        <v>24</v>
      </c>
      <c r="F11" t="s">
        <v>28</v>
      </c>
    </row>
    <row>
      <c s="26" t="s">
        <v>74</v>
      </c>
      <c s="86" t="s">
        <v>24</v>
      </c>
      <c r="F12" t="s">
        <v>28</v>
      </c>
    </row>
    <row>
      <c s="26" t="s">
        <v>50</v>
      </c>
      <c s="86" t="s">
        <v>24</v>
      </c>
      <c r="F13" t="s">
        <v>28</v>
      </c>
    </row>
    <row>
      <c s="26" t="s">
        <v>80</v>
      </c>
      <c s="86" t="s">
        <v>24</v>
      </c>
      <c r="F14" t="s">
        <v>28</v>
      </c>
    </row>
    <row ht="15" hidden="1">
      <c s="26" t="s">
        <v>89</v>
      </c>
      <c s="86" t="s">
        <v>57</v>
      </c>
    </row>
    <row ht="15" hidden="1">
      <c s="26" t="s">
        <v>67</v>
      </c>
      <c s="86" t="s">
        <v>11</v>
      </c>
    </row>
    <row ht="15" hidden="1">
      <c s="26" t="s">
        <v>49</v>
      </c>
      <c s="86" t="s">
        <v>19</v>
      </c>
    </row>
    <row>
      <c/>
    </row>
    <row>
      <c/>
    </row>
    <row>
      <c/>
      <c s="14" t="s">
        <v>1</v>
      </c>
      <c s="14"/>
      <c s="14"/>
      <c s="14"/>
      <c s="14"/>
    </row>
    <row ht="15" customHeight="1">
      <c/>
      <c s="14" t="s">
        <v>13</v>
      </c>
      <c s="14"/>
      <c s="14"/>
      <c s="34" t="s">
        <v>68</v>
      </c>
      <c s="34"/>
      <c s="17"/>
      <c s="17"/>
      <c s="17"/>
      <c s="17"/>
      <c s="17"/>
    </row>
    <row>
      <c s="26" t="s">
        <v>2</v>
      </c>
      <c s="18" t="s">
        <v>3</v>
      </c>
      <c s="18" t="s">
        <v>37</v>
      </c>
      <c s="52" t="s">
        <v>24</v>
      </c>
      <c s="18" t="s">
        <v>3</v>
      </c>
      <c s="18" t="s">
        <v>37</v>
      </c>
      <c s="17"/>
      <c s="17"/>
      <c s="17"/>
      <c s="17"/>
      <c s="17"/>
    </row>
    <row>
      <c s="71" t="s">
        <v>17</v>
      </c>
      <c s="37">
        <v>157579.86165000001</v>
      </c>
      <c s="37">
        <v>135275.69945000007</v>
      </c>
      <c s="58">
        <v>292855.56110000028</v>
      </c>
      <c s="33">
        <v>0.5380804826041593</v>
      </c>
      <c s="33">
        <v>0.46191951739584003</v>
      </c>
      <c s="15"/>
      <c s="15"/>
      <c s="15"/>
      <c s="15"/>
      <c s="15"/>
    </row>
    <row>
      <c s="71" t="s">
        <v>56</v>
      </c>
      <c s="37">
        <v>157825.08819999991</v>
      </c>
      <c s="37">
        <v>135339.65240000014</v>
      </c>
      <c s="58">
        <v>293164.74060000019</v>
      </c>
      <c s="33">
        <v>0.53834948867653765</v>
      </c>
      <c s="33">
        <v>0.4616505113234618</v>
      </c>
      <c s="13"/>
      <c s="13"/>
      <c s="13"/>
      <c s="13"/>
      <c s="13"/>
    </row>
    <row>
      <c s="71" t="s">
        <v>100</v>
      </c>
      <c s="37">
        <v>159602.24250000023</v>
      </c>
      <c s="37">
        <v>136574.54880000022</v>
      </c>
      <c s="58">
        <v>296176.79130000062</v>
      </c>
      <c s="33">
        <v>0.53887491251243047</v>
      </c>
      <c s="33">
        <v>0.46112508748756892</v>
      </c>
      <c s="13"/>
      <c s="13"/>
      <c s="13"/>
      <c s="13"/>
      <c s="13"/>
    </row>
    <row>
      <c s="71" t="s">
        <v>41</v>
      </c>
      <c s="37">
        <v>163871.93644999983</v>
      </c>
      <c s="37">
        <v>140133.32314999995</v>
      </c>
      <c s="58">
        <v>304005.25960000086</v>
      </c>
      <c s="33">
        <v>0.53904309637805814</v>
      </c>
      <c s="33">
        <v>0.46095690362193836</v>
      </c>
      <c s="13"/>
      <c s="13"/>
      <c s="13"/>
      <c s="13"/>
      <c s="13"/>
    </row>
    <row>
      <c s="71" t="s">
        <v>91</v>
      </c>
      <c s="37">
        <v>166814.6627000008</v>
      </c>
      <c s="37">
        <v>143250.68510000044</v>
      </c>
      <c s="58">
        <v>310065.34779999987</v>
      </c>
      <c s="33">
        <v>0.53799840544452116</v>
      </c>
      <c s="33">
        <v>0.46200159455548323</v>
      </c>
      <c s="13"/>
      <c s="13"/>
      <c s="13"/>
      <c s="13"/>
      <c s="13"/>
    </row>
    <row>
      <c s="71" t="s">
        <v>61</v>
      </c>
      <c s="37">
        <v>165114.75160000019</v>
      </c>
      <c s="37">
        <v>143422.81800000012</v>
      </c>
      <c s="58">
        <v>308537.56960000045</v>
      </c>
      <c s="33">
        <v>0.53515282373573203</v>
      </c>
      <c s="33">
        <v>0.46484717626426753</v>
      </c>
      <c s="13"/>
      <c s="13"/>
      <c s="13"/>
      <c s="13"/>
      <c s="13"/>
    </row>
    <row>
      <c s="71" t="s">
        <v>21</v>
      </c>
      <c s="37">
        <v>168397.51169999977</v>
      </c>
      <c s="37">
        <v>147083.47100000002</v>
      </c>
      <c s="58">
        <v>315480.98270000116</v>
      </c>
      <c s="33">
        <v>0.53378023061419588</v>
      </c>
      <c s="33">
        <v>0.46621976938579973</v>
      </c>
      <c s="13"/>
      <c s="13"/>
      <c s="13"/>
      <c s="13"/>
      <c s="13"/>
    </row>
    <row>
      <c s="71" t="s">
        <v>60</v>
      </c>
      <c s="37">
        <v>175467.55144999956</v>
      </c>
      <c s="37">
        <v>155510.37359999976</v>
      </c>
      <c s="58">
        <v>330977.92505000101</v>
      </c>
      <c s="33">
        <v>0.53014880501015771</v>
      </c>
      <c s="33">
        <v>0.46985119498983724</v>
      </c>
      <c s="13"/>
      <c s="13"/>
      <c s="13"/>
      <c s="13"/>
      <c s="13"/>
    </row>
    <row>
      <c s="71" t="s">
        <v>5</v>
      </c>
      <c s="37">
        <v>178733.7159050006</v>
      </c>
      <c s="37">
        <v>159058.4780100002</v>
      </c>
      <c s="58">
        <v>337792.193914995</v>
      </c>
      <c s="33">
        <v>0.52912328681573595</v>
      </c>
      <c s="33">
        <v>0.4708767131842812</v>
      </c>
      <c s="13"/>
      <c s="13"/>
      <c s="13"/>
      <c s="13"/>
      <c s="13"/>
    </row>
    <row>
      <c s="71" t="s">
        <v>44</v>
      </c>
      <c s="37">
        <v>181688</v>
      </c>
      <c s="37">
        <v>161255</v>
      </c>
      <c s="58">
        <v>342943</v>
      </c>
      <c s="33">
        <v>0.52979066492099269</v>
      </c>
      <c s="33">
        <v>0.47020933507900731</v>
      </c>
      <c s="13"/>
      <c s="13"/>
      <c s="13"/>
      <c s="13"/>
      <c s="13"/>
    </row>
    <row>
      <c s="71" t="s">
        <v>98</v>
      </c>
      <c s="37">
        <v>181196</v>
      </c>
      <c s="37">
        <v>160494</v>
      </c>
      <c s="58">
        <v>341690</v>
      </c>
      <c s="33">
        <v>0.53029354092891212</v>
      </c>
      <c s="33">
        <v>0.46970645907108782</v>
      </c>
      <c s="13"/>
      <c s="13"/>
      <c s="13"/>
      <c s="13"/>
      <c s="13"/>
    </row>
    <row>
      <c s="71" t="s">
        <v>38</v>
      </c>
      <c s="37">
        <v>180287</v>
      </c>
      <c s="37">
        <v>159357</v>
      </c>
      <c s="58">
        <v>339644</v>
      </c>
      <c s="33">
        <v>0.53081167339920621</v>
      </c>
      <c s="33">
        <v>0.46918832660079379</v>
      </c>
      <c s="13"/>
      <c s="13"/>
      <c s="13"/>
      <c s="13"/>
      <c s="13"/>
    </row>
    <row>
      <c s="71" t="s">
        <v>81</v>
      </c>
      <c s="37">
        <v>184275</v>
      </c>
      <c s="37">
        <v>162110</v>
      </c>
      <c s="58">
        <v>346385</v>
      </c>
      <c s="33">
        <v>0.53199474573090633</v>
      </c>
      <c s="33">
        <v>0.46800525426909362</v>
      </c>
      <c s="13"/>
      <c s="13"/>
      <c s="13"/>
      <c s="13"/>
      <c s="13"/>
    </row>
    <row>
      <c s="71" t="s">
        <v>25</v>
      </c>
      <c s="37">
        <v>184655</v>
      </c>
      <c s="37">
        <v>161204</v>
      </c>
      <c s="58">
        <v>345859</v>
      </c>
      <c s="33">
        <v>0.53390254410034144</v>
      </c>
      <c s="33">
        <v>0.46609745589965851</v>
      </c>
      <c s="13"/>
      <c s="13"/>
      <c s="13"/>
      <c s="13"/>
      <c s="13"/>
    </row>
    <row>
      <c s="71" t="s">
        <v>69</v>
      </c>
      <c s="37">
        <v>182683</v>
      </c>
      <c s="37">
        <v>157699</v>
      </c>
      <c s="58">
        <v>340382</v>
      </c>
      <c s="33">
        <v>0.53669994300521184</v>
      </c>
      <c s="33">
        <v>0.46330005699478821</v>
      </c>
      <c s="13"/>
      <c s="13"/>
      <c s="13"/>
      <c s="13"/>
      <c s="13"/>
    </row>
    <row>
      <c s="71" t="s">
        <v>40</v>
      </c>
      <c s="37">
        <v>180060</v>
      </c>
      <c s="37">
        <v>155690</v>
      </c>
      <c s="58">
        <v>335750</v>
      </c>
      <c s="33">
        <v>0.53629188384214443</v>
      </c>
      <c s="33">
        <v>0.46370811615785557</v>
      </c>
      <c s="13"/>
      <c s="13"/>
      <c s="13"/>
      <c s="13"/>
      <c s="13"/>
    </row>
    <row>
      <c s="71" t="s">
        <v>106</v>
      </c>
      <c s="37">
        <v>172109</v>
      </c>
      <c s="37">
        <v>146399</v>
      </c>
      <c s="58">
        <v>318508</v>
      </c>
      <c s="33">
        <v>0.54036005375061225</v>
      </c>
      <c s="33">
        <v>0.45963994624938775</v>
      </c>
      <c s="13"/>
      <c s="13"/>
      <c s="13"/>
      <c s="13"/>
      <c s="13"/>
    </row>
    <row>
      <c s="71" t="s">
        <v>42</v>
      </c>
      <c s="37">
        <v>167941</v>
      </c>
      <c s="37">
        <v>145691</v>
      </c>
      <c s="58">
        <v>313632</v>
      </c>
      <c s="33">
        <v>0.53547150800938681</v>
      </c>
      <c s="33">
        <v>0.46452849199061319</v>
      </c>
      <c s="13"/>
      <c s="13"/>
      <c s="13"/>
      <c s="13"/>
      <c s="13"/>
    </row>
    <row>
      <c s="71" t="s">
        <v>90</v>
      </c>
      <c s="37">
        <v>158532</v>
      </c>
      <c s="37">
        <v>139173</v>
      </c>
      <c s="58">
        <v>297705</v>
      </c>
      <c s="33">
        <v>0.53251373003476599</v>
      </c>
      <c s="33">
        <v>0.46748626996523401</v>
      </c>
      <c s="13"/>
      <c s="13"/>
      <c s="13"/>
      <c s="13"/>
      <c s="13"/>
    </row>
    <row>
      <c s="71" t="s">
        <v>29</v>
      </c>
      <c s="37">
        <v>149328</v>
      </c>
      <c s="37">
        <v>132252</v>
      </c>
      <c s="58">
        <v>281580</v>
      </c>
      <c s="33">
        <v>0.5303217558065203</v>
      </c>
      <c s="33">
        <v>0.46967824419347964</v>
      </c>
      <c s="13"/>
      <c s="13"/>
      <c s="13"/>
      <c s="13"/>
      <c s="13"/>
    </row>
    <row>
      <c s="71" t="s">
        <v>75</v>
      </c>
      <c s="37">
        <v>141313</v>
      </c>
      <c s="37">
        <v>127981</v>
      </c>
      <c s="58">
        <v>269294</v>
      </c>
      <c s="33">
        <v>0.52475361500813233</v>
      </c>
      <c s="33">
        <v>0.47524638499186761</v>
      </c>
      <c s="13"/>
      <c s="13"/>
      <c s="13"/>
      <c s="13"/>
      <c s="13"/>
    </row>
    <row>
      <c s="71" t="s">
        <v>20</v>
      </c>
      <c s="37">
        <v>136596</v>
      </c>
      <c s="37">
        <v>126507</v>
      </c>
      <c s="58">
        <v>263103</v>
      </c>
      <c s="33">
        <v>0.5191730995085575</v>
      </c>
      <c s="33">
        <v>0.4808269004914425</v>
      </c>
    </row>
    <row>
      <c s="71" t="s">
        <v>59</v>
      </c>
      <c s="37">
        <v>126996</v>
      </c>
      <c s="37">
        <v>121004</v>
      </c>
      <c s="58">
        <v>248000</v>
      </c>
      <c s="33">
        <v>0.51208064516129037</v>
      </c>
      <c s="33">
        <v>0.48791935483870968</v>
      </c>
    </row>
    <row>
      <c s="71" t="s">
        <v>4</v>
      </c>
      <c s="37">
        <v>122471</v>
      </c>
      <c s="37">
        <v>120077</v>
      </c>
      <c s="58">
        <v>242548</v>
      </c>
      <c s="33">
        <v>0.50493510562857657</v>
      </c>
      <c s="33">
        <v>0.49506489437142337</v>
      </c>
    </row>
    <row>
      <c s="71" t="s">
        <v>43</v>
      </c>
      <c s="37">
        <v>142309</v>
      </c>
      <c s="37">
        <v>144162</v>
      </c>
      <c s="58">
        <v>286471</v>
      </c>
      <c s="33">
        <v>0.4967658157370205</v>
      </c>
      <c s="33">
        <v>0.5032341842629795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87"/>
      <c s="4"/>
      <c s="4"/>
      <c s="4"/>
      <c s="4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4:N4"/>
    <mergeCell ref="A5:M5"/>
    <mergeCell ref="B20:F20"/>
    <mergeCell ref="B21:D21"/>
    <mergeCell ref="E21:F21"/>
  </mergeCells>
  <pageMargins left="0.70866141732283472" right="0.70866141732283472" top="0.78740157480314965" bottom="0.78740157480314965" header="0.31496062992125984" footer="0.31496062992125984"/>
  <pageSetup paperSize="9" scale="73" fitToWidth="2" fitToHeight="0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9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4:F31"/>
  <sheetViews>
    <sheetView workbookViewId="0">
      <selection activeCell="A4" sqref="A4:F31"/>
    </sheetView>
  </sheetViews>
  <sheetFormatPr defaultColWidth="11.42578125" defaultRowHeight="14.95"/>
  <cols>
    <col min="1" max="1" width="24.85546875" customWidth="1"/>
  </cols>
  <sheetData>
    <row r="4">
      <c s="9" t="s">
        <v>48</v>
      </c>
      <c s="9"/>
      <c s="9"/>
      <c s="9"/>
      <c s="9"/>
      <c s="9"/>
    </row>
    <row>
      <c r="B5" s="61" t="s">
        <v>1</v>
      </c>
      <c s="25"/>
      <c s="25"/>
      <c s="25"/>
      <c s="36"/>
    </row>
    <row>
      <c r="B6" s="61" t="s">
        <v>13</v>
      </c>
      <c s="25"/>
      <c s="36"/>
      <c s="78" t="s">
        <v>68</v>
      </c>
      <c s="36"/>
    </row>
    <row>
      <c s="41" t="s">
        <v>2</v>
      </c>
      <c s="29" t="s">
        <v>3</v>
      </c>
      <c s="42" t="s">
        <v>37</v>
      </c>
      <c s="60" t="s">
        <v>24</v>
      </c>
      <c s="29" t="s">
        <v>3</v>
      </c>
      <c s="44" t="s">
        <v>37</v>
      </c>
    </row>
    <row>
      <c s="49" t="str">
        <f>CONCATENATE("WS"," ",MID(Tab!A24,16,4))</f>
        <v>WS 2023</v>
      </c>
      <c s="48">
        <f>Tab!B24</f>
        <v>157825.08819999991</v>
      </c>
      <c s="77">
        <f>Tab!C24</f>
        <v>135339.65240000014</v>
      </c>
      <c s="63">
        <f>Tab!D24</f>
        <v>293164.74060000019</v>
      </c>
      <c s="56">
        <f>Tab!E24</f>
        <v>0.53834948867653765</v>
      </c>
      <c s="69">
        <f>Tab!F24</f>
        <v>0.4616505113234618</v>
      </c>
    </row>
    <row>
      <c s="49" t="str">
        <f>CONCATENATE("WS"," ",MID(Tab!A25,16,4))</f>
        <v>WS 2022</v>
      </c>
      <c s="48">
        <f>Tab!B25</f>
        <v>159602.24250000023</v>
      </c>
      <c s="77">
        <f>Tab!C25</f>
        <v>136574.54880000022</v>
      </c>
      <c s="63">
        <f>Tab!D25</f>
        <v>296176.79130000062</v>
      </c>
      <c s="56">
        <f>Tab!E25</f>
        <v>0.53887491251243047</v>
      </c>
      <c s="69">
        <f>Tab!F25</f>
        <v>0.46112508748756892</v>
      </c>
    </row>
    <row>
      <c s="49" t="str">
        <f>CONCATENATE("WS"," ",MID(Tab!A26,16,4))</f>
        <v>WS 2021</v>
      </c>
      <c s="48">
        <f>Tab!B26</f>
        <v>163871.93644999983</v>
      </c>
      <c s="77">
        <f>Tab!C26</f>
        <v>140133.32314999995</v>
      </c>
      <c s="63">
        <f>Tab!D26</f>
        <v>304005.25960000086</v>
      </c>
      <c s="56">
        <f>Tab!E26</f>
        <v>0.53904309637805814</v>
      </c>
      <c s="69">
        <f>Tab!F26</f>
        <v>0.46095690362193836</v>
      </c>
    </row>
    <row>
      <c s="49" t="str">
        <f>CONCATENATE("WS"," ",MID(Tab!A27,16,4))</f>
        <v>WS 2020</v>
      </c>
      <c s="48">
        <f>Tab!B27</f>
        <v>166814.6627000008</v>
      </c>
      <c s="77">
        <f>Tab!C27</f>
        <v>143250.68510000044</v>
      </c>
      <c s="63">
        <f>Tab!D27</f>
        <v>310065.34779999987</v>
      </c>
      <c s="56">
        <f>Tab!E27</f>
        <v>0.53799840544452116</v>
      </c>
      <c s="69">
        <f>Tab!F27</f>
        <v>0.46200159455548323</v>
      </c>
    </row>
    <row>
      <c s="49" t="str">
        <f>CONCATENATE("WS"," ",MID(Tab!A28,16,4))</f>
        <v>WS 2019</v>
      </c>
      <c s="48">
        <f>Tab!B28</f>
        <v>165114.75160000019</v>
      </c>
      <c s="77">
        <f>Tab!C28</f>
        <v>143422.81800000012</v>
      </c>
      <c s="63">
        <f>Tab!D28</f>
        <v>308537.56960000045</v>
      </c>
      <c s="56">
        <f>Tab!E28</f>
        <v>0.53515282373573203</v>
      </c>
      <c s="69">
        <f>Tab!F28</f>
        <v>0.46484717626426753</v>
      </c>
    </row>
    <row>
      <c s="49" t="str">
        <f>CONCATENATE("WS"," ",MID(Tab!A29,16,4))</f>
        <v>WS 2018</v>
      </c>
      <c s="48">
        <f>Tab!B29</f>
        <v>168397.51169999977</v>
      </c>
      <c s="77">
        <f>Tab!C29</f>
        <v>147083.47100000002</v>
      </c>
      <c s="63">
        <f>Tab!D29</f>
        <v>315480.98270000116</v>
      </c>
      <c s="56">
        <f>Tab!E29</f>
        <v>0.53378023061419588</v>
      </c>
      <c s="69">
        <f>Tab!F29</f>
        <v>0.46621976938579973</v>
      </c>
    </row>
    <row>
      <c s="49" t="str">
        <f>CONCATENATE("WS"," ",MID(Tab!A30,16,4))</f>
        <v>WS 2017</v>
      </c>
      <c s="48">
        <f>Tab!B30</f>
        <v>175467.55144999956</v>
      </c>
      <c s="77">
        <f>Tab!C30</f>
        <v>155510.37359999976</v>
      </c>
      <c s="63">
        <f>Tab!D30</f>
        <v>330977.92505000101</v>
      </c>
      <c s="56">
        <f>Tab!E30</f>
        <v>0.53014880501015771</v>
      </c>
      <c s="69">
        <f>Tab!F30</f>
        <v>0.46985119498983724</v>
      </c>
    </row>
    <row>
      <c s="49" t="str">
        <f>CONCATENATE("WS"," ",MID(Tab!A31,16,4))</f>
        <v>WS 2016</v>
      </c>
      <c s="48">
        <f>Tab!B31</f>
        <v>178733.7159050006</v>
      </c>
      <c s="77">
        <f>Tab!C31</f>
        <v>159058.4780100002</v>
      </c>
      <c s="63">
        <f>Tab!D31</f>
        <v>337792.193914995</v>
      </c>
      <c s="56">
        <f>Tab!E31</f>
        <v>0.52912328681573595</v>
      </c>
      <c s="69">
        <f>Tab!F31</f>
        <v>0.4708767131842812</v>
      </c>
    </row>
    <row>
      <c s="49" t="str">
        <f>CONCATENATE("WS"," ",MID(Tab!A32,16,4))</f>
        <v>WS 2015</v>
      </c>
      <c s="48">
        <f>Tab!B32</f>
        <v>181688</v>
      </c>
      <c s="77">
        <f>Tab!C32</f>
        <v>161255</v>
      </c>
      <c s="63">
        <f>Tab!D32</f>
        <v>342943</v>
      </c>
      <c s="56">
        <f>Tab!E32</f>
        <v>0.52979066492099269</v>
      </c>
      <c s="69">
        <f>Tab!F32</f>
        <v>0.47020933507900731</v>
      </c>
    </row>
    <row>
      <c s="49" t="str">
        <f>CONCATENATE("WS"," ",MID(Tab!A33,16,4))</f>
        <v>WS 2014</v>
      </c>
      <c s="48">
        <f>Tab!B33</f>
        <v>181196</v>
      </c>
      <c s="77">
        <f>Tab!C33</f>
        <v>160494</v>
      </c>
      <c s="63">
        <f>Tab!D33</f>
        <v>341690</v>
      </c>
      <c s="56">
        <f>Tab!E33</f>
        <v>0.53029354092891212</v>
      </c>
      <c s="69">
        <f>Tab!F33</f>
        <v>0.46970645907108782</v>
      </c>
    </row>
    <row>
      <c s="49" t="str">
        <f>CONCATENATE("WS"," ",MID(Tab!A34,16,4))</f>
        <v>WS 2013</v>
      </c>
      <c s="48">
        <f>Tab!B34</f>
        <v>180287</v>
      </c>
      <c s="77">
        <f>Tab!C34</f>
        <v>159357</v>
      </c>
      <c s="63">
        <f>Tab!D34</f>
        <v>339644</v>
      </c>
      <c s="56">
        <f>Tab!E34</f>
        <v>0.53081167339920621</v>
      </c>
      <c s="69">
        <f>Tab!F34</f>
        <v>0.46918832660079379</v>
      </c>
    </row>
    <row>
      <c s="49" t="str">
        <f>CONCATENATE("WS"," ",MID(Tab!A35,16,4))</f>
        <v>WS 2012</v>
      </c>
      <c s="48">
        <f>Tab!B35</f>
        <v>184275</v>
      </c>
      <c s="77">
        <f>Tab!C35</f>
        <v>162110</v>
      </c>
      <c s="63">
        <f>Tab!D35</f>
        <v>346385</v>
      </c>
      <c s="56">
        <f>Tab!E35</f>
        <v>0.53199474573090633</v>
      </c>
      <c s="69">
        <f>Tab!F35</f>
        <v>0.46800525426909362</v>
      </c>
    </row>
    <row>
      <c s="49" t="str">
        <f>CONCATENATE("WS"," ",MID(Tab!A36,16,4))</f>
        <v>WS 2011</v>
      </c>
      <c s="48">
        <f>Tab!B36</f>
        <v>184655</v>
      </c>
      <c s="77">
        <f>Tab!C36</f>
        <v>161204</v>
      </c>
      <c s="63">
        <f>Tab!D36</f>
        <v>345859</v>
      </c>
      <c s="56">
        <f>Tab!E36</f>
        <v>0.53390254410034144</v>
      </c>
      <c s="69">
        <f>Tab!F36</f>
        <v>0.46609745589965851</v>
      </c>
    </row>
    <row>
      <c s="49" t="str">
        <f>CONCATENATE("WS"," ",MID(Tab!A37,16,4))</f>
        <v>WS 2010</v>
      </c>
      <c s="48">
        <f>Tab!B37</f>
        <v>182683</v>
      </c>
      <c s="77">
        <f>Tab!C37</f>
        <v>157699</v>
      </c>
      <c s="63">
        <f>Tab!D37</f>
        <v>340382</v>
      </c>
      <c s="56">
        <f>Tab!E37</f>
        <v>0.53669994300521184</v>
      </c>
      <c s="69">
        <f>Tab!F37</f>
        <v>0.46330005699478821</v>
      </c>
    </row>
    <row>
      <c s="49" t="str">
        <f>CONCATENATE("WS"," ",MID(Tab!A38,16,4))</f>
        <v>WS 2009</v>
      </c>
      <c s="48">
        <f>Tab!B38</f>
        <v>180060</v>
      </c>
      <c s="77">
        <f>Tab!C38</f>
        <v>155690</v>
      </c>
      <c s="63">
        <f>Tab!D38</f>
        <v>335750</v>
      </c>
      <c s="56">
        <f>Tab!E38</f>
        <v>0.53629188384214443</v>
      </c>
      <c s="69">
        <f>Tab!F38</f>
        <v>0.46370811615785557</v>
      </c>
    </row>
    <row>
      <c s="49" t="str">
        <f>CONCATENATE("WS"," ",MID(Tab!A39,16,4))</f>
        <v>WS 2008</v>
      </c>
      <c s="48">
        <f>Tab!B39</f>
        <v>172109</v>
      </c>
      <c s="77">
        <f>Tab!C39</f>
        <v>146399</v>
      </c>
      <c s="63">
        <f>Tab!D39</f>
        <v>318508</v>
      </c>
      <c s="56">
        <f>Tab!E39</f>
        <v>0.54036005375061225</v>
      </c>
      <c s="69">
        <f>Tab!F39</f>
        <v>0.45963994624938775</v>
      </c>
    </row>
    <row>
      <c s="49" t="str">
        <f>CONCATENATE("WS"," ",MID(Tab!A40,16,4))</f>
        <v>WS 2007</v>
      </c>
      <c s="48">
        <f>Tab!B40</f>
        <v>167941</v>
      </c>
      <c s="77">
        <f>Tab!C40</f>
        <v>145691</v>
      </c>
      <c s="63">
        <f>Tab!D40</f>
        <v>313632</v>
      </c>
      <c s="56">
        <f>Tab!E40</f>
        <v>0.53547150800938681</v>
      </c>
      <c s="69">
        <f>Tab!F40</f>
        <v>0.46452849199061319</v>
      </c>
    </row>
    <row>
      <c s="49" t="str">
        <f>CONCATENATE("WS"," ",MID(Tab!A41,16,4))</f>
        <v>WS 2006</v>
      </c>
      <c s="48">
        <f>Tab!B41</f>
        <v>158532</v>
      </c>
      <c s="77">
        <f>Tab!C41</f>
        <v>139173</v>
      </c>
      <c s="63">
        <f>Tab!D41</f>
        <v>297705</v>
      </c>
      <c s="56">
        <f>Tab!E41</f>
        <v>0.53251373003476599</v>
      </c>
      <c s="69">
        <f>Tab!F41</f>
        <v>0.46748626996523401</v>
      </c>
    </row>
    <row>
      <c s="49" t="str">
        <f>CONCATENATE("WS"," ",MID(Tab!A42,16,4))</f>
        <v>WS 2005</v>
      </c>
      <c s="48">
        <f>Tab!B42</f>
        <v>149328</v>
      </c>
      <c s="77">
        <f>Tab!C42</f>
        <v>132252</v>
      </c>
      <c s="63">
        <f>Tab!D42</f>
        <v>281580</v>
      </c>
      <c s="56">
        <f>Tab!E42</f>
        <v>0.5303217558065203</v>
      </c>
      <c s="69">
        <f>Tab!F42</f>
        <v>0.46967824419347964</v>
      </c>
    </row>
    <row>
      <c s="49" t="str">
        <f>CONCATENATE("WS"," ",MID(Tab!A43,16,4))</f>
        <v>WS 2004</v>
      </c>
      <c s="48">
        <f>Tab!B43</f>
        <v>141313</v>
      </c>
      <c s="77">
        <f>Tab!C43</f>
        <v>127981</v>
      </c>
      <c s="63">
        <f>Tab!D43</f>
        <v>269294</v>
      </c>
      <c s="56">
        <f>Tab!E43</f>
        <v>0.52475361500813233</v>
      </c>
      <c s="69">
        <f>Tab!F43</f>
        <v>0.47524638499186761</v>
      </c>
    </row>
    <row>
      <c s="49" t="str">
        <f>CONCATENATE("WS"," ",MID(Tab!A44,16,4))</f>
        <v>WS 2003</v>
      </c>
      <c s="48">
        <f>Tab!B44</f>
        <v>136596</v>
      </c>
      <c s="77">
        <f>Tab!C44</f>
        <v>126507</v>
      </c>
      <c s="63">
        <f>Tab!D44</f>
        <v>263103</v>
      </c>
      <c s="56">
        <f>Tab!E44</f>
        <v>0.5191730995085575</v>
      </c>
      <c s="69">
        <f>Tab!F44</f>
        <v>0.4808269004914425</v>
      </c>
    </row>
    <row>
      <c s="49" t="str">
        <f>CONCATENATE("WS"," ",MID(Tab!A45,16,4))</f>
        <v>WS 2002</v>
      </c>
      <c s="48">
        <f>Tab!B45</f>
        <v>126996</v>
      </c>
      <c s="77">
        <f>Tab!C45</f>
        <v>121004</v>
      </c>
      <c s="63">
        <f>Tab!D45</f>
        <v>248000</v>
      </c>
      <c s="56">
        <f>Tab!E45</f>
        <v>0.51208064516129037</v>
      </c>
      <c s="69">
        <f>Tab!F45</f>
        <v>0.48791935483870968</v>
      </c>
    </row>
    <row>
      <c s="49" t="str">
        <f>CONCATENATE("WS"," ",MID(Tab!A46,16,4))</f>
        <v>WS 2001</v>
      </c>
      <c s="48">
        <f>Tab!B46</f>
        <v>122471</v>
      </c>
      <c s="77">
        <f>Tab!C46</f>
        <v>120077</v>
      </c>
      <c s="63">
        <f>Tab!D46</f>
        <v>242548</v>
      </c>
      <c s="56">
        <f>Tab!E46</f>
        <v>0.50493510562857657</v>
      </c>
      <c s="69">
        <f>Tab!F46</f>
        <v>0.49506489437142337</v>
      </c>
    </row>
    <row>
      <c s="49" t="str">
        <f>CONCATENATE("WS"," ",MID(Tab!A47,16,4))</f>
        <v>WS 2000</v>
      </c>
      <c s="48">
        <f>Tab!B47</f>
        <v>142309</v>
      </c>
      <c s="77">
        <f>Tab!C47</f>
        <v>144162</v>
      </c>
      <c s="63">
        <f>Tab!D47</f>
        <v>286471</v>
      </c>
      <c s="56">
        <f>Tab!E47</f>
        <v>0.4967658157370205</v>
      </c>
      <c s="69">
        <f>Tab!F47</f>
        <v>0.5032341842629795</v>
      </c>
    </row>
  </sheetData>
  <mergeCells count="4">
    <mergeCell ref="A4:F4"/>
    <mergeCell ref="B5:F5"/>
    <mergeCell ref="B6:D6"/>
    <mergeCell ref="E6:F6"/>
  </mergeCells>
  <pageMargins left="0.7" right="0.7" top="0.787401575" bottom="0.787401575" header="0.3" footer="0.3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Z32"/>
  <sheetViews>
    <sheetView workbookViewId="0">
      <selection activeCell="E25" sqref="E25:E31"/>
    </sheetView>
  </sheetViews>
  <sheetFormatPr defaultColWidth="9.140625" defaultRowHeight="13.6"/>
  <cols>
    <col min="1" max="1" width="13.5703125" style="31" customWidth="1"/>
    <col min="2" max="2" width="40.85546875" style="31" customWidth="1"/>
    <col min="3" max="3" width="28.140625" style="31" customWidth="1"/>
    <col min="4" max="4" width="16.28515625" style="31" customWidth="1"/>
    <col min="5" max="5" width="19.42578125" style="31" customWidth="1"/>
    <col min="6" max="6" width="11.140625" style="31" customWidth="1"/>
    <col min="7" max="7" width="9.140625" style="31" customWidth="1"/>
    <col min="8" max="8" width="17.28515625" style="31" customWidth="1"/>
    <col min="9" max="9" width="19.5703125" style="31" customWidth="1"/>
    <col min="10" max="12" width="12.42578125" style="31" customWidth="1"/>
    <col min="13" max="13" width="16" style="31" customWidth="1"/>
    <col min="14" max="14" width="14.28515625" style="31" customWidth="1"/>
    <col min="15" max="15" width="18.28515625" style="31" customWidth="1"/>
    <col min="16" max="25" width="9.140625" style="31" customWidth="1"/>
    <col min="26" max="26" width="9.140625" style="31" hidden="1" customWidth="1"/>
    <col min="27" max="27" width="9.140625" style="31" customWidth="1"/>
    <col min="28" max="16384" width="9.140625" style="31"/>
  </cols>
  <sheetData>
    <row>
      <c s="73"/>
      <c r="H1" s="75">
        <v>129806172700000000</v>
      </c>
      <c r="Z1" s="43" t="b">
        <f>0=1</f>
        <v>0</v>
      </c>
    </row>
    <row>
      <c r="Z2" s="43" t="b">
        <f>1=1</f>
        <v>1</v>
      </c>
    </row>
    <row>
      <c r="Z3" s="43"/>
    </row>
    <row>
      <c r="I4" s="31" t="s">
        <v>39</v>
      </c>
      <c s="76" t="s">
        <v>76</v>
      </c>
      <c s="16"/>
      <c s="16"/>
      <c s="16"/>
      <c s="16"/>
      <c s="16"/>
    </row>
    <row>
      <c r="J5" s="38" t="s">
        <v>30</v>
      </c>
      <c s="24" t="s">
        <v>51</v>
      </c>
      <c s="24" t="s">
        <v>70</v>
      </c>
      <c s="38" t="s">
        <v>101</v>
      </c>
      <c s="84" t="s">
        <v>82</v>
      </c>
      <c s="24" t="s">
        <v>6</v>
      </c>
    </row>
    <row>
      <c r="B6" s="32" t="s">
        <v>83</v>
      </c>
      <c s="22" t="s">
        <v>92</v>
      </c>
      <c s="51" t="s">
        <v>14</v>
      </c>
      <c s="7" t="s">
        <v>52</v>
      </c>
    </row>
    <row>
      <c r="C7" s="23"/>
      <c s="28" t="s">
        <v>15</v>
      </c>
      <c s="7" t="s">
        <v>62</v>
      </c>
    </row>
    <row>
      <c r="C8" s="28" t="s">
        <v>7</v>
      </c>
      <c s="23"/>
    </row>
    <row>
      <c r="C9" s="23"/>
      <c s="22" t="s">
        <v>31</v>
      </c>
      <c s="54"/>
    </row>
    <row>
      <c r="C10" s="22" t="s">
        <v>45</v>
      </c>
      <c s="74" t="s">
        <v>71</v>
      </c>
      <c s="7" t="s">
        <v>22</v>
      </c>
    </row>
    <row>
      <c r="B11" s="32" t="s">
        <v>53</v>
      </c>
      <c s="82" t="s">
        <v>46</v>
      </c>
      <c s="81">
        <v>60398</v>
      </c>
      <c s="7" t="s">
        <v>32</v>
      </c>
    </row>
    <row>
      <c r="B12" s="32"/>
      <c s="85"/>
      <c s="83"/>
      <c s="88" t="s">
        <v>77</v>
      </c>
    </row>
    <row>
      <c r="B13" s="32" t="s">
        <v>47</v>
      </c>
      <c s="46" t="s">
        <v>26</v>
      </c>
      <c s="55">
        <v>1212</v>
      </c>
      <c s="31" t="b">
        <v>0</v>
      </c>
      <c s="7" t="s">
        <v>72</v>
      </c>
    </row>
    <row ht="12.75" hidden="1">
      <c r="B14" s="32"/>
      <c s="46"/>
      <c s="40"/>
      <c s="31" t="b">
        <v>0</v>
      </c>
    </row>
    <row>
      <c r="B15" s="32" t="s">
        <v>93</v>
      </c>
      <c s="31" t="s">
        <v>99</v>
      </c>
      <c s="53">
        <v>1212</v>
      </c>
      <c s="31" t="b">
        <v>0</v>
      </c>
      <c s="7" t="s">
        <v>27</v>
      </c>
    </row>
    <row ht="12.75" hidden="1">
      <c r="B16" s="32"/>
      <c r="D16" s="21"/>
      <c s="31" t="b">
        <v>0</v>
      </c>
      <c s="7"/>
    </row>
    <row>
      <c r="B17" s="32"/>
      <c s="31" t="s">
        <v>33</v>
      </c>
      <c s="70">
        <v>3434</v>
      </c>
      <c s="31" t="b">
        <v>0</v>
      </c>
      <c s="7" t="s">
        <v>73</v>
      </c>
    </row>
    <row>
      <c r="B18" s="32"/>
      <c r="D18" s="21"/>
      <c s="31" t="b">
        <v>0</v>
      </c>
      <c s="7"/>
    </row>
    <row>
      <c r="B19" s="32"/>
      <c s="31" t="s">
        <v>8</v>
      </c>
      <c s="79">
        <v>3434</v>
      </c>
      <c s="31" t="b">
        <v>0</v>
      </c>
      <c s="7" t="s">
        <v>84</v>
      </c>
    </row>
    <row>
      <c r="B20" s="32"/>
      <c r="D20" s="21"/>
      <c s="31" t="b">
        <v>0</v>
      </c>
      <c s="7"/>
    </row>
    <row>
      <c r="B21" s="32"/>
      <c s="31" t="s">
        <v>85</v>
      </c>
      <c s="47">
        <v>5656</v>
      </c>
      <c s="31" t="b">
        <v>0</v>
      </c>
      <c s="7" t="s">
        <v>102</v>
      </c>
    </row>
    <row>
      <c r="B22" s="32"/>
      <c r="E22" s="7"/>
      <c r="I22" s="65"/>
    </row>
    <row>
      <c r="B23" s="30" t="s">
        <v>9</v>
      </c>
      <c s="30"/>
    </row>
    <row>
      <c r="B24" s="6" t="s">
        <v>54</v>
      </c>
      <c s="6" t="s">
        <v>34</v>
      </c>
      <c s="6" t="s">
        <v>16</v>
      </c>
      <c s="6" t="s">
        <v>86</v>
      </c>
      <c s="6"/>
      <c s="6"/>
      <c s="6" t="s">
        <v>103</v>
      </c>
    </row>
    <row>
      <c s="31" t="s">
        <v>63</v>
      </c>
      <c r="C25" s="59" t="s">
        <v>55</v>
      </c>
      <c s="39" t="s">
        <v>1</v>
      </c>
      <c s="27">
        <v>1234.5599999999999</v>
      </c>
      <c s="7" t="s">
        <v>78</v>
      </c>
      <c r="H25" s="31" t="s">
        <v>87</v>
      </c>
    </row>
    <row>
      <c s="31" t="s">
        <v>94</v>
      </c>
      <c r="C26" s="59" t="s">
        <v>55</v>
      </c>
      <c s="27" t="s">
        <v>1</v>
      </c>
      <c s="27">
        <v>1234.5599999999999</v>
      </c>
      <c s="7" t="s">
        <v>64</v>
      </c>
      <c r="H26" s="31" t="s">
        <v>104</v>
      </c>
    </row>
    <row>
      <c r="C27" s="59" t="s">
        <v>55</v>
      </c>
      <c s="39" t="s">
        <v>1</v>
      </c>
      <c s="27">
        <v>1234.5599999999999</v>
      </c>
      <c r="H27" s="31" t="s">
        <v>65</v>
      </c>
    </row>
    <row>
      <c r="C28" s="57" t="s">
        <v>55</v>
      </c>
      <c s="39" t="s">
        <v>95</v>
      </c>
      <c s="27">
        <v>1234.5599999999999</v>
      </c>
      <c r="H28" s="31" t="s">
        <v>35</v>
      </c>
    </row>
    <row>
      <c r="C29" s="57" t="s">
        <v>55</v>
      </c>
      <c s="39" t="s">
        <v>23</v>
      </c>
      <c s="27">
        <v>1234.5599999999999</v>
      </c>
      <c r="H29" s="31" t="s">
        <v>105</v>
      </c>
    </row>
    <row>
      <c r="C30" s="57" t="s">
        <v>10</v>
      </c>
      <c s="39" t="s">
        <v>13</v>
      </c>
      <c s="27">
        <v>1234.5599999999999</v>
      </c>
    </row>
    <row>
      <c r="C31" s="57" t="s">
        <v>10</v>
      </c>
      <c s="64" t="s">
        <v>68</v>
      </c>
      <c s="62">
        <v>1234.5599999999999</v>
      </c>
    </row>
    <row>
      <c r="C32" s="57" t="s">
        <v>88</v>
      </c>
      <c s="80" t="s">
        <v>24</v>
      </c>
      <c s="72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
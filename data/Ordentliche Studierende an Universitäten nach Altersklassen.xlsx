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165"/>
  </bookViews>
  <sheets>
    <sheet name="Tab" sheetId="1" r:id="rId1"/>
    <sheet name="Tabelle1" sheetId="2" state="hidden" r:id="rId2"/>
    <sheet name="XLCubedFormats" sheetId="3" state="hidden" r:id="rId3"/>
  </sheets>
  <definedNames>
    <definedName name="XL3DisableCameraObjects" hidden="1">XLCubedFormats!A1</definedName>
    <definedName name="XL3ObjLocation05d6707f_fcd7_4454_9046_0ab72ec0dbab">Tab!$A$7</definedName>
    <definedName name="XL3ObjLocation776c40e3_0ed3_45a4_ac64_bdaf60e1bfcb">Tabelle1!$A$1</definedName>
  </definedNames>
  <calcPr calcId="40001"/>
</workbook>
</file>

<file path=xl/sharedStrings.xml><?xml version="1.0" encoding="utf-8"?>
<sst xmlns="http://schemas.openxmlformats.org/spreadsheetml/2006/main" uniqueCount="90">
  <si>
    <t>Semester und Datenstichtag</t>
  </si>
  <si>
    <t>Universität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</si>
  <si>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</si>
  <si>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</si>
  <si>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</si>
  <si>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</si>
  <si>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</si>
  <si>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</si>
  <si>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40 Jahre und älter</t>
  </si>
  <si>
    <t>Staatengruppe (Ö, EU, andere)</t>
  </si>
  <si>
    <t>Absolutwert</t>
  </si>
  <si>
    <t>All Marital Status</t>
  </si>
  <si>
    <t>Male</t>
  </si>
  <si>
    <t>Member1 Name</t>
  </si>
  <si>
    <t>21 Jahre</t>
  </si>
  <si>
    <t>26 bis 29 Jahre</t>
  </si>
  <si>
    <t>Wintersemester 2024 (Stichtag: 28.02.2025)</t>
  </si>
  <si>
    <t>Anmerkung: Ab dem WS 2016 erfolgt die zähltechnische Abbildung der Studierenden auf Basis des Verteilungsschlüssels gemäß § 22 Abs. 2 UHSBV.</t>
  </si>
  <si>
    <t>ord. Studierende (PU)</t>
  </si>
  <si>
    <t>19 Jahre</t>
  </si>
  <si>
    <t>&lt;-- default Column Member Format</t>
  </si>
  <si>
    <t>Gesamt</t>
  </si>
  <si>
    <t>Alternate Rows</t>
  </si>
  <si>
    <t>&lt;--  writeable cell format</t>
  </si>
  <si>
    <t>Ordentliche Erstzugelassene</t>
  </si>
  <si>
    <t>Altersklasse Studierende</t>
  </si>
  <si>
    <t>[SU Studierende].[Altersklasse Studierende]</t>
  </si>
  <si>
    <t xml:space="preserve"> 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</si>
  <si>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</si>
  <si>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</si>
  <si>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</si>
  <si>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</si>
  <si>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</si>
  <si>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</si>
  <si>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[SU Studierende].[Altersklasse Erstzugelassene]</t>
  </si>
  <si>
    <t>23 Jahre</t>
  </si>
  <si>
    <t>Männer</t>
  </si>
  <si>
    <t>Slice Name (Optional)</t>
  </si>
  <si>
    <t>Measures</t>
  </si>
  <si>
    <t>20 Jahre</t>
  </si>
  <si>
    <t>Customer</t>
  </si>
  <si>
    <t>-All Customer</t>
  </si>
  <si>
    <t>Default Alternate Row Member Format --&gt;</t>
  </si>
  <si>
    <t>Bundesland Universität</t>
  </si>
  <si>
    <t>Slicer Item</t>
  </si>
  <si>
    <t>&lt;-- default Slicer Member Format</t>
  </si>
  <si>
    <t>Default Row Member Format --&gt;</t>
  </si>
  <si>
    <t>Grid/Table Name</t>
  </si>
  <si>
    <t>[Measures]</t>
  </si>
  <si>
    <t>25 Jahre</t>
  </si>
  <si>
    <t>Studierende Universitäten</t>
  </si>
  <si>
    <t>Ordentliche Studierende an Universitäten nach Altersklassen</t>
  </si>
  <si>
    <t>&lt;-- writeable Slicer Member Format</t>
  </si>
  <si>
    <t>Slice Format 1</t>
  </si>
  <si>
    <t>&lt;-- Gesamtzeile</t>
  </si>
  <si>
    <t>3) Formatierung der Gesamtspalte und -zeile (siehe E25:E26)</t>
  </si>
  <si>
    <t>Frauen-/Männeranteil in %</t>
  </si>
  <si>
    <t>bis 18 Jahre</t>
  </si>
  <si>
    <t>Slicer Button</t>
  </si>
  <si>
    <t>+2009</t>
  </si>
  <si>
    <t>&lt;-- default alternate row cell format</t>
  </si>
  <si>
    <t>&lt;--  written cell format</t>
  </si>
  <si>
    <t>Display Formats For:</t>
  </si>
  <si>
    <t>Enabled?</t>
  </si>
  <si>
    <t>&lt;-- Gesamtspalte</t>
  </si>
  <si>
    <t>22 Jahre</t>
  </si>
  <si>
    <t>Insgesamt (bereinigt)</t>
  </si>
  <si>
    <t>Datenprüfung und -aufbereitung: bmfwf, Abt. I/10</t>
  </si>
  <si>
    <t>Bundesland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</si>
  <si>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</si>
  <si>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</si>
  <si>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</si>
  <si>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</si>
  <si>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</si>
  <si>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</si>
  <si>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</si>
  <si>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Universität (Codex)</t>
  </si>
  <si>
    <t>Marital Status</t>
  </si>
  <si>
    <t>Default Writeable Member Format --&gt;</t>
  </si>
  <si>
    <t>Slice Format 2</t>
  </si>
  <si>
    <t>30 bis 39 Jahre</t>
  </si>
  <si>
    <t>Quelle: Datenmeldungen der Universitäten auf Basis UHSBV zum jeweiligen Stichtag</t>
  </si>
  <si>
    <t>Writeable Member</t>
  </si>
  <si>
    <t>24 Jahre</t>
  </si>
  <si>
    <t>Geschlecht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</si>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</sst>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;;;"/>
    <numFmt numFmtId="166" formatCode="0.0%;0.0%"/>
    <numFmt numFmtId="167" formatCode="0%;0%"/>
  </numFmts>
  <fonts count="4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ahoma"/>
      <family val="2"/>
    </font>
    <font>
      <b/>
      <sz val="10"/>
      <name val="Tahoma"/>
      <family val="2"/>
    </font>
    <font>
      <sz val="10"/>
      <color rgb="FF262626"/>
      <name val="Tahoma"/>
      <family val="2"/>
    </font>
    <font>
      <b/>
      <sz val="8"/>
      <color indexed="23"/>
      <name val="Tahoma"/>
      <family val="2"/>
    </font>
    <font>
      <sz val="10"/>
      <color rgb="FF595959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10"/>
      <color theme="1" tint="0.14996795556505021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 tint="0.250007629627369"/>
      <name val="+mn-lt"/>
    </font>
    <font>
      <sz val="9"/>
      <color theme="1" tint="0.34998626667073579"/>
      <name val="+mn-lt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b/>
      <sz val="14"/>
      <color theme="1" tint="0.34998626667073579"/>
      <name val="+mn-lt"/>
    </font>
    <font>
      <sz val="11"/>
      <color rgb="FF9C0006"/>
      <name val="Calibri"/>
      <family val="2"/>
      <scheme val="minor"/>
    </font>
    <font>
      <sz val="10"/>
      <color theme="1" tint="0.34998626667073579"/>
      <name val="+mn-lt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/>
      <right style="hair">
        <color rgb="FFC0C0C0"/>
      </right>
      <top style="hair">
        <color rgb="FFC0C0C0"/>
      </top>
      <bottom/>
      <diagonal/>
    </border>
  </borders>
  <cellStyleXfs count="3">
    <xf numFmtId="0" fontId="0" fillId="0" borderId="0"/>
    <xf numFmtId="0" fontId="1" fillId="0" borderId="0"/>
    <xf numFmtId="9" fontId="0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Fill="1" applyBorder="1"/>
    <xf numFmtId="3" fontId="3" fillId="0" borderId="0" xfId="0" applyNumberFormat="1" applyFont="1" applyFill="1" applyBorder="1"/>
    <xf numFmtId="0" fontId="4" fillId="0" borderId="0" xfId="0" quotePrefix="1" applyFont="1" applyFill="1" applyAlignment="1">
      <alignment horizontal="left" vertical="top" wrapText="1"/>
    </xf>
    <xf numFmtId="0" fontId="5" fillId="0" borderId="0" xfId="0" applyFont="1"/>
    <xf numFmtId="0" fontId="6" fillId="0" borderId="1" xfId="0" quotePrefix="1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right"/>
    </xf>
    <xf numFmtId="0" fontId="7" fillId="0" borderId="0" xfId="0" applyFont="1"/>
    <xf numFmtId="0" fontId="0" fillId="0" borderId="0" xfId="0" applyFill="1" applyAlignment="1"/>
    <xf numFmtId="0" fontId="8" fillId="2" borderId="2" xfId="0" quotePrefix="1" applyFont="1" applyFill="1" applyBorder="1" applyAlignment="1" applyProtection="1"/>
    <xf numFmtId="3" fontId="6" fillId="3" borderId="1" xfId="0" applyNumberFormat="1" applyFont="1" applyFill="1" applyBorder="1" applyAlignment="1" applyProtection="1">
      <alignment horizontal="right" vertical="center"/>
    </xf>
    <xf numFmtId="0" fontId="9" fillId="0" borderId="0" xfId="0" applyFont="1" applyFill="1" applyAlignment="1">
      <alignment vertical="center"/>
    </xf>
    <xf numFmtId="0" fontId="4" fillId="0" borderId="0" xfId="0" applyFont="1" applyFill="1" applyAlignment="1"/>
    <xf numFmtId="0" fontId="10" fillId="0" borderId="0" xfId="0" applyFont="1" applyFill="1" applyAlignment="1">
      <alignment vertical="top"/>
    </xf>
    <xf numFmtId="0" fontId="11" fillId="4" borderId="0" xfId="1" applyFont="1" applyFill="1" applyBorder="1" applyAlignment="1">
      <alignment horizontal="center"/>
    </xf>
    <xf numFmtId="0" fontId="4" fillId="0" borderId="0" xfId="0" applyFont="1" applyFill="1" applyAlignment="1">
      <alignment vertical="top"/>
    </xf>
    <xf numFmtId="0" fontId="4" fillId="0" borderId="0" xfId="0" applyFont="1" applyFill="1" applyAlignment="1">
      <alignment vertical="top" wrapText="1"/>
    </xf>
    <xf numFmtId="3" fontId="6" fillId="0" borderId="1" xfId="0" applyNumberFormat="1" applyFont="1" applyFill="1" applyBorder="1" applyAlignment="1" applyProtection="1">
      <alignment horizontal="right"/>
    </xf>
    <xf numFmtId="0" fontId="12" fillId="0" borderId="0" xfId="1" applyFont="1"/>
    <xf numFmtId="0" fontId="13" fillId="5" borderId="0" xfId="0" applyFont="1" applyFill="1" applyAlignment="1"/>
    <xf numFmtId="0" fontId="14" fillId="0" borderId="0" xfId="0" applyFont="1"/>
    <xf numFmtId="0" fontId="6" fillId="0" borderId="3" xfId="0" applyFont="1" applyBorder="1" applyAlignment="1" applyProtection="1">
      <alignment horizontal="right"/>
    </xf>
    <xf numFmtId="0" fontId="15" fillId="0" borderId="0" xfId="0" applyNumberFormat="1" applyFont="1" applyAlignment="1"/>
    <xf numFmtId="0" fontId="6" fillId="0" borderId="1" xfId="0" quotePrefix="1" applyFont="1" applyBorder="1" applyAlignment="1" applyProtection="1"/>
    <xf numFmtId="0" fontId="6" fillId="0" borderId="3" xfId="0" applyFont="1" applyBorder="1" applyAlignment="1" applyProtection="1">
      <alignment horizontal="center"/>
    </xf>
    <xf numFmtId="0" fontId="6" fillId="3" borderId="1" xfId="0" applyFont="1" applyFill="1" applyBorder="1" applyAlignment="1" applyProtection="1">
      <alignment vertical="center"/>
    </xf>
    <xf numFmtId="0" fontId="0" fillId="0" borderId="0" xfId="0" applyBorder="1"/>
    <xf numFmtId="164" fontId="0" fillId="0" borderId="0" xfId="2" applyNumberFormat="1" applyFont="1"/>
    <xf numFmtId="0" fontId="7" fillId="0" borderId="0" xfId="0" applyFont="1" applyAlignment="1">
      <alignment horizontal="right"/>
    </xf>
    <xf numFmtId="0" fontId="16" fillId="0" borderId="0" xfId="0" applyFont="1"/>
    <xf numFmtId="164" fontId="6" fillId="6" borderId="1" xfId="0" applyNumberFormat="1" applyFont="1" applyFill="1" applyBorder="1" applyAlignment="1" applyProtection="1">
      <alignment horizontal="right"/>
    </xf>
    <xf numFmtId="0" fontId="15" fillId="0" borderId="0" xfId="0" applyFont="1"/>
    <xf numFmtId="164" fontId="6" fillId="3" borderId="1" xfId="0" applyNumberFormat="1" applyFont="1" applyFill="1" applyBorder="1" applyAlignment="1" applyProtection="1">
      <alignment horizontal="right" vertical="center"/>
    </xf>
    <xf numFmtId="164" fontId="6" fillId="6" borderId="1" xfId="0" quotePrefix="1" applyNumberFormat="1" applyFont="1" applyFill="1" applyBorder="1" applyAlignment="1" applyProtection="1">
      <alignment horizontal="center"/>
    </xf>
    <xf numFmtId="0" fontId="12" fillId="5" borderId="0" xfId="1" applyFont="1" applyFill="1"/>
    <xf numFmtId="0" fontId="15" fillId="0" borderId="0" xfId="0" applyFont="1" applyAlignment="1">
      <alignment horizontal="center"/>
    </xf>
    <xf numFmtId="0" fontId="6" fillId="0" borderId="1" xfId="0" applyFont="1" applyFill="1" applyBorder="1" applyAlignment="1" applyProtection="1">
      <alignment vertical="center"/>
    </xf>
    <xf numFmtId="0" fontId="16" fillId="0" borderId="4" xfId="0" quotePrefix="1" applyFon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6" fillId="7" borderId="5" xfId="0" applyFont="1" applyFill="1" applyBorder="1" applyAlignment="1" applyProtection="1">
      <alignment vertical="center"/>
    </xf>
    <xf numFmtId="0" fontId="15" fillId="0" borderId="0" xfId="0" quotePrefix="1" applyFont="1" applyFill="1"/>
    <xf numFmtId="0" fontId="4" fillId="0" borderId="0" xfId="0" quotePrefix="1" applyFont="1" applyFill="1" applyAlignment="1"/>
    <xf numFmtId="165" fontId="15" fillId="0" borderId="0" xfId="0" applyNumberFormat="1" applyFont="1"/>
    <xf numFmtId="0" fontId="16" fillId="0" borderId="4" xfId="0" quotePrefix="1" applyFont="1" applyFill="1" applyBorder="1" applyAlignment="1"/>
    <xf numFmtId="0" fontId="15" fillId="0" borderId="0" xfId="0" applyFont="1" applyFill="1" applyBorder="1" applyAlignment="1">
      <alignment vertical="center"/>
    </xf>
    <xf numFmtId="3" fontId="15" fillId="0" borderId="0" xfId="0" applyNumberFormat="1" applyFont="1" applyAlignment="1"/>
    <xf numFmtId="0" fontId="17" fillId="0" borderId="0" xfId="0" applyFont="1"/>
    <xf numFmtId="3" fontId="15" fillId="8" borderId="0" xfId="0" applyNumberFormat="1" applyFont="1" applyFill="1" applyAlignment="1"/>
    <xf numFmtId="0" fontId="18" fillId="0" borderId="0" xfId="0" applyFont="1"/>
    <xf numFmtId="0" fontId="6" fillId="0" borderId="6" xfId="0" quotePrefix="1" applyFont="1" applyBorder="1" applyAlignment="1" applyProtection="1">
      <alignment horizontal="right"/>
    </xf>
    <xf numFmtId="0" fontId="6" fillId="9" borderId="3" xfId="0" applyFont="1" applyFill="1" applyBorder="1" applyAlignment="1" applyProtection="1">
      <alignment horizontal="right"/>
    </xf>
    <xf numFmtId="3" fontId="15" fillId="10" borderId="0" xfId="0" applyNumberFormat="1" applyFont="1" applyFill="1" applyAlignment="1"/>
    <xf numFmtId="0" fontId="15" fillId="0" borderId="0" xfId="0" applyNumberFormat="1" applyFont="1" applyFill="1" applyBorder="1" applyAlignment="1"/>
    <xf numFmtId="0" fontId="6" fillId="7" borderId="3" xfId="0" applyFont="1" applyFill="1" applyBorder="1" applyAlignment="1" applyProtection="1">
      <alignment vertical="center"/>
    </xf>
    <xf numFmtId="0" fontId="15" fillId="10" borderId="0" xfId="0" applyNumberFormat="1" applyFont="1" applyFill="1" applyAlignment="1"/>
    <xf numFmtId="0" fontId="6" fillId="7" borderId="1" xfId="0" applyFont="1" applyFill="1" applyBorder="1" applyAlignment="1" applyProtection="1">
      <alignment vertical="center"/>
    </xf>
    <xf numFmtId="164" fontId="6" fillId="11" borderId="3" xfId="0" applyNumberFormat="1" applyFont="1" applyFill="1" applyBorder="1" applyAlignment="1" applyProtection="1">
      <alignment horizontal="center"/>
    </xf>
    <xf numFmtId="0" fontId="4" fillId="0" borderId="0" xfId="0" quotePrefix="1" applyFont="1" applyFill="1" applyAlignment="1">
      <alignment vertical="top"/>
    </xf>
    <xf numFmtId="0" fontId="15" fillId="10" borderId="0" xfId="0" applyFont="1" applyFill="1"/>
    <xf numFmtId="0" fontId="11" fillId="4" borderId="7" xfId="1" applyFont="1" applyFill="1" applyBorder="1" applyAlignment="1">
      <alignment horizontal="center"/>
    </xf>
    <xf numFmtId="0" fontId="6" fillId="12" borderId="1" xfId="0" applyFont="1" applyFill="1" applyBorder="1" applyAlignment="1" applyProtection="1">
      <alignment horizontal="right"/>
    </xf>
    <xf numFmtId="0" fontId="15" fillId="0" borderId="0" xfId="0" quotePrefix="1" applyFont="1"/>
    <xf numFmtId="0" fontId="7" fillId="0" borderId="0" xfId="0" applyFont="1" applyAlignment="1">
      <alignment horizontal="center"/>
    </xf>
    <xf numFmtId="3" fontId="5" fillId="0" borderId="0" xfId="0" applyNumberFormat="1" applyFont="1" applyFill="1" applyAlignment="1"/>
    <xf numFmtId="0" fontId="0" fillId="0" borderId="0" xfId="0" applyFont="1" applyFill="1" applyAlignment="1"/>
    <xf numFmtId="0" fontId="6" fillId="7" borderId="6" xfId="0" applyFont="1" applyFill="1" applyBorder="1" applyAlignment="1" applyProtection="1">
      <alignment vertical="center"/>
    </xf>
    <xf numFmtId="0" fontId="19" fillId="0" borderId="0" xfId="0" applyFont="1" applyFill="1" applyAlignment="1"/>
    <xf numFmtId="0" fontId="6" fillId="9" borderId="6" xfId="0" applyFont="1" applyFill="1" applyBorder="1" applyAlignment="1" applyProtection="1">
      <alignment horizontal="right"/>
    </xf>
    <xf numFmtId="0" fontId="5" fillId="0" borderId="0" xfId="0" applyFont="1" applyFill="1" applyBorder="1" applyAlignment="1">
      <alignment vertical="center"/>
    </xf>
    <xf numFmtId="0" fontId="6" fillId="0" borderId="8" xfId="0" quotePrefix="1" applyFont="1" applyBorder="1" applyAlignment="1" applyProtection="1">
      <alignment horizontal="right"/>
    </xf>
    <xf numFmtId="3" fontId="6" fillId="12" borderId="1" xfId="0" applyNumberFormat="1" applyFont="1" applyFill="1" applyBorder="1" applyAlignment="1" applyProtection="1">
      <alignment horizontal="right"/>
    </xf>
    <xf numFmtId="3" fontId="16" fillId="0" borderId="4" xfId="0" applyNumberFormat="1" applyFont="1" applyFill="1" applyBorder="1" applyAlignment="1"/>
    <xf numFmtId="0" fontId="12" fillId="10" borderId="0" xfId="1" applyFont="1" applyFill="1"/>
    <xf numFmtId="0" fontId="0" fillId="0" borderId="0" xfId="0" applyFont="1"/>
    <xf numFmtId="0" fontId="19" fillId="0" borderId="0" xfId="0" applyFont="1"/>
    <xf numFmtId="2" fontId="15" fillId="0" borderId="0" xfId="0" applyNumberFormat="1" applyFont="1"/>
    <xf numFmtId="0" fontId="15" fillId="0" borderId="0" xfId="0" applyNumberFormat="1" applyFont="1"/>
    <xf numFmtId="164" fontId="6" fillId="11" borderId="3" xfId="0" applyNumberFormat="1" applyFont="1" applyFill="1" applyBorder="1" applyAlignment="1" applyProtection="1">
      <alignment horizontal="right"/>
    </xf>
    <xf numFmtId="0" fontId="16" fillId="0" borderId="4" xfId="0" applyFont="1" applyFill="1" applyBorder="1" applyAlignment="1">
      <alignment vertical="center"/>
    </xf>
    <xf numFmtId="3" fontId="15" fillId="13" borderId="0" xfId="0" applyNumberFormat="1" applyFont="1" applyFill="1" applyAlignment="1"/>
  </cellXfs>
  <cellStyles count="3">
    <cellStyle name="Normal" xfId="0" builtinId="0"/>
    <cellStyle name="Normal_Sheet1" xfId="1"/>
    <cellStyle name="Percent" xfId="2" builtinId="5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400" b="1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400" b="1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strRef>
              <c:f>Tabelle1!$F$11</c:f>
              <c:strCache/>
            </c:strRef>
          </c:tx>
          <c:spPr>
            <a:solidFill>
              <a:srgbClr val="1B39BB">
                <a:alpha val="80000"/>
              </a:srgbClr>
            </a:solidFill>
            <a:ln>
              <a:noFill/>
            </a:ln>
          </c:spPr>
          <c:invertIfNegative val="0"/>
          <c:dLbls>
            <c:numFmt formatCode="0.0%;0.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dk1">
                        <a:lumMod val="74999"/>
                        <a:lumOff val="25001"/>
                      </a:schemeClr>
                    </a:solidFill>
                    <a:latin typeface="+mn-lt"/>
                  </a:defRPr>
                </a:pPr>
                <a:endParaRPr sz="900">
                  <a:solidFill>
                    <a:schemeClr val="dk1">
                      <a:lumMod val="74999"/>
                      <a:lumOff val="25001"/>
                    </a:schemeClr>
                  </a:solidFill>
                  <a:latin typeface="+mn-lt"/>
                </a:endParaR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Tabelle1!$A$12:$A$22</c:f>
              <c:strCache/>
            </c:strRef>
          </c:cat>
          <c:val>
            <c:numRef>
              <c:f>Tabelle1!$F$12:$F$22</c:f>
              <c:numCache/>
            </c:numRef>
          </c:val>
        </c:ser>
        <c:ser>
          <c:idx val="1"/>
          <c:order val="1"/>
          <c:tx>
            <c:strRef>
              <c:f>Tabelle1!$E$11</c:f>
              <c:strCache/>
            </c:strRef>
          </c:tx>
          <c:spPr>
            <a:solidFill>
              <a:srgbClr val="DD2327">
                <a:alpha val="80000"/>
              </a:srgbClr>
            </a:solidFill>
            <a:ln>
              <a:noFill/>
            </a:ln>
          </c:spPr>
          <c:invertIfNegative val="0"/>
          <c:dLbls>
            <c:numFmt formatCode="0.0%;0.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dk1">
                        <a:lumMod val="74999"/>
                        <a:lumOff val="25001"/>
                      </a:schemeClr>
                    </a:solidFill>
                    <a:latin typeface="+mn-lt"/>
                  </a:defRPr>
                </a:pPr>
                <a:endParaRPr sz="900">
                  <a:solidFill>
                    <a:schemeClr val="dk1">
                      <a:lumMod val="74999"/>
                      <a:lumOff val="25001"/>
                    </a:schemeClr>
                  </a:solidFill>
                  <a:latin typeface="+mn-lt"/>
                </a:endParaR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Tabelle1!$A$12:$A$22</c:f>
              <c:strCache/>
            </c:strRef>
          </c:cat>
          <c:val>
            <c:numRef>
              <c:f>Tabelle1!$E$12:$E$22</c:f>
              <c:numCache/>
            </c:numRef>
          </c:val>
        </c:ser>
        <c:gapWidth val="50"/>
        <c:overlap val="100"/>
        <c:axId val="0"/>
        <c:axId val="1"/>
      </c:barChart>
      <c:catAx>
        <c:axId val="0"/>
        <c:scaling>
          <c:orientation val="minMax"/>
        </c:scaling>
        <c:delete val="0"/>
        <c:axPos val="l"/>
        <c:majorTickMark val="none"/>
        <c:minorTickMark val="none"/>
        <c:tickLblPos val="low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  <c:max val="0.5"/>
          <c:min val="-0.5"/>
        </c:scaling>
        <c:delete val="0"/>
        <c:axPos val="b"/>
        <c:majorGridlines>
          <c:spPr>
            <a:ln>
              <a:solidFill>
                <a:schemeClr val="lt1">
                  <a:lumMod val="85000"/>
                  <a:alpha val="70000"/>
                </a:schemeClr>
              </a:solidFill>
            </a:ln>
          </c:spPr>
        </c:majorGridlines>
        <c:numFmt formatCode="0%;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autoZero"/>
        <c:crossBetween val="between"/>
      </c:valAx>
      <c:spPr>
        <a:noFill/>
        <a:ln>
          <a:solidFill>
            <a:schemeClr val="lt1">
              <a:lumMod val="8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2743102283012574"/>
          <c:y val="0.93899970421424284"/>
          <c:w val="0.25465603339962845"/>
          <c:h val="0.04984462077801044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3.png" /><Relationship Id="rId3" Type="http://schemas.openxmlformats.org/officeDocument/2006/relationships/image" Target="../media/image2.png" /><Relationship Id="rId4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0</xdr:col>
      <xdr:colOff>2437393</xdr:colOff>
      <xdr:row>6</xdr:row>
      <xdr:rowOff>0</xdr:rowOff>
    </xdr:from>
    <xdr:to>
      <xdr:col>5</xdr:col>
      <xdr:colOff>187454</xdr:colOff>
      <xdr:row>7</xdr:row>
      <xdr:rowOff>0</xdr:rowOff>
    </xdr:to>
    <xdr:pic>
      <xdr:nvPicPr>
        <xdr:cNvPr id="25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7393" y="1330960"/>
          <a:ext cx="3603281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2437393</xdr:colOff>
      <xdr:row>7</xdr:row>
      <xdr:rowOff>0</xdr:rowOff>
    </xdr:from>
    <xdr:to>
      <xdr:col>5</xdr:col>
      <xdr:colOff>187454</xdr:colOff>
      <xdr:row>8</xdr:row>
      <xdr:rowOff>0</xdr:rowOff>
    </xdr:to>
    <xdr:pic>
      <xdr:nvPicPr>
        <xdr:cNvPr id="26" name="Picture 4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7393" y="1520825"/>
          <a:ext cx="3603281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2437393</xdr:colOff>
      <xdr:row>7</xdr:row>
      <xdr:rowOff>189865</xdr:rowOff>
    </xdr:from>
    <xdr:to>
      <xdr:col>5</xdr:col>
      <xdr:colOff>187454</xdr:colOff>
      <xdr:row>8</xdr:row>
      <xdr:rowOff>189865</xdr:rowOff>
    </xdr:to>
    <xdr:pic>
      <xdr:nvPicPr>
        <xdr:cNvPr id="27" name="Picture 5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7393" y="1710690"/>
          <a:ext cx="3603281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2437393</xdr:colOff>
      <xdr:row>8</xdr:row>
      <xdr:rowOff>189865</xdr:rowOff>
    </xdr:from>
    <xdr:to>
      <xdr:col>5</xdr:col>
      <xdr:colOff>187454</xdr:colOff>
      <xdr:row>10</xdr:row>
      <xdr:rowOff>0</xdr:rowOff>
    </xdr:to>
    <xdr:pic>
      <xdr:nvPicPr>
        <xdr:cNvPr id="28" name="Picture 6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7393" y="1900555"/>
          <a:ext cx="3603281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637"/>
  <sheetViews>
    <sheetView tabSelected="1" workbookViewId="0"/>
  </sheetViews>
  <sheetFormatPr defaultColWidth="11.42578125" defaultRowHeight="14.95"/>
  <cols>
    <col min="1" max="1" width="33.42578125" style="73" customWidth="1"/>
    <col min="2" max="17" width="11.7109375" customWidth="1"/>
    <col min="18" max="35" width="11.42578125" customWidth="1"/>
  </cols>
  <sheetData>
    <row>
      <c s="11" t="s">
        <v>50</v>
      </c>
      <c s="11"/>
      <c s="11"/>
      <c s="11"/>
      <c s="11"/>
      <c s="8"/>
    </row>
    <row s="74" customFormat="1">
      <c s="13" t="s">
        <v>51</v>
      </c>
      <c s="13"/>
      <c s="13"/>
      <c s="13"/>
      <c s="13"/>
      <c s="66"/>
    </row>
    <row ht="28.5" customHeight="1" s="74" customFormat="1">
      <c s="3" t="s">
        <v>17</v>
      </c>
      <c s="3"/>
      <c s="3"/>
      <c s="3"/>
      <c s="3"/>
      <c s="3"/>
      <c s="3"/>
      <c s="16"/>
      <c s="16"/>
      <c s="16"/>
      <c s="16"/>
    </row>
    <row>
      <c s="41" t="s">
        <v>81</v>
      </c>
      <c s="12"/>
      <c s="12"/>
      <c s="12"/>
      <c s="12"/>
      <c s="12"/>
    </row>
    <row>
      <c s="57" t="s">
        <v>67</v>
      </c>
      <c s="15"/>
      <c s="15"/>
      <c s="15"/>
      <c s="15"/>
      <c s="8"/>
    </row>
    <row ht="16.5" customHeight="1">
      <c s="64"/>
      <c s="8"/>
      <c s="8"/>
      <c s="8"/>
      <c s="8"/>
      <c s="8"/>
    </row>
    <row>
      <c s="9" t="s">
        <v>0</v>
      </c>
      <c s="23" t="s">
        <v>16</v>
      </c>
      <c s="8"/>
      <c s="8"/>
      <c s="8"/>
      <c s="8" t="s">
        <v>27</v>
      </c>
    </row>
    <row>
      <c s="9" t="s">
        <v>1</v>
      </c>
      <c s="23" t="s">
        <v>66</v>
      </c>
      <c s="8"/>
      <c s="8"/>
      <c s="8"/>
      <c s="8" t="s">
        <v>27</v>
      </c>
    </row>
    <row>
      <c s="9" t="s">
        <v>9</v>
      </c>
      <c s="23" t="s">
        <v>21</v>
      </c>
      <c s="8"/>
      <c s="8"/>
      <c s="8"/>
      <c s="8" t="s">
        <v>27</v>
      </c>
    </row>
    <row>
      <c s="9" t="s">
        <v>68</v>
      </c>
      <c s="23" t="s">
        <v>21</v>
      </c>
      <c s="8"/>
      <c s="8"/>
      <c s="8"/>
      <c s="8" t="s">
        <v>27</v>
      </c>
    </row>
    <row ht="15" hidden="1">
      <c s="9" t="s">
        <v>76</v>
      </c>
      <c s="23" t="s">
        <v>21</v>
      </c>
      <c s="8"/>
      <c s="8"/>
      <c s="8"/>
      <c s="8" t="s">
        <v>27</v>
      </c>
    </row>
    <row>
      <c/>
      <c r="C12" s="8"/>
      <c s="8"/>
      <c s="8"/>
      <c s="8"/>
    </row>
    <row>
      <c/>
      <c r="E13" s="8"/>
      <c s="8"/>
    </row>
    <row ht="15" customHeight="1">
      <c/>
      <c s="5" t="s">
        <v>18</v>
      </c>
      <c s="5"/>
      <c s="5"/>
      <c s="5"/>
      <c s="5"/>
    </row>
    <row ht="15" customHeight="1">
      <c/>
      <c s="5" t="s">
        <v>10</v>
      </c>
      <c s="5"/>
      <c s="5"/>
      <c s="33" t="s">
        <v>56</v>
      </c>
      <c s="33"/>
    </row>
    <row>
      <c s="9" t="s">
        <v>25</v>
      </c>
      <c s="6" t="s">
        <v>2</v>
      </c>
      <c s="6" t="s">
        <v>36</v>
      </c>
      <c s="60" t="s">
        <v>21</v>
      </c>
      <c s="6" t="s">
        <v>2</v>
      </c>
      <c s="6" t="s">
        <v>36</v>
      </c>
    </row>
    <row ht="15" customHeight="1">
      <c s="36" t="s">
        <v>57</v>
      </c>
      <c s="17">
        <v>4893</v>
      </c>
      <c s="17">
        <v>1437</v>
      </c>
      <c s="70">
        <v>6330</v>
      </c>
      <c s="30">
        <v>0.77298578199052137</v>
      </c>
      <c s="30">
        <v>0.22701421800947869</v>
      </c>
    </row>
    <row>
      <c s="36" t="s">
        <v>19</v>
      </c>
      <c s="17">
        <v>10069</v>
      </c>
      <c s="17">
        <v>5596</v>
      </c>
      <c s="70">
        <v>15665</v>
      </c>
      <c s="30">
        <v>0.64277050750079801</v>
      </c>
      <c s="30">
        <v>0.35722949249920205</v>
      </c>
    </row>
    <row>
      <c s="36" t="s">
        <v>39</v>
      </c>
      <c s="17">
        <v>12516</v>
      </c>
      <c s="17">
        <v>8599</v>
      </c>
      <c s="70">
        <v>21115</v>
      </c>
      <c s="30">
        <v>0.59275396637461519</v>
      </c>
      <c s="30">
        <v>0.40724603362538481</v>
      </c>
    </row>
    <row>
      <c s="36" t="s">
        <v>14</v>
      </c>
      <c s="17">
        <v>12460</v>
      </c>
      <c s="17">
        <v>9652</v>
      </c>
      <c s="70">
        <v>22112</v>
      </c>
      <c s="30">
        <v>0.56349493487698987</v>
      </c>
      <c s="30">
        <v>0.43650506512301013</v>
      </c>
    </row>
    <row>
      <c s="36" t="s">
        <v>65</v>
      </c>
      <c s="17">
        <v>12553</v>
      </c>
      <c s="17">
        <v>9537</v>
      </c>
      <c s="70">
        <v>22090</v>
      </c>
      <c s="30">
        <v>0.56826618379357174</v>
      </c>
      <c s="30">
        <v>0.43173381620642826</v>
      </c>
    </row>
    <row>
      <c s="36" t="s">
        <v>35</v>
      </c>
      <c s="17">
        <v>12380</v>
      </c>
      <c s="17">
        <v>9757</v>
      </c>
      <c s="70">
        <v>22137</v>
      </c>
      <c s="30">
        <v>0.55924470343768351</v>
      </c>
      <c s="30">
        <v>0.44075529656231649</v>
      </c>
    </row>
    <row>
      <c s="36" t="s">
        <v>83</v>
      </c>
      <c s="17">
        <v>11839</v>
      </c>
      <c s="17">
        <v>9635</v>
      </c>
      <c s="70">
        <v>21474</v>
      </c>
      <c s="30">
        <v>0.55131787277638078</v>
      </c>
      <c s="30">
        <v>0.44868212722361928</v>
      </c>
    </row>
    <row>
      <c s="36" t="s">
        <v>49</v>
      </c>
      <c s="17">
        <v>10248</v>
      </c>
      <c s="17">
        <v>9182</v>
      </c>
      <c s="70">
        <v>19430</v>
      </c>
      <c s="30">
        <v>0.52743180648481724</v>
      </c>
      <c s="30">
        <v>0.4725681935151827</v>
      </c>
    </row>
    <row>
      <c s="36" t="s">
        <v>15</v>
      </c>
      <c s="17">
        <v>26801</v>
      </c>
      <c s="17">
        <v>26814</v>
      </c>
      <c s="70">
        <v>53615</v>
      </c>
      <c s="30">
        <v>0.49987876527091302</v>
      </c>
      <c s="30">
        <v>0.50012123472908698</v>
      </c>
    </row>
    <row>
      <c s="36" t="s">
        <v>80</v>
      </c>
      <c s="17">
        <v>20858</v>
      </c>
      <c s="17">
        <v>22911</v>
      </c>
      <c s="70">
        <v>43769</v>
      </c>
      <c s="30">
        <v>0.47654732801754668</v>
      </c>
      <c s="30">
        <v>0.52345267198245338</v>
      </c>
    </row>
    <row>
      <c s="36" t="s">
        <v>8</v>
      </c>
      <c s="17">
        <v>8671</v>
      </c>
      <c s="17">
        <v>8519</v>
      </c>
      <c s="70">
        <v>17190</v>
      </c>
      <c s="30">
        <v>0.5044211751018034</v>
      </c>
      <c s="30">
        <v>0.4955788248981966</v>
      </c>
    </row>
    <row>
      <c s="25" t="s">
        <v>21</v>
      </c>
      <c s="10">
        <v>143288</v>
      </c>
      <c s="10">
        <v>121639</v>
      </c>
      <c s="10">
        <v>264927</v>
      </c>
      <c s="32">
        <v>0.5408584251510794</v>
      </c>
      <c s="32">
        <v>0.45914157484892065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26"/>
    </row>
    <row>
      <c s="26"/>
    </row>
    <row>
      <c s="38"/>
    </row>
    <row>
      <c s="38"/>
    </row>
    <row>
      <c s="26"/>
    </row>
    <row>
      <c s="26"/>
    </row>
    <row>
      <c s="26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68"/>
      <c s="2"/>
      <c s="2"/>
      <c s="2"/>
      <c s="2"/>
      <c s="2"/>
      <c s="2"/>
      <c s="2"/>
      <c s="2"/>
      <c s="2"/>
      <c s="2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4">
    <mergeCell ref="A3:G3"/>
    <mergeCell ref="B14:F14"/>
    <mergeCell ref="B15:D15"/>
    <mergeCell ref="E15:F15"/>
  </mergeCells>
  <pageMargins left="0.70866141732283472" right="0.70866141732283472" top="0.78740157480314965" bottom="0.78740157480314965" header="0.31496062992125984" footer="0.31496062992125984"/>
  <pageSetup paperSize="9" scale="83" fitToWidth="2" orientation="landscape"/>
  <headerFooter>
    <oddHeader>&amp;L&amp;"Tahoma,Standard"&amp;10unidata.gv.at&amp;R&amp;"Tahoma,Standard"&amp;10&amp;D</oddHeader>
    <oddFooter>&amp;R&amp;"Tahoma,Standard"&amp;10&amp;P/&amp;N</oddFooter>
  </headerFooter>
  <colBreaks count="1" manualBreakCount="1">
    <brk id="7" max="1048575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F23"/>
  <sheetViews>
    <sheetView workbookViewId="0">
      <selection activeCell="A23" sqref="A23"/>
    </sheetView>
  </sheetViews>
  <sheetFormatPr defaultColWidth="11.42578125" defaultRowHeight="15"/>
  <cols>
    <col min="1" max="1" width="32.28515625" customWidth="1"/>
  </cols>
  <sheetData>
    <row ht="14.95">
      <c s="9" t="s">
        <v>0</v>
      </c>
      <c s="23" t="s">
        <v>16</v>
      </c>
    </row>
    <row ht="14.95">
      <c s="9" t="s">
        <v>1</v>
      </c>
      <c s="23" t="s">
        <v>66</v>
      </c>
    </row>
    <row ht="14.95">
      <c s="9" t="s">
        <v>9</v>
      </c>
      <c s="23" t="s">
        <v>21</v>
      </c>
    </row>
    <row ht="14.95">
      <c s="9" t="s">
        <v>68</v>
      </c>
      <c s="23" t="s">
        <v>21</v>
      </c>
    </row>
    <row ht="14.95">
      <c s="9" t="s">
        <v>43</v>
      </c>
      <c s="23" t="s">
        <v>21</v>
      </c>
    </row>
    <row ht="14.95">
      <c s="9" t="s">
        <v>76</v>
      </c>
      <c s="23" t="s">
        <v>21</v>
      </c>
    </row>
    <row r="9" ht="14.95">
      <c r="B9" s="9" t="s">
        <v>38</v>
      </c>
      <c s="9" t="s">
        <v>84</v>
      </c>
    </row>
    <row ht="14.95">
      <c r="B10" s="5" t="s">
        <v>18</v>
      </c>
      <c s="5"/>
    </row>
    <row ht="14.95">
      <c s="9" t="s">
        <v>25</v>
      </c>
      <c s="6" t="s">
        <v>2</v>
      </c>
      <c s="6" t="s">
        <v>36</v>
      </c>
      <c r="E11" s="69" t="s">
        <v>2</v>
      </c>
      <c s="49" t="s">
        <v>36</v>
      </c>
    </row>
    <row ht="14.95">
      <c s="36" t="s">
        <v>57</v>
      </c>
      <c s="17">
        <v>4893</v>
      </c>
      <c s="17">
        <v>1437</v>
      </c>
      <c r="E12" s="27">
        <f t="shared" si="0" ref="E12:E22">-B12/$B$23</f>
        <v>-0.034148009603037238</v>
      </c>
      <c s="27">
        <f t="shared" si="1" ref="F12:F22">C12/$C$23</f>
        <v>0.011813645294683449</v>
      </c>
    </row>
    <row ht="14.95">
      <c s="36" t="s">
        <v>19</v>
      </c>
      <c s="17">
        <v>10069</v>
      </c>
      <c s="17">
        <v>5596</v>
      </c>
      <c r="E13" s="27">
        <f t="shared" si="0"/>
        <v>-0.070271062475573673</v>
      </c>
      <c s="27">
        <f t="shared" si="1"/>
        <v>0.046004981954800683</v>
      </c>
    </row>
    <row ht="14.95">
      <c s="36" t="s">
        <v>39</v>
      </c>
      <c s="17">
        <v>12516</v>
      </c>
      <c s="17">
        <v>8599</v>
      </c>
      <c r="E14" s="27">
        <f t="shared" si="0"/>
        <v>-0.087348556752833456</v>
      </c>
      <c s="27">
        <f t="shared" si="1"/>
        <v>0.070692787675005545</v>
      </c>
    </row>
    <row ht="14.95">
      <c s="36" t="s">
        <v>14</v>
      </c>
      <c s="17">
        <v>12460</v>
      </c>
      <c s="17">
        <v>9652</v>
      </c>
      <c r="E15" s="27">
        <f t="shared" si="0"/>
        <v>-0.086957735469823008</v>
      </c>
      <c s="27">
        <f t="shared" si="1"/>
        <v>0.079349550719752707</v>
      </c>
    </row>
    <row ht="14.95">
      <c s="36" t="s">
        <v>65</v>
      </c>
      <c s="17">
        <v>12553</v>
      </c>
      <c s="17">
        <v>9537</v>
      </c>
      <c r="E16" s="27">
        <f t="shared" si="0"/>
        <v>-0.087606777957679641</v>
      </c>
      <c s="27">
        <f t="shared" si="1"/>
        <v>0.078404130254277005</v>
      </c>
    </row>
    <row ht="14.95">
      <c s="36" t="s">
        <v>35</v>
      </c>
      <c s="17">
        <v>12380</v>
      </c>
      <c s="17">
        <v>9757</v>
      </c>
      <c r="E17" s="27">
        <f t="shared" si="0"/>
        <v>-0.08639941935123667</v>
      </c>
      <c s="27">
        <f t="shared" si="1"/>
        <v>0.08021276070996966</v>
      </c>
    </row>
    <row ht="14.95">
      <c s="36" t="s">
        <v>83</v>
      </c>
      <c s="17">
        <v>11839</v>
      </c>
      <c s="17">
        <v>9635</v>
      </c>
      <c r="E18" s="27">
        <f t="shared" si="0"/>
        <v>-0.082623806599296523</v>
      </c>
      <c s="27">
        <f t="shared" si="1"/>
        <v>0.079209792911812821</v>
      </c>
    </row>
    <row ht="14.95">
      <c s="36" t="s">
        <v>49</v>
      </c>
      <c s="17">
        <v>10248</v>
      </c>
      <c s="17">
        <v>9182</v>
      </c>
      <c r="E19" s="27">
        <f t="shared" si="0"/>
        <v>-0.071520294790910613</v>
      </c>
      <c s="27">
        <f t="shared" si="1"/>
        <v>0.075485658382591109</v>
      </c>
    </row>
    <row ht="14.95">
      <c s="36" t="s">
        <v>15</v>
      </c>
      <c s="17">
        <v>26801</v>
      </c>
      <c s="17">
        <v>26814</v>
      </c>
      <c r="E20" s="27">
        <f t="shared" si="0"/>
        <v>-0.18704287867790742</v>
      </c>
      <c s="27">
        <f t="shared" si="1"/>
        <v>0.22043916835883229</v>
      </c>
    </row>
    <row ht="14.95">
      <c s="36" t="s">
        <v>80</v>
      </c>
      <c s="17">
        <v>20858</v>
      </c>
      <c s="17">
        <v>22911</v>
      </c>
      <c r="E21" s="27">
        <f t="shared" si="0"/>
        <v>-0.14556697001842442</v>
      </c>
      <c s="27">
        <f t="shared" si="1"/>
        <v>0.18835241986533924</v>
      </c>
    </row>
    <row ht="14.95">
      <c s="36" t="s">
        <v>8</v>
      </c>
      <c s="17">
        <v>8671</v>
      </c>
      <c s="17">
        <v>8519</v>
      </c>
      <c r="E22" s="27">
        <f t="shared" si="0"/>
        <v>-0.060514488303277318</v>
      </c>
      <c s="27">
        <f t="shared" si="1"/>
        <v>0.070035103872935489</v>
      </c>
    </row>
    <row ht="14.95">
      <c s="25" t="s">
        <v>21</v>
      </c>
      <c s="10">
        <v>143288</v>
      </c>
      <c s="10">
        <v>121639</v>
      </c>
    </row>
  </sheetData>
  <mergeCells count="1">
    <mergeCell ref="B10:C10"/>
  </mergeCells>
  <pageMargins left="0.7" right="0.7" top="0.787401575" bottom="0.787401575" header="0.3" footer="0.3"/>
  <pageSetup paperSize="9" fitToWidth="0" fitToHeight="0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32" sqref="E32"/>
    </sheetView>
  </sheetViews>
  <sheetFormatPr defaultColWidth="9.140625" defaultRowHeight="13.6"/>
  <cols>
    <col min="1" max="1" width="13.5703125" style="31" customWidth="1"/>
    <col min="2" max="2" width="40.85546875" style="31" customWidth="1"/>
    <col min="3" max="3" width="28.140625" style="31" customWidth="1"/>
    <col min="4" max="4" width="16.28515625" style="31" customWidth="1"/>
    <col min="5" max="5" width="19.42578125" style="31" customWidth="1"/>
    <col min="6" max="6" width="11.140625" style="31" customWidth="1"/>
    <col min="7" max="7" width="9.140625" style="31" customWidth="1"/>
    <col min="8" max="8" width="17.28515625" style="31" customWidth="1"/>
    <col min="9" max="9" width="19.5703125" style="31" customWidth="1"/>
    <col min="10" max="12" width="12.42578125" style="31" customWidth="1"/>
    <col min="13" max="13" width="16" style="31" customWidth="1"/>
    <col min="14" max="14" width="14.28515625" style="31" customWidth="1"/>
    <col min="15" max="15" width="18.28515625" style="31" customWidth="1"/>
    <col min="16" max="25" width="9.140625" style="31" customWidth="1"/>
    <col min="26" max="26" width="9.140625" style="31" hidden="1" customWidth="1"/>
    <col min="27" max="27" width="9.140625" style="31" customWidth="1"/>
    <col min="28" max="16384" width="9.140625" style="31"/>
  </cols>
  <sheetData>
    <row>
      <c s="76"/>
      <c r="H1" s="42">
        <v>129806172700000000</v>
      </c>
      <c r="Z1" s="75" t="b">
        <f>0=1</f>
        <v>0</v>
      </c>
    </row>
    <row>
      <c r="Z2" s="75" t="b">
        <f>1=1</f>
        <v>1</v>
      </c>
    </row>
    <row>
      <c r="Z3" s="75"/>
    </row>
    <row>
      <c r="I4" s="31" t="s">
        <v>37</v>
      </c>
      <c s="59" t="s">
        <v>62</v>
      </c>
      <c s="14"/>
      <c s="14"/>
      <c s="14"/>
      <c s="14"/>
      <c s="14"/>
    </row>
    <row>
      <c r="J5" s="34" t="s">
        <v>28</v>
      </c>
      <c s="18" t="s">
        <v>44</v>
      </c>
      <c s="18" t="s">
        <v>58</v>
      </c>
      <c s="34" t="s">
        <v>85</v>
      </c>
      <c s="72" t="s">
        <v>69</v>
      </c>
      <c s="18" t="s">
        <v>3</v>
      </c>
    </row>
    <row>
      <c r="B6" s="28" t="s">
        <v>70</v>
      </c>
      <c s="19" t="s">
        <v>77</v>
      </c>
      <c s="43" t="s">
        <v>11</v>
      </c>
      <c s="7" t="s">
        <v>45</v>
      </c>
    </row>
    <row>
      <c r="C7" s="20"/>
      <c s="29" t="s">
        <v>12</v>
      </c>
      <c s="7" t="s">
        <v>52</v>
      </c>
    </row>
    <row>
      <c r="C8" s="29" t="s">
        <v>4</v>
      </c>
      <c s="20"/>
    </row>
    <row>
      <c r="C9" s="20"/>
      <c s="19" t="s">
        <v>29</v>
      </c>
      <c s="46"/>
    </row>
    <row>
      <c r="C10" s="19" t="s">
        <v>40</v>
      </c>
      <c s="37" t="s">
        <v>59</v>
      </c>
      <c s="7" t="s">
        <v>20</v>
      </c>
    </row>
    <row>
      <c r="B11" s="28" t="s">
        <v>46</v>
      </c>
      <c s="78" t="s">
        <v>41</v>
      </c>
      <c s="71">
        <v>60398</v>
      </c>
      <c s="7" t="s">
        <v>30</v>
      </c>
    </row>
    <row>
      <c r="B12" s="28"/>
      <c s="44"/>
      <c s="52"/>
      <c s="62" t="s">
        <v>63</v>
      </c>
    </row>
    <row>
      <c r="B13" s="28" t="s">
        <v>42</v>
      </c>
      <c s="58" t="s">
        <v>22</v>
      </c>
      <c s="51">
        <v>1212</v>
      </c>
      <c s="31" t="b">
        <v>0</v>
      </c>
      <c s="7" t="s">
        <v>60</v>
      </c>
    </row>
    <row ht="12.75" hidden="1">
      <c r="B14" s="28"/>
      <c s="58"/>
      <c s="54"/>
      <c s="31" t="b">
        <v>0</v>
      </c>
    </row>
    <row>
      <c r="B15" s="28" t="s">
        <v>78</v>
      </c>
      <c s="31" t="s">
        <v>82</v>
      </c>
      <c s="45">
        <v>1212</v>
      </c>
      <c s="31" t="b">
        <v>0</v>
      </c>
      <c s="7" t="s">
        <v>23</v>
      </c>
    </row>
    <row ht="12.75" hidden="1">
      <c r="B16" s="28"/>
      <c r="D16" s="22"/>
      <c s="31" t="b">
        <v>0</v>
      </c>
      <c s="7"/>
    </row>
    <row>
      <c r="B17" s="28"/>
      <c s="31" t="s">
        <v>31</v>
      </c>
      <c s="79">
        <v>3434</v>
      </c>
      <c s="31" t="b">
        <v>0</v>
      </c>
      <c s="7" t="s">
        <v>61</v>
      </c>
    </row>
    <row>
      <c r="B18" s="28"/>
      <c r="D18" s="22"/>
      <c s="31" t="b">
        <v>0</v>
      </c>
      <c s="7"/>
    </row>
    <row>
      <c r="B19" s="28"/>
      <c s="31" t="s">
        <v>5</v>
      </c>
      <c s="47">
        <v>3434</v>
      </c>
      <c s="31" t="b">
        <v>0</v>
      </c>
      <c s="7" t="s">
        <v>71</v>
      </c>
    </row>
    <row>
      <c r="B20" s="28"/>
      <c r="D20" s="22"/>
      <c s="31" t="b">
        <v>0</v>
      </c>
      <c s="7"/>
    </row>
    <row>
      <c r="B21" s="28"/>
      <c s="31" t="s">
        <v>72</v>
      </c>
      <c s="63">
        <v>5656</v>
      </c>
      <c s="31" t="b">
        <v>0</v>
      </c>
      <c s="7" t="s">
        <v>86</v>
      </c>
    </row>
    <row>
      <c r="B22" s="28"/>
      <c r="E22" s="7"/>
      <c r="I22" s="48"/>
    </row>
    <row>
      <c r="B23" s="35" t="s">
        <v>6</v>
      </c>
      <c s="35"/>
    </row>
    <row>
      <c r="B24" s="4" t="s">
        <v>47</v>
      </c>
      <c s="4" t="s">
        <v>32</v>
      </c>
      <c s="4" t="s">
        <v>13</v>
      </c>
      <c s="4" t="s">
        <v>73</v>
      </c>
      <c s="4"/>
      <c s="4"/>
      <c s="4" t="s">
        <v>87</v>
      </c>
    </row>
    <row>
      <c s="31" t="s">
        <v>53</v>
      </c>
      <c r="C25" s="40" t="s">
        <v>48</v>
      </c>
      <c s="21" t="s">
        <v>24</v>
      </c>
      <c s="21">
        <v>1234.5599999999999</v>
      </c>
      <c s="7" t="s">
        <v>64</v>
      </c>
      <c r="H25" s="31" t="s">
        <v>74</v>
      </c>
    </row>
    <row>
      <c s="31" t="s">
        <v>79</v>
      </c>
      <c r="C26" s="40" t="s">
        <v>48</v>
      </c>
      <c s="21" t="s">
        <v>24</v>
      </c>
      <c s="21">
        <v>1234.5599999999999</v>
      </c>
      <c s="7" t="s">
        <v>54</v>
      </c>
      <c r="H26" s="31" t="s">
        <v>88</v>
      </c>
    </row>
    <row>
      <c r="C27" s="40" t="s">
        <v>48</v>
      </c>
      <c s="24" t="s">
        <v>24</v>
      </c>
      <c s="21">
        <v>1234.5599999999999</v>
      </c>
      <c r="H27" s="31" t="s">
        <v>55</v>
      </c>
    </row>
    <row>
      <c r="C28" s="61" t="s">
        <v>7</v>
      </c>
      <c s="24" t="s">
        <v>10</v>
      </c>
      <c s="21">
        <v>1234.5599999999999</v>
      </c>
      <c r="H28" s="31" t="s">
        <v>33</v>
      </c>
    </row>
    <row>
      <c r="C29" s="61" t="s">
        <v>7</v>
      </c>
      <c s="56" t="s">
        <v>56</v>
      </c>
      <c s="77">
        <v>1234.5599999999999</v>
      </c>
      <c r="H29" s="31" t="s">
        <v>89</v>
      </c>
    </row>
    <row>
      <c r="C30" s="61" t="s">
        <v>75</v>
      </c>
      <c s="50" t="s">
        <v>21</v>
      </c>
      <c s="67">
        <v>1234.5599999999999</v>
      </c>
    </row>
    <row>
      <c r="C31" s="61" t="s">
        <v>34</v>
      </c>
      <c s="53" t="s">
        <v>21</v>
      </c>
      <c s="65">
        <v>1234.5599999999999</v>
      </c>
    </row>
    <row>
      <c r="C32" s="61" t="s">
        <v>48</v>
      </c>
      <c s="24" t="s">
        <v>18</v>
      </c>
      <c s="21">
        <v>1234.5599999999999</v>
      </c>
    </row>
    <row>
      <c r="C33" s="61" t="s">
        <v>26</v>
      </c>
      <c s="39" t="s">
        <v>21</v>
      </c>
      <c s="55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
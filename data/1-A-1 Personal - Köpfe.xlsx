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657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Tab!$A$1:$G$397</definedName>
    <definedName name="XL3DisableCameraObjects" hidden="1">XLCubedFormats!A1</definedName>
    <definedName name="XL3ObjLocation4e648b72_887b_4d11_abd9_d857d2e25e07">Tab!$A$14</definedName>
  </definedNames>
  <calcPr calcId="40001"/>
</workbook>
</file>

<file path=xl/sharedStrings.xml><?xml version="1.0" encoding="utf-8"?>
<sst xmlns="http://schemas.openxmlformats.org/spreadsheetml/2006/main" uniqueCount="606">
  <si>
    <t>Slicer Button Background</t>
  </si>
  <si>
    <t>Grid Title</t>
  </si>
  <si>
    <t>Oth Written Member</t>
  </si>
  <si>
    <t>Fill in Grid Name, Dimension or Both</t>
  </si>
  <si>
    <t>Semester und Datenstichtag</t>
  </si>
  <si>
    <t xml:space="preserve">   Allgemeines Personal</t>
  </si>
  <si>
    <t>Wintersemester 2018 (Stichtag: 31.12.2018)</t>
  </si>
  <si>
    <t xml:space="preserve">   Univ.f.Weiterbild.Krems</t>
  </si>
  <si>
    <t>UC</t>
  </si>
  <si>
    <t>UA Wintersemester 2009 (Stichtag: 31.12.2009)</t>
  </si>
  <si>
    <t>UG</t>
  </si>
  <si>
    <t>UB Wintersemester 2007 (Stichtag: 31.12.2007)</t>
  </si>
  <si>
    <t>UC Wintersemester 2011 (Stichtag: 31.12.2011)</t>
  </si>
  <si>
    <t>UE Wintersemester 2008 (Stichtag: 31.12.2008)</t>
  </si>
  <si>
    <t>UF Wintersemester 2006 (Stichtag: 31.12.2006)</t>
  </si>
  <si>
    <t>UF Wintersemester 2012 (Stichtag: 31.12.2012)</t>
  </si>
  <si>
    <t>UG Wintersemester 2010 (Stichtag: 31.12.2010)</t>
  </si>
  <si>
    <t>UH Wintersemester 2009 (Stichtag: 31.12.2009)</t>
  </si>
  <si>
    <t>UI Wintersemester 2007 (Stichtag: 31.12.2007)</t>
  </si>
  <si>
    <t>UJ Wintersemester 2011 (Stichtag: 31.12.2011)</t>
  </si>
  <si>
    <t>UL Wintersemester 2008 (Stichtag: 31.12.2008)</t>
  </si>
  <si>
    <t>UM Wintersemester 2012 (Stichtag: 31.12.2012)</t>
  </si>
  <si>
    <t>UN Wintersemester 2010 (Stichtag: 31.12.2010)</t>
  </si>
  <si>
    <t>UO Wintersemester 2009 (Stichtag: 31.12.2009)</t>
  </si>
  <si>
    <t>US Wintersemester 2014 (Stichtag: 31.12.2014)</t>
  </si>
  <si>
    <t>UT Wintersemester 2012 (Stichtag: 31.12.2012)</t>
  </si>
  <si>
    <t>UV Wintersemester 2015 (Stichtag: 31.12.2015)</t>
  </si>
  <si>
    <t>UW Wintersemester 2013 (Stichtag: 31.12.2013)</t>
  </si>
  <si>
    <t>UB Wintersemester 2021 (Stichtag: 31.12.2021)</t>
  </si>
  <si>
    <t>WS2022</t>
  </si>
  <si>
    <t>UE Wintersemester 2022 (Stichtag: 31.12.2022)</t>
  </si>
  <si>
    <t xml:space="preserve">   UM</t>
  </si>
  <si>
    <t xml:space="preserve">   UI</t>
  </si>
  <si>
    <t>UA Wintersemester 2023 (Stichtag: 31.12.2023)</t>
  </si>
  <si>
    <t>UH Wintersemester 2023 (Stichtag: 31.12.2023)</t>
  </si>
  <si>
    <t>UO Wintersemester 2023 (Stichtag: 31.12.2023)</t>
  </si>
  <si>
    <t>UD Wintersemester 2024 (Stichtag: 31.12.2024)</t>
  </si>
  <si>
    <t>UK Wintersemester 2024 (Stichtag: 31.12.2024)</t>
  </si>
  <si>
    <t>UR Wintersemester 2024 (Stichtag: 31.12.2024)</t>
  </si>
  <si>
    <t>Universität</t>
  </si>
  <si>
    <t>All Marital Status</t>
  </si>
  <si>
    <t>Male</t>
  </si>
  <si>
    <t>Member1 Name</t>
  </si>
  <si>
    <t>Wintersemester 2011 (Stichtag: 31.12.2011)</t>
  </si>
  <si>
    <t xml:space="preserve">   Techn.Universität Wien</t>
  </si>
  <si>
    <t xml:space="preserve">   UU</t>
  </si>
  <si>
    <t xml:space="preserve">   UQ</t>
  </si>
  <si>
    <t xml:space="preserve">         darunter Krankenpflege im Rahmen einer öff. Krankenanstalt und Tierpflege in med. Einrichtungen</t>
  </si>
  <si>
    <t xml:space="preserve">   Univ.f.Mus.u.darst.K.Graz</t>
  </si>
  <si>
    <t>UO</t>
  </si>
  <si>
    <t>UK</t>
  </si>
  <si>
    <t>US</t>
  </si>
  <si>
    <t>UA Wintersemester 2017 (Stichtag: 31.12.2017)</t>
  </si>
  <si>
    <t>UB Wintersemester 2015 (Stichtag: 31.12.2015)</t>
  </si>
  <si>
    <t>UC Wintersemester 2013 (Stichtag: 31.12.2013)</t>
  </si>
  <si>
    <t>UD Wintersemester 2018 (Stichtag: 31.12.2018)</t>
  </si>
  <si>
    <t>UE Wintersemester 2016 (Stichtag: 31.12.2016)</t>
  </si>
  <si>
    <t>UF Wintersemester 2014 (Stichtag: 31.12.2014)</t>
  </si>
  <si>
    <t>UG Wintersemester 2019 (Stichtag: 31.12.2019)</t>
  </si>
  <si>
    <t>UH Wintersemester 2017 (Stichtag: 31.12.2017)</t>
  </si>
  <si>
    <t>UI Wintersemester 2015 (Stichtag: 31.12.2015)</t>
  </si>
  <si>
    <t>UK Wintersemester 2018 (Stichtag: 31.12.2018)</t>
  </si>
  <si>
    <t>UL Wintersemester 2016 (Stichtag: 31.12.2016)</t>
  </si>
  <si>
    <t>UM Wintersemester 2006 (Stichtag: 31.12.2006)</t>
  </si>
  <si>
    <t>UN Wintersemester 2019 (Stichtag: 31.12.2019)</t>
  </si>
  <si>
    <t>UO Wintersemester 2017 (Stichtag: 31.12.2017)</t>
  </si>
  <si>
    <t>UR Wintersemester 2018 (Stichtag: 31.12.2018)</t>
  </si>
  <si>
    <t>US Wintersemester 2008 (Stichtag: 31.12.2008)</t>
  </si>
  <si>
    <t>UT Wintersemester 2006 (Stichtag: 31.12.2006)</t>
  </si>
  <si>
    <t>UU Wintersemester 2010 (Stichtag: 31.12.2010)</t>
  </si>
  <si>
    <t>UU Wintersemester 2019 (Stichtag: 31.12.2019)</t>
  </si>
  <si>
    <t>UV Wintersemester 2009 (Stichtag: 31.12.2009)</t>
  </si>
  <si>
    <t>UW Wintersemester 2007 (Stichtag: 31.12.2007)</t>
  </si>
  <si>
    <t>UF Wintersemester 2020 (Stichtag: 31.12.2020)</t>
  </si>
  <si>
    <t>UM Wintersemester 2020 (Stichtag: 31.12.2020)</t>
  </si>
  <si>
    <t>UT Wintersemester 2020 (Stichtag: 31.12.2020)</t>
  </si>
  <si>
    <t>UI Wintersemester 2021 (Stichtag: 31.12.2021)</t>
  </si>
  <si>
    <t>UW Wintersemester 2021 (Stichtag: 31.12.2021)</t>
  </si>
  <si>
    <t>Universität (Kurztext)</t>
  </si>
  <si>
    <t>UL Wintersemester 2022 (Stichtag: 31.12.2022)</t>
  </si>
  <si>
    <t>US Wintersemester 2022 (Stichtag: 31.12.2022)</t>
  </si>
  <si>
    <t>UV Wintersemester 2023 (Stichtag: 31.12.2023)</t>
  </si>
  <si>
    <t>Datenaufbereitung: bmfwf, Abt. I/10</t>
  </si>
  <si>
    <t>&lt;-- default Column Member Format</t>
  </si>
  <si>
    <t xml:space="preserve">   Universität Mozarteum Salzburg</t>
  </si>
  <si>
    <t xml:space="preserve">   Technische Universität Graz</t>
  </si>
  <si>
    <t xml:space="preserve">   Medizinische Universität Graz</t>
  </si>
  <si>
    <t xml:space="preserve">Ohne karenzierte und ausgeschiedene Personen. Personen mit mehreren Beschäftigungsverhältnissen bzw. abweichenden Angaben im Geschlecht sind nur einmal gezählt.   </t>
  </si>
  <si>
    <t>UA Wintersemester 2010 (Stichtag: 31.12.2010)</t>
  </si>
  <si>
    <t>UW</t>
  </si>
  <si>
    <t>UB Wintersemester 2009 (Stichtag: 31.12.2009)</t>
  </si>
  <si>
    <t>UC Wintersemester 2007 (Stichtag: 31.12.2007)</t>
  </si>
  <si>
    <t>UD Wintersemester 2011 (Stichtag: 31.12.2011)</t>
  </si>
  <si>
    <t>UF Wintersemester 2008 (Stichtag: 31.12.2008)</t>
  </si>
  <si>
    <t>UG Wintersemester 2012 (Stichtag: 31.12.2012)</t>
  </si>
  <si>
    <t>UH Wintersemester 2010 (Stichtag: 31.12.2010)</t>
  </si>
  <si>
    <t>UI Wintersemester 2009 (Stichtag: 31.12.2009)</t>
  </si>
  <si>
    <t>UJ Wintersemester 2013 (Stichtag: 31.12.2013)</t>
  </si>
  <si>
    <t>UK Wintersemester 2011 (Stichtag: 31.12.2011)</t>
  </si>
  <si>
    <t>UM Wintersemester 2014 (Stichtag: 31.12.2014)</t>
  </si>
  <si>
    <t>UN Wintersemester 2012 (Stichtag: 31.12.2012)</t>
  </si>
  <si>
    <t>UQ Wintersemester 2013 (Stichtag: 31.12.2013)</t>
  </si>
  <si>
    <t>US Wintersemester 2016 (Stichtag: 31.12.2016)</t>
  </si>
  <si>
    <t>UT Wintersemester 2014 (Stichtag: 31.12.2014)</t>
  </si>
  <si>
    <t>UV Wintersemester 2017 (Stichtag: 31.12.2017)</t>
  </si>
  <si>
    <t>UW Wintersemester 2015 (Stichtag: 31.12.2015)</t>
  </si>
  <si>
    <t>UF Wintersemester 2022 (Stichtag: 31.12.2022)</t>
  </si>
  <si>
    <t>UB Wintersemester 2023 (Stichtag: 31.12.2023)</t>
  </si>
  <si>
    <t>UI Wintersemester 2023 (Stichtag: 31.12.2023)</t>
  </si>
  <si>
    <t>UE Wintersemester 2024 (Stichtag: 31.12.2024)</t>
  </si>
  <si>
    <t>UL Wintersemester 2024 (Stichtag: 31.12.2024)</t>
  </si>
  <si>
    <t>Beschäftigungsausmaß in Prozent</t>
  </si>
  <si>
    <t>Alternate Rows</t>
  </si>
  <si>
    <t>&lt;--  writeable cell format</t>
  </si>
  <si>
    <t>Gesamt</t>
  </si>
  <si>
    <t xml:space="preserve">   Wirtschaftsuniv.Wien</t>
  </si>
  <si>
    <t>Wintersemester 2013 (Stichtag: 31.12.2013)</t>
  </si>
  <si>
    <t xml:space="preserve">   UF</t>
  </si>
  <si>
    <t xml:space="preserve">   Universität für Weiterbildung Krems</t>
  </si>
  <si>
    <t xml:space="preserve">         Assistenzprofessorinnen und Assistenzprofessoren (KV) (UG-Karrierepfad)</t>
  </si>
  <si>
    <t xml:space="preserve">      Äquivalente zu Professorinnen und Professoren</t>
  </si>
  <si>
    <t>UA Wintersemester 2019 (Stichtag: 31.12.2019)</t>
  </si>
  <si>
    <t>UB Wintersemester 2017 (Stichtag: 31.12.2017)</t>
  </si>
  <si>
    <t>UC Wintersemester 2015 (Stichtag: 31.12.2015)</t>
  </si>
  <si>
    <t>UE Wintersemester 2018 (Stichtag: 31.12.2018)</t>
  </si>
  <si>
    <t>UF Wintersemester 2016 (Stichtag: 31.12.2016)</t>
  </si>
  <si>
    <t>UG Wintersemester 2006 (Stichtag: 31.12.2006)</t>
  </si>
  <si>
    <t>UH Wintersemester 2019 (Stichtag: 31.12.2019)</t>
  </si>
  <si>
    <t>UI Wintersemester 2017 (Stichtag: 31.12.2017)</t>
  </si>
  <si>
    <t>UJ Wintersemester 2007 (Stichtag: 31.12.2007)</t>
  </si>
  <si>
    <t>UL Wintersemester 2018 (Stichtag: 31.12.2018)</t>
  </si>
  <si>
    <t>UM Wintersemester 2008 (Stichtag: 31.12.2008)</t>
  </si>
  <si>
    <t>UN Wintersemester 2006 (Stichtag: 31.12.2006)</t>
  </si>
  <si>
    <t>UO Wintersemester 2010 (Stichtag: 31.12.2010)</t>
  </si>
  <si>
    <t>UO Wintersemester 2019 (Stichtag: 31.12.2019)</t>
  </si>
  <si>
    <t>UQ Wintersemester 2007 (Stichtag: 31.12.2007)</t>
  </si>
  <si>
    <t>UR Wintersemester 2011 (Stichtag: 31.12.2011)</t>
  </si>
  <si>
    <t>UT Wintersemester 2008 (Stichtag: 31.12.2008)</t>
  </si>
  <si>
    <t>UU Wintersemester 2006 (Stichtag: 31.12.2006)</t>
  </si>
  <si>
    <t>UU Wintersemester 2012 (Stichtag: 31.12.2012)</t>
  </si>
  <si>
    <t>UV Wintersemester 2010 (Stichtag: 31.12.2010)</t>
  </si>
  <si>
    <t>UW Wintersemester 2009 (Stichtag: 31.12.2009)</t>
  </si>
  <si>
    <t>UG Wintersemester 2020 (Stichtag: 31.12.2020)</t>
  </si>
  <si>
    <t>UN Wintersemester 2020 (Stichtag: 31.12.2020)</t>
  </si>
  <si>
    <t>UC Wintersemester 2021 (Stichtag: 31.12.2021)</t>
  </si>
  <si>
    <t>UJ Wintersemester 2021 (Stichtag: 31.12.2021)</t>
  </si>
  <si>
    <t>UQ Wintersemester 2021 (Stichtag: 31.12.2021)</t>
  </si>
  <si>
    <t>UM Wintersemester 2022 (Stichtag: 31.12.2022)</t>
  </si>
  <si>
    <t>UT Wintersemester 2022 (Stichtag: 31.12.2022)</t>
  </si>
  <si>
    <t xml:space="preserve">         darunter über F &amp; E-Projekte drittfinanzierte Mitarbeiterinnen und Mitarbeiter</t>
  </si>
  <si>
    <t>Univ.Wien, Univ.Graz, Univ.Innsbruck, Med.Univ.Wien, Med.Univ.Graz, Med.Univ.Innsbruck, Univ.Salzburg, TU Wien, TU Graz, Montanuniv.Leoben, Univ.f.BOKU Wien, Vet.med.Univ.Wien, WU Wien, Univ.Linz, Univ.Klagenfurt, Univ.f.angew.K.Wien, Univ.f.M.u.d.K.Wien, Univ.Mozarteum Sbg, Univ.f.M.u.d.K.Graz, Univ.f.k.u.i.G.Linz, Akad.d.bild.K.Wien, Univ.f.Weiterb.Krems</t>
  </si>
  <si>
    <t>UW Wintersemester 2023 (Stichtag: 31.12.2023)</t>
  </si>
  <si>
    <t>US Wintersemester 2024 (Stichtag: 31.12.2024)</t>
  </si>
  <si>
    <t xml:space="preserve">   UB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</si>
  <si>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</si>
  <si>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</si>
  <si>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</si>
  <si>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</si>
  <si>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</si>
  <si>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</si>
  <si>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Kennzahl 1.A.1 - Gesamtübersicht</t>
  </si>
  <si>
    <t xml:space="preserve">   Medizinische Univ.Graz</t>
  </si>
  <si>
    <t xml:space="preserve">   UJ</t>
  </si>
  <si>
    <t xml:space="preserve">   UN</t>
  </si>
  <si>
    <t xml:space="preserve">         darunter Assistenzprofessorinnen und Assistenprofessoren (KV)</t>
  </si>
  <si>
    <t xml:space="preserve">      wissenschaftliche und künstlerische Mitarbeiterinnen und Mitarbeiter</t>
  </si>
  <si>
    <t>UD</t>
  </si>
  <si>
    <t>UH</t>
  </si>
  <si>
    <t>UA Wintersemester 2012 (Stichtag: 31.12.2012)</t>
  </si>
  <si>
    <t>UB Wintersemester 2010 (Stichtag: 31.12.2010)</t>
  </si>
  <si>
    <t>UD Wintersemester 2013 (Stichtag: 31.12.2013)</t>
  </si>
  <si>
    <t>UE Wintersemester 2011 (Stichtag: 31.12.2011)</t>
  </si>
  <si>
    <t>UG Wintersemester 2014 (Stichtag: 31.12.2014)</t>
  </si>
  <si>
    <t>UH Wintersemester 2012 (Stichtag: 31.12.2012)</t>
  </si>
  <si>
    <t>UJ Wintersemester 2015 (Stichtag: 31.12.2015)</t>
  </si>
  <si>
    <t>UK Wintersemester 2013 (Stichtag: 31.12.2013)</t>
  </si>
  <si>
    <t>UM Wintersemester 2016 (Stichtag: 31.12.2016)</t>
  </si>
  <si>
    <t>UN Wintersemester 2014 (Stichtag: 31.12.2014)</t>
  </si>
  <si>
    <t>UQ Wintersemester 2015 (Stichtag: 31.12.2015)</t>
  </si>
  <si>
    <t>US Wintersemester 2018 (Stichtag: 31.12.2018)</t>
  </si>
  <si>
    <t>UT Wintersemester 2016 (Stichtag: 31.12.2016)</t>
  </si>
  <si>
    <t>UU Wintersemester 2014 (Stichtag: 31.12.2014)</t>
  </si>
  <si>
    <t>UV Wintersemester 2019 (Stichtag: 31.12.2019)</t>
  </si>
  <si>
    <t>UW Wintersemester 2017 (Stichtag: 31.12.2017)</t>
  </si>
  <si>
    <t>UU Wintersemester 2020 (Stichtag: 31.12.2020)</t>
  </si>
  <si>
    <t>Wintersemester 2021 (Stichtag: 31.12.2021)</t>
  </si>
  <si>
    <t>UC Wintersemester 2023 (Stichtag: 31.12.2023)</t>
  </si>
  <si>
    <t>WS2023</t>
  </si>
  <si>
    <t>UF Wintersemester 2024 (Stichtag: 31.12.2024)</t>
  </si>
  <si>
    <t xml:space="preserve">   Universität Innsbruck</t>
  </si>
  <si>
    <t>Slice Name (Optional)</t>
  </si>
  <si>
    <t>Verwendungskategorien WBV</t>
  </si>
  <si>
    <t>Personal - Köpfe</t>
  </si>
  <si>
    <t>[PU Person].[Semester_plus_Datenstichtag]</t>
  </si>
  <si>
    <t xml:space="preserve">   Universität Linz</t>
  </si>
  <si>
    <t xml:space="preserve">   Universität Graz</t>
  </si>
  <si>
    <t xml:space="preserve">   UR</t>
  </si>
  <si>
    <t xml:space="preserve">         darunter über F&amp;E-Projekte drittfinanziertes allgemeines Personal</t>
  </si>
  <si>
    <t xml:space="preserve">   UV</t>
  </si>
  <si>
    <t>Wintersemester 2015 (Stichtag: 31.12.2015)</t>
  </si>
  <si>
    <t xml:space="preserve">   Medizinische Universität Innsbruck</t>
  </si>
  <si>
    <t xml:space="preserve">      Professorinnen und Professoren</t>
  </si>
  <si>
    <t xml:space="preserve">   Wissenschaftliches und künstlerisches Personal</t>
  </si>
  <si>
    <t>UA Wintersemester 2006 (Stichtag: 31.12.2006)</t>
  </si>
  <si>
    <t>UL</t>
  </si>
  <si>
    <t>UB Wintersemester 2019 (Stichtag: 31.12.2019)</t>
  </si>
  <si>
    <t>UC Wintersemester 2017 (Stichtag: 31.12.2017)</t>
  </si>
  <si>
    <t>UD Wintersemester 2007 (Stichtag: 31.12.2007)</t>
  </si>
  <si>
    <t>UF Wintersemester 2018 (Stichtag: 31.12.2018)</t>
  </si>
  <si>
    <t>UG Wintersemester 2008 (Stichtag: 31.12.2008)</t>
  </si>
  <si>
    <t>UH Wintersemester 2006 (Stichtag: 31.12.2006)</t>
  </si>
  <si>
    <t>UI Wintersemester 2010 (Stichtag: 31.12.2010)</t>
  </si>
  <si>
    <t>UI Wintersemester 2019 (Stichtag: 31.12.2019)</t>
  </si>
  <si>
    <t>UJ Wintersemester 2009 (Stichtag: 31.12.2009)</t>
  </si>
  <si>
    <t>UL Wintersemester 2011 (Stichtag: 31.12.2011)</t>
  </si>
  <si>
    <t>UN Wintersemester 2008 (Stichtag: 31.12.2008)</t>
  </si>
  <si>
    <t>UO Wintersemester 2006 (Stichtag: 31.12.2006)</t>
  </si>
  <si>
    <t>UO Wintersemester 2012 (Stichtag: 31.12.2012)</t>
  </si>
  <si>
    <t>UQ Wintersemester 2009 (Stichtag: 31.12.2009)</t>
  </si>
  <si>
    <t>UR Wintersemester 2007 (Stichtag: 31.12.2007)</t>
  </si>
  <si>
    <t>UR Wintersemester 2013 (Stichtag: 31.12.2013)</t>
  </si>
  <si>
    <t>US Wintersemester 2011 (Stichtag: 31.12.2011)</t>
  </si>
  <si>
    <t>UU Wintersemester 2008 (Stichtag: 31.12.2008)</t>
  </si>
  <si>
    <t>UV Wintersemester 2012 (Stichtag: 31.12.2012)</t>
  </si>
  <si>
    <t>UW Wintersemester 2010 (Stichtag: 31.12.2010)</t>
  </si>
  <si>
    <t>UA Wintersemester 2020 (Stichtag: 31.12.2020)</t>
  </si>
  <si>
    <t>UH Wintersemester 2020 (Stichtag: 31.12.2020)</t>
  </si>
  <si>
    <t>UD Wintersemester 2021 (Stichtag: 31.12.2021)</t>
  </si>
  <si>
    <t>UK Wintersemester 2021 (Stichtag: 31.12.2021)</t>
  </si>
  <si>
    <t>UG Wintersemester 2022 (Stichtag: 31.12.2022)</t>
  </si>
  <si>
    <t>UN Wintersemester 2022 (Stichtag: 31.12.2022)</t>
  </si>
  <si>
    <t>UJ Wintersemester 2023 (Stichtag: 31.12.2023)</t>
  </si>
  <si>
    <t>UQ Wintersemester 2023 (Stichtag: 31.12.2023)</t>
  </si>
  <si>
    <t>UM Wintersemester 2024 (Stichtag: 31.12.2024)</t>
  </si>
  <si>
    <t>UT Wintersemester 2024 (Stichtag: 31.12.2024)</t>
  </si>
  <si>
    <t>Measures</t>
  </si>
  <si>
    <t>darunter Ärzt/inn/e/n mit ausschließlichen Aufgaben in öffentlichen Krankenanstalten</t>
  </si>
  <si>
    <t>Wintersemester 2009 (Stichtag: 31.12.2009)</t>
  </si>
  <si>
    <t xml:space="preserve">         darunter Ärztinnen und Ärzte in Facharztausbildung</t>
  </si>
  <si>
    <t xml:space="preserve">         darunter Universitätsassistentinnen und -assistenten (KV) auf Laufbahnstelle gemäß § 13b Abs. 3 UG</t>
  </si>
  <si>
    <t xml:space="preserve">   Univ.f.Mus.u.darst.K.Wien</t>
  </si>
  <si>
    <t xml:space="preserve">   Veterinärmed.Univ.Wien</t>
  </si>
  <si>
    <t xml:space="preserve">   Universität Salzburg</t>
  </si>
  <si>
    <t>UT</t>
  </si>
  <si>
    <t>UA Wintersemester 2014 (Stichtag: 31.12.2014)</t>
  </si>
  <si>
    <t>UB Wintersemester 2012 (Stichtag: 31.12.2012)</t>
  </si>
  <si>
    <t>UD Wintersemester 2015 (Stichtag: 31.12.2015)</t>
  </si>
  <si>
    <t>UE Wintersemester 2013 (Stichtag: 31.12.2013)</t>
  </si>
  <si>
    <t>UG Wintersemester 2016 (Stichtag: 31.12.2016)</t>
  </si>
  <si>
    <t>UH Wintersemester 2014 (Stichtag: 31.12.2014)</t>
  </si>
  <si>
    <t>UJ Wintersemester 2017 (Stichtag: 31.12.2017)</t>
  </si>
  <si>
    <t>UK Wintersemester 2015 (Stichtag: 31.12.2015)</t>
  </si>
  <si>
    <t>UL Wintersemester 2013 (Stichtag: 31.12.2013)</t>
  </si>
  <si>
    <t>UM Wintersemester 2018 (Stichtag: 31.12.2018)</t>
  </si>
  <si>
    <t>UN Wintersemester 2016 (Stichtag: 31.12.2016)</t>
  </si>
  <si>
    <t>UO Wintersemester 2014 (Stichtag: 31.12.2014)</t>
  </si>
  <si>
    <t>UQ Wintersemester 2017 (Stichtag: 31.12.2017)</t>
  </si>
  <si>
    <t>UR Wintersemester 2015 (Stichtag: 31.12.2015)</t>
  </si>
  <si>
    <t>UT Wintersemester 2018 (Stichtag: 31.12.2018)</t>
  </si>
  <si>
    <t>UU Wintersemester 2016 (Stichtag: 31.12.2016)</t>
  </si>
  <si>
    <t>UV Wintersemester 2006 (Stichtag: 31.12.2006)</t>
  </si>
  <si>
    <t>UW Wintersemester 2019 (Stichtag: 31.12.2019)</t>
  </si>
  <si>
    <t>UO Wintersemester 2020 (Stichtag: 31.12.2020)</t>
  </si>
  <si>
    <t>UV Wintersemester 2020 (Stichtag: 31.12.2020)</t>
  </si>
  <si>
    <t>UR Wintersemester 2021 (Stichtag: 31.12.2021)</t>
  </si>
  <si>
    <t>UU Wintersemester 2022 (Stichtag: 31.12.2022)</t>
  </si>
  <si>
    <t>Wintersemester 2023 (Stichtag: 31.12.2023)</t>
  </si>
  <si>
    <t>Customer</t>
  </si>
  <si>
    <t>-All Customer</t>
  </si>
  <si>
    <t>Default Alternate Row Member Format --&gt;</t>
  </si>
  <si>
    <t xml:space="preserve">   Univ.f.Bodenkultur Wien</t>
  </si>
  <si>
    <t xml:space="preserve">   UG</t>
  </si>
  <si>
    <t xml:space="preserve">   Medizinische Universität Wien</t>
  </si>
  <si>
    <t xml:space="preserve">   UC</t>
  </si>
  <si>
    <t xml:space="preserve">   Universität für Musik und darstellende Kunst Graz</t>
  </si>
  <si>
    <t>Wintersemester 2017 (Stichtag: 31.12.2017)</t>
  </si>
  <si>
    <t xml:space="preserve">   Veterinärmedizinische Universität Wien</t>
  </si>
  <si>
    <t xml:space="preserve">   Technische Universität Wien</t>
  </si>
  <si>
    <t>UA</t>
  </si>
  <si>
    <t>UA Wintersemester 2008 (Stichtag: 31.12.2008)</t>
  </si>
  <si>
    <t>UB Wintersemester 2006 (Stichtag: 31.12.2006)</t>
  </si>
  <si>
    <t>UC Wintersemester 2010 (Stichtag: 31.12.2010)</t>
  </si>
  <si>
    <t>UC Wintersemester 2019 (Stichtag: 31.12.2019)</t>
  </si>
  <si>
    <t>UD Wintersemester 2009 (Stichtag: 31.12.2009)</t>
  </si>
  <si>
    <t>UE Wintersemester 2007 (Stichtag: 31.12.2007)</t>
  </si>
  <si>
    <t>UF Wintersemester 2011 (Stichtag: 31.12.2011)</t>
  </si>
  <si>
    <t>UH Wintersemester 2008 (Stichtag: 31.12.2008)</t>
  </si>
  <si>
    <t>UI Wintersemester 2006 (Stichtag: 31.12.2006)</t>
  </si>
  <si>
    <t>UI Wintersemester 2012 (Stichtag: 31.12.2012)</t>
  </si>
  <si>
    <t>UJ Wintersemester 2010 (Stichtag: 31.12.2010)</t>
  </si>
  <si>
    <t>UL Wintersemester 2007 (Stichtag: 31.12.2007)</t>
  </si>
  <si>
    <t>UM Wintersemester 2011 (Stichtag: 31.12.2011)</t>
  </si>
  <si>
    <t>UO Wintersemester 2008 (Stichtag: 31.12.2008)</t>
  </si>
  <si>
    <t>UQ Wintersemester 2010 (Stichtag: 31.12.2010)</t>
  </si>
  <si>
    <t>UR Wintersemester 2009 (Stichtag: 31.12.2009)</t>
  </si>
  <si>
    <t>US Wintersemester 2013 (Stichtag: 31.12.2013)</t>
  </si>
  <si>
    <t>UT Wintersemester 2011 (Stichtag: 31.12.2011)</t>
  </si>
  <si>
    <t>UV Wintersemester 2014 (Stichtag: 31.12.2014)</t>
  </si>
  <si>
    <t>UW Wintersemester 2012 (Stichtag: 31.12.2012)</t>
  </si>
  <si>
    <t>UB Wintersemester 2020 (Stichtag: 31.12.2020)</t>
  </si>
  <si>
    <t>UE Wintersemester 2021 (Stichtag: 31.12.2021)</t>
  </si>
  <si>
    <t>UA Wintersemester 2022 (Stichtag: 31.12.2022)</t>
  </si>
  <si>
    <t>UH Wintersemester 2022 (Stichtag: 31.12.2022)</t>
  </si>
  <si>
    <t>UD Wintersemester 2023 (Stichtag: 31.12.2023)</t>
  </si>
  <si>
    <t>UK Wintersemester 2023 (Stichtag: 31.12.2023)</t>
  </si>
  <si>
    <t>UR Wintersemester 2023 (Stichtag: 31.12.2023)</t>
  </si>
  <si>
    <t>UG Wintersemester 2024 (Stichtag: 31.12.2024)</t>
  </si>
  <si>
    <t>UN Wintersemester 2024 (Stichtag: 31.12.2024)</t>
  </si>
  <si>
    <t>UU Wintersemester 2024 (Stichtag: 31.12.2024)</t>
  </si>
  <si>
    <t>Slicer Item</t>
  </si>
  <si>
    <t>&lt;-- default Slicer Member Format</t>
  </si>
  <si>
    <t>Default Row Member Format --&gt;</t>
  </si>
  <si>
    <t>Grid/Table Name</t>
  </si>
  <si>
    <t>Wintersemester 2010 (Stichtag: 31.12.2010)</t>
  </si>
  <si>
    <t>[Measures]</t>
  </si>
  <si>
    <t xml:space="preserve">   UO</t>
  </si>
  <si>
    <t xml:space="preserve">   Univ.Mozarteum Salzburg</t>
  </si>
  <si>
    <t xml:space="preserve">   UK</t>
  </si>
  <si>
    <t xml:space="preserve">         darunter Ärzt/inn/e/n mit ausschließlichen Aufgaben in öffentlichen Krankenanstalten</t>
  </si>
  <si>
    <t xml:space="preserve">         Dozentinnen und Dozenten</t>
  </si>
  <si>
    <t>UE</t>
  </si>
  <si>
    <t>UI</t>
  </si>
  <si>
    <t>UA Wintersemester 2016 (Stichtag: 31.12.2016)</t>
  </si>
  <si>
    <t>UB Wintersemester 2014 (Stichtag: 31.12.2014)</t>
  </si>
  <si>
    <t>UD Wintersemester 2017 (Stichtag: 31.12.2017)</t>
  </si>
  <si>
    <t>UE Wintersemester 2015 (Stichtag: 31.12.2015)</t>
  </si>
  <si>
    <t>UF Wintersemester 2013 (Stichtag: 31.12.2013)</t>
  </si>
  <si>
    <t>UG Wintersemester 2018 (Stichtag: 31.12.2018)</t>
  </si>
  <si>
    <t>UH Wintersemester 2016 (Stichtag: 31.12.2016)</t>
  </si>
  <si>
    <t>UI Wintersemester 2014 (Stichtag: 31.12.2014)</t>
  </si>
  <si>
    <t>UJ Wintersemester 2019 (Stichtag: 31.12.2019)</t>
  </si>
  <si>
    <t>UK Wintersemester 2017 (Stichtag: 31.12.2017)</t>
  </si>
  <si>
    <t>UL Wintersemester 2015 (Stichtag: 31.12.2015)</t>
  </si>
  <si>
    <t>UN Wintersemester 2018 (Stichtag: 31.12.2018)</t>
  </si>
  <si>
    <t>UO Wintersemester 2016 (Stichtag: 31.12.2016)</t>
  </si>
  <si>
    <t>UQ Wintersemester 2019 (Stichtag: 31.12.2019)</t>
  </si>
  <si>
    <t>UR Wintersemester 2017 (Stichtag: 31.12.2017)</t>
  </si>
  <si>
    <t>US Wintersemester 2007 (Stichtag: 31.12.2007)</t>
  </si>
  <si>
    <t>UU Wintersemester 2018 (Stichtag: 31.12.2018)</t>
  </si>
  <si>
    <t>UV Wintersemester 2008 (Stichtag: 31.12.2008)</t>
  </si>
  <si>
    <t>UW Wintersemester 2006 (Stichtag: 31.12.2006)</t>
  </si>
  <si>
    <t>UI Wintersemester 2020 (Stichtag: 31.12.2020)</t>
  </si>
  <si>
    <t>UW Wintersemester 2020 (Stichtag: 31.12.2020)</t>
  </si>
  <si>
    <t>UL Wintersemester 2021 (Stichtag: 31.12.2021)</t>
  </si>
  <si>
    <t>US Wintersemester 2021 (Stichtag: 31.12.2021)</t>
  </si>
  <si>
    <t>UO Wintersemester 2022 (Stichtag: 31.12.2022)</t>
  </si>
  <si>
    <t>UV Wintersemester 2022 (Stichtag: 31.12.2022)</t>
  </si>
  <si>
    <t>WS2024</t>
  </si>
  <si>
    <t>&lt;-- writeable Slicer Member Format</t>
  </si>
  <si>
    <t>Slice Format 1</t>
  </si>
  <si>
    <t>&lt;-- Gesamtzeile</t>
  </si>
  <si>
    <t>3) Formatierung der Gesamtspalte und -zeile (siehe E25:E26)</t>
  </si>
  <si>
    <t>[PU Verwendung].[Verwendungskategorien WBV]</t>
  </si>
  <si>
    <t>darunter Krankenpflege im Rahmen einer öffentlichen Krankenanstalt</t>
  </si>
  <si>
    <t xml:space="preserve">   US</t>
  </si>
  <si>
    <t xml:space="preserve">   Montanuniversität Leoben</t>
  </si>
  <si>
    <t xml:space="preserve">   Medizinische Univ.Wien</t>
  </si>
  <si>
    <t xml:space="preserve">   UW</t>
  </si>
  <si>
    <t>Wintersemester 2019 (Stichtag: 31.12.2019)</t>
  </si>
  <si>
    <t>UQ</t>
  </si>
  <si>
    <t>UM</t>
  </si>
  <si>
    <t>UB Wintersemester 2008 (Stichtag: 31.12.2008)</t>
  </si>
  <si>
    <t>UC Wintersemester 2006 (Stichtag: 31.12.2006)</t>
  </si>
  <si>
    <t>UC Wintersemester 2012 (Stichtag: 31.12.2012)</t>
  </si>
  <si>
    <t>UD Wintersemester 2010 (Stichtag: 31.12.2010)</t>
  </si>
  <si>
    <t>UE Wintersemester 2009 (Stichtag: 31.12.2009)</t>
  </si>
  <si>
    <t>UF Wintersemester 2007 (Stichtag: 31.12.2007)</t>
  </si>
  <si>
    <t>UG Wintersemester 2011 (Stichtag: 31.12.2011)</t>
  </si>
  <si>
    <t>UI Wintersemester 2008 (Stichtag: 31.12.2008)</t>
  </si>
  <si>
    <t>UJ Wintersemester 2012 (Stichtag: 31.12.2012)</t>
  </si>
  <si>
    <t>UK Wintersemester 2010 (Stichtag: 31.12.2010)</t>
  </si>
  <si>
    <t>UL Wintersemester 2009 (Stichtag: 31.12.2009)</t>
  </si>
  <si>
    <t>UM Wintersemester 2013 (Stichtag: 31.12.2013)</t>
  </si>
  <si>
    <t>UN Wintersemester 2011 (Stichtag: 31.12.2011)</t>
  </si>
  <si>
    <t>UQ Wintersemester 2012 (Stichtag: 31.12.2012)</t>
  </si>
  <si>
    <t>US Wintersemester 2015 (Stichtag: 31.12.2015)</t>
  </si>
  <si>
    <t>UT Wintersemester 2013 (Stichtag: 31.12.2013)</t>
  </si>
  <si>
    <t>UV Wintersemester 2016 (Stichtag: 31.12.2016)</t>
  </si>
  <si>
    <t>UW Wintersemester 2014 (Stichtag: 31.12.2014)</t>
  </si>
  <si>
    <t>UB Wintersemester 2022 (Stichtag: 31.12.2022)</t>
  </si>
  <si>
    <t>UE Wintersemester 2023 (Stichtag: 31.12.2023)</t>
  </si>
  <si>
    <t>UL Wintersemester 2023 (Stichtag: 31.12.2023)</t>
  </si>
  <si>
    <t>UA Wintersemester 2024 (Stichtag: 31.12.2024)</t>
  </si>
  <si>
    <t>UH Wintersemester 2024 (Stichtag: 31.12.2024)</t>
  </si>
  <si>
    <t>UO Wintersemester 2024 (Stichtag: 31.12.2024)</t>
  </si>
  <si>
    <t>Slicer Button</t>
  </si>
  <si>
    <t>+2009</t>
  </si>
  <si>
    <t>&lt;-- default alternate row cell format</t>
  </si>
  <si>
    <t>&lt;--  written cell format</t>
  </si>
  <si>
    <t>Wintersemester 2012 (Stichtag: 31.12.2012)</t>
  </si>
  <si>
    <t>Anmerkung: Aufgrund von Änderungen in den Erhebungsmethoden sind die Indikatorwerte im zeitlichen Verlauf nicht immer direkt vergleichbar.</t>
  </si>
  <si>
    <t xml:space="preserve">   Universität Wien</t>
  </si>
  <si>
    <t xml:space="preserve">   Wirtschaftsuniversität Wien</t>
  </si>
  <si>
    <t>UU</t>
  </si>
  <si>
    <t>UA Wintersemester 2018 (Stichtag: 31.12.2018)</t>
  </si>
  <si>
    <t>UB Wintersemester 2016 (Stichtag: 31.12.2016)</t>
  </si>
  <si>
    <t>UC Wintersemester 2014 (Stichtag: 31.12.2014)</t>
  </si>
  <si>
    <t>UD Wintersemester 2019 (Stichtag: 31.12.2019)</t>
  </si>
  <si>
    <t>UE Wintersemester 2017 (Stichtag: 31.12.2017)</t>
  </si>
  <si>
    <t>UF Wintersemester 2015 (Stichtag: 31.12.2015)</t>
  </si>
  <si>
    <t>UH Wintersemester 2018 (Stichtag: 31.12.2018)</t>
  </si>
  <si>
    <t>UI Wintersemester 2016 (Stichtag: 31.12.2016)</t>
  </si>
  <si>
    <t>UJ Wintersemester 2006 (Stichtag: 31.12.2006)</t>
  </si>
  <si>
    <t>UK Wintersemester 2019 (Stichtag: 31.12.2019)</t>
  </si>
  <si>
    <t>UL Wintersemester 2017 (Stichtag: 31.12.2017)</t>
  </si>
  <si>
    <t>UM Wintersemester 2007 (Stichtag: 31.12.2007)</t>
  </si>
  <si>
    <t>UO Wintersemester 2018 (Stichtag: 31.12.2018)</t>
  </si>
  <si>
    <t>UQ Wintersemester 2006 (Stichtag: 31.12.2006)</t>
  </si>
  <si>
    <t>UR Wintersemester 2010 (Stichtag: 31.12.2010)</t>
  </si>
  <si>
    <t>UR Wintersemester 2019 (Stichtag: 31.12.2019)</t>
  </si>
  <si>
    <t>US Wintersemester 2009 (Stichtag: 31.12.2009)</t>
  </si>
  <si>
    <t>UT Wintersemester 2007 (Stichtag: 31.12.2007)</t>
  </si>
  <si>
    <t>UU Wintersemester 2011 (Stichtag: 31.12.2011)</t>
  </si>
  <si>
    <t>UW Wintersemester 2008 (Stichtag: 31.12.2008)</t>
  </si>
  <si>
    <t>UC Wintersemester 2020 (Stichtag: 31.12.2020)</t>
  </si>
  <si>
    <t>UJ Wintersemester 2020 (Stichtag: 31.12.2020)</t>
  </si>
  <si>
    <t>UQ Wintersemester 2020 (Stichtag: 31.12.2020)</t>
  </si>
  <si>
    <t>UF Wintersemester 2021 (Stichtag: 31.12.2021)</t>
  </si>
  <si>
    <t>UM Wintersemester 2021 (Stichtag: 31.12.2021)</t>
  </si>
  <si>
    <t>UT Wintersemester 2021 (Stichtag: 31.12.2021)</t>
  </si>
  <si>
    <t>UI Wintersemester 2022 (Stichtag: 31.12.2022)</t>
  </si>
  <si>
    <t>UW Wintersemester 2022 (Stichtag: 31.12.2022)</t>
  </si>
  <si>
    <t>US Wintersemester 2023 (Stichtag: 31.12.2023)</t>
  </si>
  <si>
    <t>UV Wintersemester 2024 (Stichtag: 31.12.2024)</t>
  </si>
  <si>
    <t>Display Formats For:</t>
  </si>
  <si>
    <t>Enabled?</t>
  </si>
  <si>
    <t>&lt;-- Gesamtspalte</t>
  </si>
  <si>
    <t>bereinigte Kopfzahlen</t>
  </si>
  <si>
    <t xml:space="preserve">   UD</t>
  </si>
  <si>
    <t xml:space="preserve">   Univ.f.angew.Kunst Wien</t>
  </si>
  <si>
    <t>UA Wintersemester 2011 (Stichtag: 31.12.2011)</t>
  </si>
  <si>
    <t>UC Wintersemester 2008 (Stichtag: 31.12.2008)</t>
  </si>
  <si>
    <t>UD Wintersemester 2012 (Stichtag: 31.12.2012)</t>
  </si>
  <si>
    <t>UE Wintersemester 2010 (Stichtag: 31.12.2010)</t>
  </si>
  <si>
    <t>UF Wintersemester 2009 (Stichtag: 31.12.2009)</t>
  </si>
  <si>
    <t>UG Wintersemester 2013 (Stichtag: 31.12.2013)</t>
  </si>
  <si>
    <t>UH Wintersemester 2011 (Stichtag: 31.12.2011)</t>
  </si>
  <si>
    <t>UJ Wintersemester 2014 (Stichtag: 31.12.2014)</t>
  </si>
  <si>
    <t>UK Wintersemester 2012 (Stichtag: 31.12.2012)</t>
  </si>
  <si>
    <t>UM Wintersemester 2015 (Stichtag: 31.12.2015)</t>
  </si>
  <si>
    <t>UN Wintersemester 2013 (Stichtag: 31.12.2013)</t>
  </si>
  <si>
    <t>UQ Wintersemester 2014 (Stichtag: 31.12.2014)</t>
  </si>
  <si>
    <t>US Wintersemester 2017 (Stichtag: 31.12.2017)</t>
  </si>
  <si>
    <t>UT Wintersemester 2015 (Stichtag: 31.12.2015)</t>
  </si>
  <si>
    <t>UV Wintersemester 2018 (Stichtag: 31.12.2018)</t>
  </si>
  <si>
    <t>UW Wintersemester 2016 (Stichtag: 31.12.2016)</t>
  </si>
  <si>
    <t>Alle Verwendungen gemäß Z 3.6 der Anlage 9 UHSBV</t>
  </si>
  <si>
    <t>Wintersemester 2020 (Stichtag: 31.12.2020)</t>
  </si>
  <si>
    <t>UC Wintersemester 2022 (Stichtag: 31.12.2022)</t>
  </si>
  <si>
    <t>UF Wintersemester 2023 (Stichtag: 31.12.2023)</t>
  </si>
  <si>
    <t>Datenprüfung: bmfwf, Abt. I/2</t>
  </si>
  <si>
    <t>UB Wintersemester 2024 (Stichtag: 31.12.2024)</t>
  </si>
  <si>
    <t>UI Wintersemester 2024 (Stichtag: 31.12.2024)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</si>
  <si>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</si>
  <si>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</si>
  <si>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</si>
  <si>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</si>
  <si>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</si>
  <si>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</si>
  <si>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Universität (Langtext)</t>
  </si>
  <si>
    <t xml:space="preserve">   Universität für angewandte Kunst Wien</t>
  </si>
  <si>
    <t xml:space="preserve">   Techn.Universität Graz</t>
  </si>
  <si>
    <t xml:space="preserve">   UL</t>
  </si>
  <si>
    <t>Wintersemester 2014 (Stichtag: 31.12.2014)</t>
  </si>
  <si>
    <t xml:space="preserve">   UH</t>
  </si>
  <si>
    <t xml:space="preserve">   Akademie der bildenden Künste Wien</t>
  </si>
  <si>
    <t>UB</t>
  </si>
  <si>
    <t>UF</t>
  </si>
  <si>
    <t>UJ</t>
  </si>
  <si>
    <t>UB Wintersemester 2018 (Stichtag: 31.12.2018)</t>
  </si>
  <si>
    <t>UC Wintersemester 2016 (Stichtag: 31.12.2016)</t>
  </si>
  <si>
    <t>UD Wintersemester 2006 (Stichtag: 31.12.2006)</t>
  </si>
  <si>
    <t>UE Wintersemester 2019 (Stichtag: 31.12.2019)</t>
  </si>
  <si>
    <t>UF Wintersemester 2017 (Stichtag: 31.12.2017)</t>
  </si>
  <si>
    <t>UG Wintersemester 2007 (Stichtag: 31.12.2007)</t>
  </si>
  <si>
    <t>UI Wintersemester 2018 (Stichtag: 31.12.2018)</t>
  </si>
  <si>
    <t>UJ Wintersemester 2008 (Stichtag: 31.12.2008)</t>
  </si>
  <si>
    <t>UL Wintersemester 2010 (Stichtag: 31.12.2010)</t>
  </si>
  <si>
    <t>UL Wintersemester 2019 (Stichtag: 31.12.2019)</t>
  </si>
  <si>
    <t>UM Wintersemester 2009 (Stichtag: 31.12.2009)</t>
  </si>
  <si>
    <t>UN Wintersemester 2007 (Stichtag: 31.12.2007)</t>
  </si>
  <si>
    <t>UO Wintersemester 2011 (Stichtag: 31.12.2011)</t>
  </si>
  <si>
    <t>UQ Wintersemester 2008 (Stichtag: 31.12.2008)</t>
  </si>
  <si>
    <t>UR Wintersemester 2006 (Stichtag: 31.12.2006)</t>
  </si>
  <si>
    <t>UR Wintersemester 2012 (Stichtag: 31.12.2012)</t>
  </si>
  <si>
    <t>US Wintersemester 2010 (Stichtag: 31.12.2010)</t>
  </si>
  <si>
    <t>UT Wintersemester 2009 (Stichtag: 31.12.2009)</t>
  </si>
  <si>
    <t>UU Wintersemester 2007 (Stichtag: 31.12.2007)</t>
  </si>
  <si>
    <t>UU Wintersemester 2013 (Stichtag: 31.12.2013)</t>
  </si>
  <si>
    <t>UV Wintersemester 2011 (Stichtag: 31.12.2011)</t>
  </si>
  <si>
    <t>UD Wintersemester 2020 (Stichtag: 31.12.2020)</t>
  </si>
  <si>
    <t>UK Wintersemester 2020 (Stichtag: 31.12.2020)</t>
  </si>
  <si>
    <t>UG Wintersemester 2021 (Stichtag: 31.12.2021)</t>
  </si>
  <si>
    <t>UN Wintersemester 2021 (Stichtag: 31.12.2021)</t>
  </si>
  <si>
    <t>UJ Wintersemester 2022 (Stichtag: 31.12.2022)</t>
  </si>
  <si>
    <t>UQ Wintersemester 2022 (Stichtag: 31.12.2022)</t>
  </si>
  <si>
    <t>UM Wintersemester 2023 (Stichtag: 31.12.2023)</t>
  </si>
  <si>
    <t>UT Wintersemester 2023 (Stichtag: 31.12.2023)</t>
  </si>
  <si>
    <t>UW Wintersemester 2024 (Stichtag: 31.12.2024)</t>
  </si>
  <si>
    <t>Marital Status</t>
  </si>
  <si>
    <t>Default Writeable Member Format --&gt;</t>
  </si>
  <si>
    <t>Slice Format 2</t>
  </si>
  <si>
    <t>Universität (Codex)</t>
  </si>
  <si>
    <t xml:space="preserve">         Assoziierte Professorinnen und Professoren (KV)</t>
  </si>
  <si>
    <t xml:space="preserve">   Akad.d.bild.Künste Wien</t>
  </si>
  <si>
    <t xml:space="preserve">   UT</t>
  </si>
  <si>
    <t xml:space="preserve">   Universität für Musik und darstellende Kunst Wien</t>
  </si>
  <si>
    <t xml:space="preserve">   Universität für Bodenkultur Wien</t>
  </si>
  <si>
    <t xml:space="preserve">   Universität für künstlerische und industrielle Gestaltung Linz</t>
  </si>
  <si>
    <t>UN</t>
  </si>
  <si>
    <t>UA Wintersemester 2013 (Stichtag: 31.12.2013)</t>
  </si>
  <si>
    <t>UR</t>
  </si>
  <si>
    <t>UB Wintersemester 2011 (Stichtag: 31.12.2011)</t>
  </si>
  <si>
    <t>UD Wintersemester 2014 (Stichtag: 31.12.2014)</t>
  </si>
  <si>
    <t>UE Wintersemester 2012 (Stichtag: 31.12.2012)</t>
  </si>
  <si>
    <t>UG Wintersemester 2015 (Stichtag: 31.12.2015)</t>
  </si>
  <si>
    <t>UH Wintersemester 2013 (Stichtag: 31.12.2013)</t>
  </si>
  <si>
    <t>UJ Wintersemester 2016 (Stichtag: 31.12.2016)</t>
  </si>
  <si>
    <t>UK Wintersemester 2014 (Stichtag: 31.12.2014)</t>
  </si>
  <si>
    <t>UM Wintersemester 2017 (Stichtag: 31.12.2017)</t>
  </si>
  <si>
    <t>UN Wintersemester 2015 (Stichtag: 31.12.2015)</t>
  </si>
  <si>
    <t>UO Wintersemester 2013 (Stichtag: 31.12.2013)</t>
  </si>
  <si>
    <t>UQ Wintersemester 2016 (Stichtag: 31.12.2016)</t>
  </si>
  <si>
    <t>UR Wintersemester 2014 (Stichtag: 31.12.2014)</t>
  </si>
  <si>
    <t>US Wintersemester 2019 (Stichtag: 31.12.2019)</t>
  </si>
  <si>
    <t>UT Wintersemester 2017 (Stichtag: 31.12.2017)</t>
  </si>
  <si>
    <t>UU Wintersemester 2015 (Stichtag: 31.12.2015)</t>
  </si>
  <si>
    <t>UW Wintersemester 2018 (Stichtag: 31.12.2018)</t>
  </si>
  <si>
    <t>UR Wintersemester 2020 (Stichtag: 31.12.2020)</t>
  </si>
  <si>
    <t>Quelle: Datenmeldungen der Universitäten auf Basis UHSBV zum jeweiligen Stichtag</t>
  </si>
  <si>
    <t>UU Wintersemester 2021 (Stichtag: 31.12.2021)</t>
  </si>
  <si>
    <t>Wintersemester 2022 (Stichtag: 31.12.2022)</t>
  </si>
  <si>
    <t>UC Wintersemester 2024 (Stichtag: 31.12.2024)</t>
  </si>
  <si>
    <t>Writeable Member</t>
  </si>
  <si>
    <t>Wissensbilanz</t>
  </si>
  <si>
    <t xml:space="preserve">   Universität Klagenfurt</t>
  </si>
  <si>
    <t>Wintersemester 2016 (Stichtag: 31.12.2016)</t>
  </si>
  <si>
    <t>UA Wintersemester 2007 (Stichtag: 31.12.2007)</t>
  </si>
  <si>
    <t>UV</t>
  </si>
  <si>
    <t>UC Wintersemester 2018 (Stichtag: 31.12.2018)</t>
  </si>
  <si>
    <t>UD Wintersemester 2008 (Stichtag: 31.12.2008)</t>
  </si>
  <si>
    <t>UE Wintersemester 2006 (Stichtag: 31.12.2006)</t>
  </si>
  <si>
    <t>UF Wintersemester 2010 (Stichtag: 31.12.2010)</t>
  </si>
  <si>
    <t>UF Wintersemester 2019 (Stichtag: 31.12.2019)</t>
  </si>
  <si>
    <t>UG Wintersemester 2009 (Stichtag: 31.12.2009)</t>
  </si>
  <si>
    <t>UH Wintersemester 2007 (Stichtag: 31.12.2007)</t>
  </si>
  <si>
    <t>UI Wintersemester 2011 (Stichtag: 31.12.2011)</t>
  </si>
  <si>
    <t>UL Wintersemester 2006 (Stichtag: 31.12.2006)</t>
  </si>
  <si>
    <t>UL Wintersemester 2012 (Stichtag: 31.12.2012)</t>
  </si>
  <si>
    <t>UM Wintersemester 2010 (Stichtag: 31.12.2010)</t>
  </si>
  <si>
    <t>UN Wintersemester 2009 (Stichtag: 31.12.2009)</t>
  </si>
  <si>
    <t>UO Wintersemester 2007 (Stichtag: 31.12.2007)</t>
  </si>
  <si>
    <t>UR Wintersemester 2008 (Stichtag: 31.12.2008)</t>
  </si>
  <si>
    <t>US Wintersemester 2012 (Stichtag: 31.12.2012)</t>
  </si>
  <si>
    <t>UT Wintersemester 2010 (Stichtag: 31.12.2010)</t>
  </si>
  <si>
    <t>UU Wintersemester 2009 (Stichtag: 31.12.2009)</t>
  </si>
  <si>
    <t>UV Wintersemester 2013 (Stichtag: 31.12.2013)</t>
  </si>
  <si>
    <t>UW Wintersemester 2011 (Stichtag: 31.12.2011)</t>
  </si>
  <si>
    <t>UE Wintersemester 2020 (Stichtag: 31.12.2020)</t>
  </si>
  <si>
    <t>UA Wintersemester 2021 (Stichtag: 31.12.2021)</t>
  </si>
  <si>
    <t>UH Wintersemester 2021 (Stichtag: 31.12.2021)</t>
  </si>
  <si>
    <t>UD Wintersemester 2022 (Stichtag: 31.12.2022)</t>
  </si>
  <si>
    <t>UK Wintersemester 2022 (Stichtag: 31.12.2022)</t>
  </si>
  <si>
    <t>UG Wintersemester 2023 (Stichtag: 31.12.2023)</t>
  </si>
  <si>
    <t>UN Wintersemester 2023 (Stichtag: 31.12.2023)</t>
  </si>
  <si>
    <t>UU Wintersemester 2023 (Stichtag: 31.12.2023)</t>
  </si>
  <si>
    <t>UJ Wintersemester 2024 (Stichtag: 31.12.2024)</t>
  </si>
  <si>
    <t>UQ Wintersemester 2024 (Stichtag: 31.12.2024)</t>
  </si>
  <si>
    <t>(Members of Beschäftigungsausmaß in Prozent) - (0, Ausgeschieden, Fehler, Keine Angabe, Unknown)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</si>
  <si>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</si>
  <si>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</si>
  <si>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</si>
  <si>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</si>
  <si>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</si>
  <si>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Geschlecht</t>
  </si>
  <si>
    <t>Interpretation</t>
  </si>
  <si>
    <t xml:space="preserve">   UE</t>
  </si>
  <si>
    <t xml:space="preserve">   UA</t>
  </si>
  <si>
    <t>Nähere Informationen zu den Kennzahlen bzw. deren Definition finden sich in der aktuellen Ausgabe des Arbeitsbehelfs zur Wissensbilanz-Verordnung.</t>
  </si>
  <si>
    <t xml:space="preserve">   Univ.künst.u.i.Gest.Linz</t>
  </si>
  <si>
    <t xml:space="preserve">   Medizin.Univ.Innsbruck</t>
  </si>
  <si>
    <t>UA Wintersemester 2015 (Stichtag: 31.12.2015)</t>
  </si>
  <si>
    <t>UB Wintersemester 2013 (Stichtag: 31.12.2013)</t>
  </si>
  <si>
    <t>UD Wintersemester 2016 (Stichtag: 31.12.2016)</t>
  </si>
  <si>
    <t>UE Wintersemester 2014 (Stichtag: 31.12.2014)</t>
  </si>
  <si>
    <t>UG Wintersemester 2017 (Stichtag: 31.12.2017)</t>
  </si>
  <si>
    <t>UH Wintersemester 2015 (Stichtag: 31.12.2015)</t>
  </si>
  <si>
    <t>UI Wintersemester 2013 (Stichtag: 31.12.2013)</t>
  </si>
  <si>
    <t>UJ Wintersemester 2018 (Stichtag: 31.12.2018)</t>
  </si>
  <si>
    <t>UK Wintersemester 2016 (Stichtag: 31.12.2016)</t>
  </si>
  <si>
    <t>UL Wintersemester 2014 (Stichtag: 31.12.2014)</t>
  </si>
  <si>
    <t>UM Wintersemester 2019 (Stichtag: 31.12.2019)</t>
  </si>
  <si>
    <t>UN Wintersemester 2017 (Stichtag: 31.12.2017)</t>
  </si>
  <si>
    <t>UO Wintersemester 2015 (Stichtag: 31.12.2015)</t>
  </si>
  <si>
    <t>UQ Wintersemester 2018 (Stichtag: 31.12.2018)</t>
  </si>
  <si>
    <t>UR Wintersemester 2016 (Stichtag: 31.12.2016)</t>
  </si>
  <si>
    <t>US Wintersemester 2006 (Stichtag: 31.12.2006)</t>
  </si>
  <si>
    <t>UT Wintersemester 2019 (Stichtag: 31.12.2019)</t>
  </si>
  <si>
    <t>UU Wintersemester 2017 (Stichtag: 31.12.2017)</t>
  </si>
  <si>
    <t>UV Wintersemester 2007 (Stichtag: 31.12.2007)</t>
  </si>
  <si>
    <t>UL Wintersemester 2020 (Stichtag: 31.12.2020)</t>
  </si>
  <si>
    <t>US Wintersemester 2020 (Stichtag: 31.12.2020)</t>
  </si>
  <si>
    <t>UO Wintersemester 2021 (Stichtag: 31.12.2021)</t>
  </si>
  <si>
    <t>UV Wintersemester 2021 (Stichtag: 31.12.2021)</t>
  </si>
  <si>
    <t>UR Wintersemester 2022 (Stichtag: 31.12.2022)</t>
  </si>
  <si>
    <t>Wintersemester 2024 (Stichtag: 31.12.2024)</t>
  </si>
</sst>
</file>

<file path=xl/styles.xml><?xml version="1.0" encoding="utf-8"?>
<styleSheet xmlns="http://schemas.openxmlformats.org/spreadsheetml/2006/main">
  <numFmts count="1">
    <numFmt numFmtId="164" formatCode=";;;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98474074526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3" fontId="2" fillId="0" borderId="1" xfId="0" applyNumberFormat="1" applyFont="1" applyFill="1" applyBorder="1" applyAlignment="1" applyProtection="1">
      <alignment horizontal="right"/>
    </xf>
    <xf numFmtId="3" fontId="2" fillId="2" borderId="1" xfId="0" applyNumberFormat="1" applyFont="1" applyFill="1" applyBorder="1" applyAlignment="1" applyProtection="1">
      <alignment horizontal="right"/>
    </xf>
    <xf numFmtId="3" fontId="2" fillId="0" borderId="1" xfId="0" quotePrefix="1" applyNumberFormat="1" applyFont="1" applyFill="1" applyBorder="1" applyAlignment="1" applyProtection="1">
      <alignment horizontal="right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top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/>
    <xf numFmtId="0" fontId="5" fillId="3" borderId="2" xfId="0" quotePrefix="1" applyFont="1" applyFill="1" applyBorder="1" applyAlignment="1" applyProtection="1"/>
    <xf numFmtId="0" fontId="6" fillId="0" borderId="0" xfId="0" applyFont="1"/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left" vertical="top"/>
    </xf>
    <xf numFmtId="0" fontId="8" fillId="4" borderId="0" xfId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NumberFormat="1" applyFont="1" applyAlignment="1"/>
    <xf numFmtId="0" fontId="2" fillId="0" borderId="1" xfId="0" quotePrefix="1" applyFont="1" applyFill="1" applyBorder="1" applyAlignment="1" applyProtection="1">
      <alignment horizontal="center" vertical="center"/>
    </xf>
    <xf numFmtId="0" fontId="11" fillId="0" borderId="0" xfId="0" applyFont="1"/>
    <xf numFmtId="0" fontId="2" fillId="0" borderId="1" xfId="0" applyFont="1" applyFill="1" applyBorder="1" applyAlignment="1" applyProtection="1">
      <alignment horizontal="center" wrapText="1"/>
    </xf>
    <xf numFmtId="0" fontId="12" fillId="0" borderId="0" xfId="1" applyFont="1"/>
    <xf numFmtId="0" fontId="2" fillId="0" borderId="1" xfId="0" quotePrefix="1" applyFont="1" applyFill="1" applyBorder="1" applyAlignment="1" applyProtection="1">
      <alignment vertical="center"/>
    </xf>
    <xf numFmtId="0" fontId="13" fillId="5" borderId="0" xfId="0" applyFont="1" applyFill="1" applyAlignment="1"/>
    <xf numFmtId="0" fontId="14" fillId="0" borderId="0" xfId="0" applyFont="1"/>
    <xf numFmtId="0" fontId="12" fillId="5" borderId="0" xfId="1" applyFont="1" applyFill="1"/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applyFill="1" applyBorder="1" applyAlignment="1"/>
    <xf numFmtId="3" fontId="2" fillId="0" borderId="1" xfId="0" applyNumberFormat="1" applyFont="1" applyBorder="1" applyAlignment="1" applyProtection="1"/>
    <xf numFmtId="0" fontId="10" fillId="0" borderId="0" xfId="0" applyFont="1"/>
    <xf numFmtId="0" fontId="2" fillId="0" borderId="3" xfId="0" applyFont="1" applyBorder="1" applyAlignment="1" applyProtection="1">
      <alignment horizontal="center" vertical="center"/>
    </xf>
    <xf numFmtId="0" fontId="10" fillId="0" borderId="0" xfId="0" applyNumberFormat="1" applyFont="1" applyFill="1" applyBorder="1" applyAlignment="1"/>
    <xf numFmtId="2" fontId="10" fillId="0" borderId="0" xfId="0" applyNumberFormat="1" applyFont="1"/>
    <xf numFmtId="3" fontId="10" fillId="6" borderId="0" xfId="0" applyNumberFormat="1" applyFont="1" applyFill="1" applyAlignment="1"/>
    <xf numFmtId="0" fontId="10" fillId="7" borderId="0" xfId="0" applyNumberFormat="1" applyFont="1" applyFill="1" applyAlignment="1"/>
    <xf numFmtId="0" fontId="2" fillId="0" borderId="3" xfId="0" applyFont="1" applyBorder="1" applyAlignment="1" applyProtection="1">
      <alignment vertical="center"/>
    </xf>
    <xf numFmtId="0" fontId="15" fillId="0" borderId="0" xfId="0" applyFont="1"/>
    <xf numFmtId="0" fontId="2" fillId="0" borderId="4" xfId="0" applyFont="1" applyBorder="1" applyAlignment="1" applyProtection="1">
      <alignment horizontal="right" vertical="center"/>
    </xf>
    <xf numFmtId="3" fontId="10" fillId="7" borderId="0" xfId="0" applyNumberFormat="1" applyFont="1" applyFill="1" applyAlignment="1"/>
    <xf numFmtId="0" fontId="8" fillId="4" borderId="5" xfId="1" applyFont="1" applyFill="1" applyBorder="1" applyAlignment="1">
      <alignment horizontal="center"/>
    </xf>
    <xf numFmtId="0" fontId="10" fillId="0" borderId="0" xfId="0" quotePrefix="1" applyFont="1"/>
    <xf numFmtId="0" fontId="2" fillId="0" borderId="3" xfId="0" applyFont="1" applyBorder="1" applyAlignment="1" applyProtection="1">
      <alignment horizontal="left" vertical="top"/>
    </xf>
    <xf numFmtId="0" fontId="14" fillId="0" borderId="6" xfId="0" applyFont="1" applyFill="1" applyBorder="1" applyAlignment="1">
      <alignment vertical="center"/>
    </xf>
    <xf numFmtId="0" fontId="2" fillId="0" borderId="7" xfId="0" applyFont="1" applyBorder="1" applyAlignment="1" applyProtection="1">
      <alignment horizontal="center" wrapText="1"/>
    </xf>
    <xf numFmtId="0" fontId="0" fillId="0" borderId="0" xfId="0" applyFont="1"/>
    <xf numFmtId="3" fontId="4" fillId="0" borderId="0" xfId="0" applyNumberFormat="1" applyFont="1" applyFill="1" applyAlignment="1"/>
    <xf numFmtId="0" fontId="10" fillId="0" borderId="0" xfId="0" applyFont="1" applyFill="1" applyBorder="1" applyAlignment="1">
      <alignment vertical="center"/>
    </xf>
    <xf numFmtId="0" fontId="10" fillId="0" borderId="0" xfId="0" quotePrefix="1" applyFont="1" applyFill="1"/>
    <xf numFmtId="0" fontId="6" fillId="0" borderId="0" xfId="0" applyFont="1" applyAlignment="1">
      <alignment horizontal="center"/>
    </xf>
    <xf numFmtId="3" fontId="10" fillId="0" borderId="0" xfId="0" applyNumberFormat="1" applyFont="1" applyAlignment="1"/>
    <xf numFmtId="0" fontId="12" fillId="7" borderId="0" xfId="1" applyFont="1" applyFill="1"/>
    <xf numFmtId="0" fontId="14" fillId="0" borderId="6" xfId="0" quotePrefix="1" applyFont="1" applyFill="1" applyBorder="1" applyAlignment="1"/>
    <xf numFmtId="3" fontId="10" fillId="8" borderId="0" xfId="0" applyNumberFormat="1" applyFont="1" applyFill="1" applyAlignment="1"/>
    <xf numFmtId="164" fontId="10" fillId="0" borderId="0" xfId="0" applyNumberFormat="1" applyFont="1"/>
    <xf numFmtId="0" fontId="10" fillId="7" borderId="0" xfId="0" applyFont="1" applyFill="1"/>
    <xf numFmtId="0" fontId="2" fillId="0" borderId="3" xfId="0" applyFont="1" applyBorder="1" applyAlignment="1" applyProtection="1">
      <alignment horizontal="left" vertical="center"/>
    </xf>
    <xf numFmtId="0" fontId="2" fillId="0" borderId="8" xfId="0" quotePrefix="1" applyFont="1" applyBorder="1" applyAlignment="1" applyProtection="1">
      <alignment vertical="center"/>
    </xf>
    <xf numFmtId="3" fontId="2" fillId="0" borderId="1" xfId="0" quotePrefix="1" applyNumberFormat="1" applyFont="1" applyBorder="1" applyAlignment="1" applyProtection="1"/>
    <xf numFmtId="3" fontId="14" fillId="0" borderId="6" xfId="0" applyNumberFormat="1" applyFont="1" applyFill="1" applyBorder="1" applyAlignment="1"/>
    <xf numFmtId="0" fontId="2" fillId="0" borderId="4" xfId="0" applyFont="1" applyBorder="1" applyAlignment="1" applyProtection="1">
      <alignment horizontal="right" wrapText="1"/>
    </xf>
    <xf numFmtId="0" fontId="2" fillId="0" borderId="1" xfId="0" applyFont="1" applyBorder="1" applyAlignment="1" applyProtection="1">
      <alignment horizontal="right"/>
    </xf>
    <xf numFmtId="0" fontId="0" fillId="0" borderId="0" xfId="0" applyFill="1" applyBorder="1" applyAlignment="1">
      <alignment horizontal="left" vertical="center"/>
    </xf>
    <xf numFmtId="0" fontId="2" fillId="0" borderId="1" xfId="0" quotePrefix="1" applyFont="1" applyBorder="1" applyAlignment="1" applyProtection="1"/>
    <xf numFmtId="0" fontId="16" fillId="0" borderId="0" xfId="0" applyFont="1"/>
    <xf numFmtId="0" fontId="2" fillId="0" borderId="7" xfId="0" applyFont="1" applyBorder="1" applyAlignment="1" applyProtection="1">
      <alignment horizontal="right" vertical="center"/>
    </xf>
    <xf numFmtId="0" fontId="2" fillId="0" borderId="4" xfId="0" applyFont="1" applyBorder="1" applyAlignment="1" applyProtection="1">
      <alignment vertical="center"/>
    </xf>
    <xf numFmtId="0" fontId="2" fillId="9" borderId="3" xfId="0" applyFont="1" applyFill="1" applyBorder="1" applyAlignment="1" applyProtection="1">
      <alignment horizontal="left" vertical="center"/>
    </xf>
    <xf numFmtId="0" fontId="17" fillId="0" borderId="0" xfId="0" applyFont="1"/>
    <xf numFmtId="0" fontId="14" fillId="0" borderId="6" xfId="0" quotePrefix="1" applyFont="1" applyFill="1" applyBorder="1" applyAlignment="1">
      <alignment horizontal="right"/>
    </xf>
    <xf numFmtId="0" fontId="2" fillId="9" borderId="4" xfId="0" applyFont="1" applyFill="1" applyBorder="1" applyAlignment="1" applyProtection="1">
      <alignment vertical="center"/>
    </xf>
    <xf numFmtId="0" fontId="2" fillId="0" borderId="3" xfId="0" applyFont="1" applyBorder="1" applyAlignment="1" applyProtection="1">
      <alignment horizontal="center" wrapText="1"/>
    </xf>
    <xf numFmtId="0" fontId="2" fillId="0" borderId="1" xfId="0" quotePrefix="1" applyFont="1" applyBorder="1" applyAlignment="1" applyProtection="1">
      <alignment vertical="center"/>
    </xf>
    <xf numFmtId="0" fontId="2" fillId="0" borderId="3" xfId="0" applyFont="1" applyBorder="1" applyAlignment="1" applyProtection="1">
      <alignment horizontal="right"/>
    </xf>
    <xf numFmtId="0" fontId="2" fillId="0" borderId="4" xfId="0" applyFont="1" applyBorder="1" applyAlignment="1" applyProtection="1">
      <alignment vertical="center" wrapText="1"/>
    </xf>
    <xf numFmtId="0" fontId="17" fillId="0" borderId="0" xfId="0" applyFont="1" applyFill="1" applyBorder="1" applyAlignment="1"/>
    <xf numFmtId="0" fontId="18" fillId="0" borderId="0" xfId="0" applyFont="1" applyFill="1" applyBorder="1" applyAlignment="1">
      <alignment horizontal="left" vertical="center"/>
    </xf>
    <xf numFmtId="0" fontId="10" fillId="0" borderId="0" xfId="0" applyNumberFormat="1" applyFont="1"/>
    <xf numFmtId="0" fontId="2" fillId="0" borderId="7" xfId="0" applyFont="1" applyBorder="1" applyAlignment="1" applyProtection="1">
      <alignment horizontal="center"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20834</xdr:colOff>
      <xdr:row>13</xdr:row>
      <xdr:rowOff>9493</xdr:rowOff>
    </xdr:from>
    <xdr:to>
      <xdr:col>3</xdr:col>
      <xdr:colOff>1812560</xdr:colOff>
      <xdr:row>14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5032" y="2586323"/>
          <a:ext cx="1791726" cy="180372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79062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69670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027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508874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6755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71725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0506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207722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97"/>
  <sheetViews>
    <sheetView tabSelected="1" workbookViewId="0"/>
  </sheetViews>
  <sheetFormatPr defaultColWidth="11.42578125" defaultRowHeight="14.95" outlineLevelRow="1" outlineLevelCol="1"/>
  <cols>
    <col min="1" max="1" width="52.85546875" style="46" bestFit="1" customWidth="1"/>
    <col min="2" max="2" width="21" hidden="1" customWidth="1" outlineLevel="1"/>
    <col min="3" max="3" width="18.5703125" hidden="1" customWidth="1" outlineLevel="1"/>
    <col min="4" max="4" width="85.28515625" customWidth="1" collapsed="1"/>
    <col min="5" max="5" width="20.85546875" customWidth="1"/>
    <col min="6" max="6" width="20.28515625" customWidth="1"/>
    <col min="7" max="7" width="20.85546875" customWidth="1"/>
    <col min="8" max="8" width="12.7109375" customWidth="1"/>
    <col min="9" max="9" width="22.28515625" customWidth="1"/>
    <col min="10" max="10" width="13.5703125" customWidth="1"/>
    <col min="11" max="11" width="11.28515625" bestFit="1" customWidth="1"/>
    <col min="12" max="12" width="9.85546875" bestFit="1" customWidth="1"/>
    <col min="13" max="13" width="7.28515625" bestFit="1" customWidth="1"/>
    <col min="14" max="14" width="11.28515625" bestFit="1" customWidth="1"/>
    <col min="15" max="15" width="9.8554687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7" t="s">
        <v>534</v>
      </c>
      <c s="17"/>
      <c s="17"/>
      <c s="17"/>
      <c s="17"/>
      <c s="29"/>
    </row>
    <row>
      <c s="16" t="s">
        <v>160</v>
      </c>
      <c s="16"/>
      <c s="16"/>
      <c s="16"/>
      <c s="16"/>
      <c s="29"/>
    </row>
    <row ht="23.25" customHeight="1" s="69" customFormat="1">
      <c s="13" t="s">
        <v>192</v>
      </c>
      <c s="13"/>
      <c s="13"/>
      <c s="13"/>
      <c s="13"/>
      <c s="76"/>
    </row>
    <row ht="15" customHeight="1" s="69" customFormat="1">
      <c s="8" t="s">
        <v>446</v>
      </c>
      <c s="8"/>
      <c s="8"/>
      <c s="8"/>
      <c s="8"/>
      <c s="77"/>
    </row>
    <row ht="15" customHeight="1" s="69" customFormat="1">
      <c s="8" t="s">
        <v>87</v>
      </c>
      <c s="8"/>
      <c s="8"/>
      <c s="8"/>
      <c s="8"/>
      <c s="77"/>
    </row>
    <row ht="15" customHeight="1" s="69" customFormat="1">
      <c s="8"/>
      <c s="8"/>
      <c s="8"/>
      <c s="8"/>
      <c s="8"/>
      <c s="77"/>
    </row>
    <row ht="15" customHeight="1">
      <c s="8" t="s">
        <v>529</v>
      </c>
      <c s="8"/>
      <c s="8"/>
      <c s="8"/>
      <c s="12"/>
      <c s="12"/>
    </row>
    <row>
      <c s="12" t="s">
        <v>450</v>
      </c>
      <c s="12"/>
      <c s="12"/>
      <c s="12"/>
      <c s="12"/>
      <c s="8"/>
    </row>
    <row>
      <c s="12" t="s">
        <v>82</v>
      </c>
      <c s="12"/>
      <c s="12"/>
      <c s="12"/>
      <c s="12"/>
      <c s="63"/>
    </row>
    <row>
      <c s="14"/>
      <c s="14"/>
      <c s="14"/>
      <c s="14"/>
      <c s="14"/>
      <c s="29"/>
    </row>
    <row>
      <c s="8" t="s">
        <v>390</v>
      </c>
      <c s="8"/>
      <c s="8"/>
      <c s="8"/>
      <c s="14"/>
      <c s="29"/>
    </row>
    <row>
      <c s="8" t="s">
        <v>578</v>
      </c>
      <c s="8"/>
      <c s="8"/>
      <c s="8"/>
      <c s="14"/>
      <c s="29"/>
    </row>
    <row ht="15" customHeight="1"/>
    <row>
      <c s="10" t="s">
        <v>574</v>
      </c>
      <c s="64" t="s">
        <v>114</v>
      </c>
    </row>
    <row ht="15" hidden="1" outlineLevel="1">
      <c s="10" t="s">
        <v>111</v>
      </c>
      <c s="64" t="s">
        <v>568</v>
      </c>
    </row>
    <row ht="15" hidden="1" outlineLevel="1">
      <c s="10" t="s">
        <v>78</v>
      </c>
      <c s="64" t="s">
        <v>150</v>
      </c>
    </row>
    <row collapsed="1">
      <c/>
    </row>
    <row>
      <c/>
    </row>
    <row ht="15" hidden="1" outlineLevel="1">
      <c/>
      <c r="E19" s="10" t="s">
        <v>235</v>
      </c>
      <c s="10" t="s">
        <v>4</v>
      </c>
    </row>
    <row ht="15" customHeight="1" collapsed="1">
      <c/>
      <c r="E20" s="19" t="s">
        <v>427</v>
      </c>
      <c s="19"/>
      <c s="19"/>
    </row>
    <row ht="31.9" customHeight="1">
      <c s="10" t="s">
        <v>39</v>
      </c>
      <c s="10" t="s">
        <v>502</v>
      </c>
      <c s="10" t="s">
        <v>459</v>
      </c>
      <c s="10" t="s">
        <v>191</v>
      </c>
      <c s="21" t="s">
        <v>605</v>
      </c>
      <c s="21" t="s">
        <v>266</v>
      </c>
      <c s="21" t="s">
        <v>531</v>
      </c>
    </row>
    <row>
      <c s="23" t="s">
        <v>391</v>
      </c>
      <c s="23" t="s">
        <v>577</v>
      </c>
      <c s="23" t="s">
        <v>391</v>
      </c>
      <c s="4" t="s">
        <v>202</v>
      </c>
      <c s="1">
        <v>7640</v>
      </c>
      <c s="1">
        <v>7503</v>
      </c>
      <c s="1">
        <v>7535</v>
      </c>
    </row>
    <row>
      <c s="23"/>
      <c s="23"/>
      <c s="23"/>
      <c s="4" t="s">
        <v>201</v>
      </c>
      <c s="1">
        <v>573</v>
      </c>
      <c s="1">
        <v>557</v>
      </c>
      <c s="1">
        <v>557</v>
      </c>
    </row>
    <row>
      <c s="23"/>
      <c s="23"/>
      <c s="23"/>
      <c s="4" t="s">
        <v>120</v>
      </c>
      <c s="1">
        <v>263</v>
      </c>
      <c s="1">
        <v>293</v>
      </c>
      <c s="1">
        <v>199</v>
      </c>
    </row>
    <row>
      <c s="23"/>
      <c s="23"/>
      <c s="23"/>
      <c s="4" t="s">
        <v>319</v>
      </c>
      <c s="1">
        <v>114</v>
      </c>
      <c s="1">
        <v>130</v>
      </c>
      <c s="1">
        <v>149</v>
      </c>
    </row>
    <row>
      <c s="23"/>
      <c s="23"/>
      <c s="23"/>
      <c s="4" t="s">
        <v>503</v>
      </c>
      <c s="1">
        <v>49</v>
      </c>
      <c s="1">
        <v>50</v>
      </c>
      <c s="1">
        <v>50</v>
      </c>
    </row>
    <row>
      <c s="23"/>
      <c s="23"/>
      <c s="23"/>
      <c s="4" t="s">
        <v>119</v>
      </c>
      <c s="1">
        <v>100</v>
      </c>
      <c s="1">
        <v>113</v>
      </c>
      <c s="1">
        <v>0</v>
      </c>
    </row>
    <row>
      <c s="23"/>
      <c s="23"/>
      <c s="23"/>
      <c s="4" t="s">
        <v>165</v>
      </c>
      <c s="1">
        <v>6815</v>
      </c>
      <c s="1">
        <v>6686</v>
      </c>
      <c s="1">
        <v>6787</v>
      </c>
    </row>
    <row>
      <c s="23"/>
      <c s="23"/>
      <c s="23"/>
      <c s="4" t="s">
        <v>164</v>
      </c>
      <c s="1">
        <v>0</v>
      </c>
      <c s="1">
        <v>0</v>
      </c>
      <c s="1">
        <v>106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1922</v>
      </c>
      <c s="1">
        <v>1816</v>
      </c>
      <c s="1">
        <v>1817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3449</v>
      </c>
      <c s="1">
        <v>3392</v>
      </c>
      <c s="1">
        <v>3274</v>
      </c>
    </row>
    <row>
      <c s="23"/>
      <c s="23"/>
      <c s="23"/>
      <c s="4" t="s">
        <v>197</v>
      </c>
      <c s="1">
        <v>240</v>
      </c>
      <c s="1">
        <v>197</v>
      </c>
      <c s="1">
        <v>194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10887</v>
      </c>
      <c s="2">
        <v>10691</v>
      </c>
      <c s="2">
        <v>10588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195</v>
      </c>
      <c s="23" t="s">
        <v>153</v>
      </c>
      <c s="23" t="s">
        <v>195</v>
      </c>
      <c s="4" t="s">
        <v>202</v>
      </c>
      <c s="1">
        <v>3270</v>
      </c>
      <c s="1">
        <v>3274</v>
      </c>
      <c s="1">
        <v>3292</v>
      </c>
    </row>
    <row>
      <c s="23"/>
      <c s="23"/>
      <c s="23"/>
      <c s="4" t="s">
        <v>201</v>
      </c>
      <c s="1">
        <v>259</v>
      </c>
      <c s="1">
        <v>244</v>
      </c>
      <c s="1">
        <v>236</v>
      </c>
    </row>
    <row>
      <c s="23"/>
      <c s="23"/>
      <c s="23"/>
      <c s="4" t="s">
        <v>120</v>
      </c>
      <c s="1">
        <v>173</v>
      </c>
      <c s="1">
        <v>194</v>
      </c>
      <c s="1">
        <v>169</v>
      </c>
    </row>
    <row>
      <c s="23"/>
      <c s="23"/>
      <c s="23"/>
      <c s="4" t="s">
        <v>319</v>
      </c>
      <c s="1">
        <v>78</v>
      </c>
      <c s="1">
        <v>91</v>
      </c>
      <c s="1">
        <v>100</v>
      </c>
    </row>
    <row>
      <c s="23"/>
      <c s="23"/>
      <c s="23"/>
      <c s="4" t="s">
        <v>503</v>
      </c>
      <c s="1">
        <v>65</v>
      </c>
      <c s="1">
        <v>65</v>
      </c>
      <c s="1">
        <v>69</v>
      </c>
    </row>
    <row>
      <c s="23"/>
      <c s="23"/>
      <c s="23"/>
      <c s="4" t="s">
        <v>119</v>
      </c>
      <c s="1">
        <v>30</v>
      </c>
      <c s="1">
        <v>38</v>
      </c>
      <c s="1">
        <v>0</v>
      </c>
    </row>
    <row>
      <c s="23"/>
      <c s="23"/>
      <c s="23"/>
      <c s="4" t="s">
        <v>165</v>
      </c>
      <c s="1">
        <v>2839</v>
      </c>
      <c s="1">
        <v>2836</v>
      </c>
      <c s="1">
        <v>2887</v>
      </c>
    </row>
    <row>
      <c s="23"/>
      <c s="23"/>
      <c s="23"/>
      <c s="4" t="s">
        <v>164</v>
      </c>
      <c s="1">
        <v>0</v>
      </c>
      <c s="1">
        <v>1</v>
      </c>
      <c s="1">
        <v>38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636</v>
      </c>
      <c s="1">
        <v>584</v>
      </c>
      <c s="1">
        <v>585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1503</v>
      </c>
      <c s="1">
        <v>1474</v>
      </c>
      <c s="1">
        <v>1439</v>
      </c>
    </row>
    <row>
      <c s="23"/>
      <c s="23"/>
      <c s="23"/>
      <c s="4" t="s">
        <v>197</v>
      </c>
      <c s="1">
        <v>52</v>
      </c>
      <c s="1">
        <v>64</v>
      </c>
      <c s="1">
        <v>57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4719</v>
      </c>
      <c s="2">
        <v>4696</v>
      </c>
      <c s="2">
        <v>4681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189</v>
      </c>
      <c s="23" t="s">
        <v>273</v>
      </c>
      <c s="23" t="s">
        <v>189</v>
      </c>
      <c s="4" t="s">
        <v>202</v>
      </c>
      <c s="1">
        <v>4018</v>
      </c>
      <c s="1">
        <v>3982</v>
      </c>
      <c s="1">
        <v>3992</v>
      </c>
    </row>
    <row>
      <c s="23"/>
      <c s="23"/>
      <c s="23"/>
      <c s="4" t="s">
        <v>201</v>
      </c>
      <c s="1">
        <v>322</v>
      </c>
      <c s="1">
        <v>307</v>
      </c>
      <c s="1">
        <v>313</v>
      </c>
    </row>
    <row>
      <c s="23"/>
      <c s="23"/>
      <c s="23"/>
      <c s="4" t="s">
        <v>120</v>
      </c>
      <c s="1">
        <v>271</v>
      </c>
      <c s="1">
        <v>292</v>
      </c>
      <c s="1">
        <v>166</v>
      </c>
    </row>
    <row>
      <c s="23"/>
      <c s="23"/>
      <c s="23"/>
      <c s="4" t="s">
        <v>319</v>
      </c>
      <c s="1">
        <v>56</v>
      </c>
      <c s="1">
        <v>62</v>
      </c>
      <c s="1">
        <v>64</v>
      </c>
    </row>
    <row>
      <c s="23"/>
      <c s="23"/>
      <c s="23"/>
      <c s="4" t="s">
        <v>503</v>
      </c>
      <c s="1">
        <v>91</v>
      </c>
      <c s="1">
        <v>95</v>
      </c>
      <c s="1">
        <v>102</v>
      </c>
    </row>
    <row>
      <c s="23"/>
      <c s="23"/>
      <c s="23"/>
      <c s="4" t="s">
        <v>119</v>
      </c>
      <c s="1">
        <v>124</v>
      </c>
      <c s="1">
        <v>135</v>
      </c>
      <c s="1">
        <v>0</v>
      </c>
    </row>
    <row>
      <c s="23"/>
      <c s="23"/>
      <c s="23"/>
      <c s="4" t="s">
        <v>165</v>
      </c>
      <c s="1">
        <v>3425</v>
      </c>
      <c s="1">
        <v>3383</v>
      </c>
      <c s="1">
        <v>3513</v>
      </c>
    </row>
    <row>
      <c s="23"/>
      <c s="23"/>
      <c s="23"/>
      <c s="4" t="s">
        <v>164</v>
      </c>
      <c s="1">
        <v>4</v>
      </c>
      <c s="1">
        <v>5</v>
      </c>
      <c s="1">
        <v>131</v>
      </c>
    </row>
    <row>
      <c s="23"/>
      <c s="23"/>
      <c s="23"/>
      <c s="4" t="s">
        <v>239</v>
      </c>
      <c s="1">
        <v>3</v>
      </c>
      <c s="1">
        <v>8</v>
      </c>
      <c s="1">
        <v>11</v>
      </c>
    </row>
    <row>
      <c s="23"/>
      <c s="23"/>
      <c s="23"/>
      <c s="4" t="s">
        <v>149</v>
      </c>
      <c s="1">
        <v>1067</v>
      </c>
      <c s="1">
        <v>1089</v>
      </c>
      <c s="1">
        <v>1081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1671</v>
      </c>
      <c s="1">
        <v>1647</v>
      </c>
      <c s="1">
        <v>1590</v>
      </c>
    </row>
    <row>
      <c s="23"/>
      <c s="23"/>
      <c s="23"/>
      <c s="4" t="s">
        <v>197</v>
      </c>
      <c s="1">
        <v>94</v>
      </c>
      <c s="1">
        <v>102</v>
      </c>
      <c s="1">
        <v>87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5662</v>
      </c>
      <c s="2">
        <v>5606</v>
      </c>
      <c s="2">
        <v>5558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272</v>
      </c>
      <c s="23" t="s">
        <v>163</v>
      </c>
      <c s="23" t="s">
        <v>356</v>
      </c>
      <c s="4" t="s">
        <v>202</v>
      </c>
      <c s="1">
        <v>4704</v>
      </c>
      <c s="1">
        <v>4491</v>
      </c>
      <c s="1">
        <v>4288</v>
      </c>
    </row>
    <row>
      <c s="23"/>
      <c s="23"/>
      <c s="23"/>
      <c s="4" t="s">
        <v>201</v>
      </c>
      <c s="1">
        <v>145</v>
      </c>
      <c s="1">
        <v>134</v>
      </c>
      <c s="1">
        <v>126</v>
      </c>
    </row>
    <row>
      <c s="23"/>
      <c s="23"/>
      <c s="23"/>
      <c s="4" t="s">
        <v>120</v>
      </c>
      <c s="1">
        <v>564</v>
      </c>
      <c s="1">
        <v>592</v>
      </c>
      <c s="1">
        <v>631</v>
      </c>
    </row>
    <row>
      <c s="23"/>
      <c s="23"/>
      <c s="23"/>
      <c s="4" t="s">
        <v>319</v>
      </c>
      <c s="1">
        <v>287</v>
      </c>
      <c s="1">
        <v>308</v>
      </c>
      <c s="1">
        <v>342</v>
      </c>
    </row>
    <row>
      <c s="23"/>
      <c s="23"/>
      <c s="23"/>
      <c s="4" t="s">
        <v>503</v>
      </c>
      <c s="1">
        <v>263</v>
      </c>
      <c s="1">
        <v>274</v>
      </c>
      <c s="1">
        <v>289</v>
      </c>
    </row>
    <row>
      <c s="23"/>
      <c s="23"/>
      <c s="23"/>
      <c s="4" t="s">
        <v>119</v>
      </c>
      <c s="1">
        <v>14</v>
      </c>
      <c s="1">
        <v>10</v>
      </c>
      <c s="1">
        <v>0</v>
      </c>
    </row>
    <row>
      <c s="23"/>
      <c s="23"/>
      <c s="23"/>
      <c s="4" t="s">
        <v>165</v>
      </c>
      <c s="1">
        <v>3995</v>
      </c>
      <c s="1">
        <v>3765</v>
      </c>
      <c s="1">
        <v>3531</v>
      </c>
    </row>
    <row>
      <c s="23"/>
      <c s="23"/>
      <c s="23"/>
      <c s="4" t="s">
        <v>164</v>
      </c>
      <c s="1">
        <v>0</v>
      </c>
      <c s="1">
        <v>0</v>
      </c>
      <c s="1">
        <v>1</v>
      </c>
    </row>
    <row>
      <c s="23"/>
      <c s="23"/>
      <c s="23"/>
      <c s="4" t="s">
        <v>239</v>
      </c>
      <c s="1">
        <v>0</v>
      </c>
      <c s="1">
        <v>0</v>
      </c>
      <c s="1">
        <v>8</v>
      </c>
    </row>
    <row>
      <c s="23"/>
      <c s="23"/>
      <c s="23"/>
      <c s="4" t="s">
        <v>149</v>
      </c>
      <c s="1">
        <v>1249</v>
      </c>
      <c s="1">
        <v>1142</v>
      </c>
      <c s="1">
        <v>1016</v>
      </c>
    </row>
    <row>
      <c s="23"/>
      <c s="23"/>
      <c s="23"/>
      <c s="4" t="s">
        <v>238</v>
      </c>
      <c s="1">
        <v>634</v>
      </c>
      <c s="1">
        <v>595</v>
      </c>
      <c s="1">
        <v>599</v>
      </c>
    </row>
    <row>
      <c s="23"/>
      <c s="23"/>
      <c s="23"/>
      <c s="4" t="s">
        <v>5</v>
      </c>
      <c s="1">
        <v>2162</v>
      </c>
      <c s="1">
        <v>2097</v>
      </c>
      <c s="1">
        <v>2097</v>
      </c>
    </row>
    <row>
      <c s="23"/>
      <c s="23"/>
      <c s="23"/>
      <c s="4" t="s">
        <v>197</v>
      </c>
      <c s="1">
        <v>752</v>
      </c>
      <c s="1">
        <v>736</v>
      </c>
      <c s="1">
        <v>764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269</v>
      </c>
      <c s="1">
        <v>271</v>
      </c>
      <c s="1">
        <v>269</v>
      </c>
    </row>
    <row>
      <c s="23"/>
      <c s="23"/>
      <c s="23"/>
      <c s="6" t="s">
        <v>114</v>
      </c>
      <c s="2">
        <v>6863</v>
      </c>
      <c s="2">
        <v>6584</v>
      </c>
      <c s="2">
        <v>6382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86</v>
      </c>
      <c s="23" t="s">
        <v>315</v>
      </c>
      <c s="23" t="s">
        <v>161</v>
      </c>
      <c s="4" t="s">
        <v>202</v>
      </c>
      <c s="1">
        <v>1723</v>
      </c>
      <c s="1">
        <v>1690</v>
      </c>
      <c s="1">
        <v>1609</v>
      </c>
    </row>
    <row>
      <c s="23"/>
      <c s="23"/>
      <c s="23"/>
      <c s="4" t="s">
        <v>201</v>
      </c>
      <c s="1">
        <v>95</v>
      </c>
      <c s="1">
        <v>94</v>
      </c>
      <c s="1">
        <v>92</v>
      </c>
    </row>
    <row>
      <c s="23"/>
      <c s="23"/>
      <c s="23"/>
      <c s="4" t="s">
        <v>120</v>
      </c>
      <c s="1">
        <v>154</v>
      </c>
      <c s="1">
        <v>175</v>
      </c>
      <c s="1">
        <v>162</v>
      </c>
    </row>
    <row>
      <c s="23"/>
      <c s="23"/>
      <c s="23"/>
      <c s="4" t="s">
        <v>319</v>
      </c>
      <c s="1">
        <v>71</v>
      </c>
      <c s="1">
        <v>85</v>
      </c>
      <c s="1">
        <v>96</v>
      </c>
    </row>
    <row>
      <c s="23"/>
      <c s="23"/>
      <c s="23"/>
      <c s="4" t="s">
        <v>503</v>
      </c>
      <c s="1">
        <v>51</v>
      </c>
      <c s="1">
        <v>63</v>
      </c>
      <c s="1">
        <v>66</v>
      </c>
    </row>
    <row>
      <c s="23"/>
      <c s="23"/>
      <c s="23"/>
      <c s="4" t="s">
        <v>119</v>
      </c>
      <c s="1">
        <v>32</v>
      </c>
      <c s="1">
        <v>27</v>
      </c>
      <c s="1">
        <v>0</v>
      </c>
    </row>
    <row>
      <c s="23"/>
      <c s="23"/>
      <c s="23"/>
      <c s="4" t="s">
        <v>165</v>
      </c>
      <c s="1">
        <v>1474</v>
      </c>
      <c s="1">
        <v>1421</v>
      </c>
      <c s="1">
        <v>1355</v>
      </c>
    </row>
    <row>
      <c s="23"/>
      <c s="23"/>
      <c s="23"/>
      <c s="4" t="s">
        <v>164</v>
      </c>
      <c s="1">
        <v>0</v>
      </c>
      <c s="1">
        <v>0</v>
      </c>
      <c s="1">
        <v>18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315</v>
      </c>
      <c s="1">
        <v>333</v>
      </c>
      <c s="1">
        <v>295</v>
      </c>
    </row>
    <row>
      <c s="23"/>
      <c s="23"/>
      <c s="23"/>
      <c s="4" t="s">
        <v>238</v>
      </c>
      <c s="1">
        <v>209</v>
      </c>
      <c s="1">
        <v>215</v>
      </c>
      <c s="1">
        <v>209</v>
      </c>
    </row>
    <row>
      <c s="23"/>
      <c s="23"/>
      <c s="23"/>
      <c s="4" t="s">
        <v>5</v>
      </c>
      <c s="1">
        <v>1241</v>
      </c>
      <c s="1">
        <v>1175</v>
      </c>
      <c s="1">
        <v>1126</v>
      </c>
    </row>
    <row>
      <c s="23"/>
      <c s="23"/>
      <c s="23"/>
      <c s="4" t="s">
        <v>197</v>
      </c>
      <c s="1">
        <v>140</v>
      </c>
      <c s="1">
        <v>121</v>
      </c>
      <c s="1">
        <v>114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282</v>
      </c>
      <c s="1">
        <v>272</v>
      </c>
      <c s="1">
        <v>260</v>
      </c>
    </row>
    <row>
      <c s="23"/>
      <c s="23"/>
      <c s="23"/>
      <c s="6" t="s">
        <v>114</v>
      </c>
      <c s="2">
        <v>2961</v>
      </c>
      <c s="2">
        <v>2864</v>
      </c>
      <c s="2">
        <v>2734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200</v>
      </c>
      <c s="23" t="s">
        <v>46</v>
      </c>
      <c s="23" t="s">
        <v>580</v>
      </c>
      <c s="4" t="s">
        <v>202</v>
      </c>
      <c s="1">
        <v>1436</v>
      </c>
      <c s="1">
        <v>1402</v>
      </c>
      <c s="1">
        <v>1370</v>
      </c>
    </row>
    <row>
      <c s="23"/>
      <c s="23"/>
      <c s="23"/>
      <c s="4" t="s">
        <v>201</v>
      </c>
      <c s="1">
        <v>103</v>
      </c>
      <c s="1">
        <v>97</v>
      </c>
      <c s="1">
        <v>85</v>
      </c>
    </row>
    <row>
      <c s="23"/>
      <c s="23"/>
      <c s="23"/>
      <c s="4" t="s">
        <v>120</v>
      </c>
      <c s="1">
        <v>161</v>
      </c>
      <c s="1">
        <v>165</v>
      </c>
      <c s="1">
        <v>149</v>
      </c>
    </row>
    <row>
      <c s="23"/>
      <c s="23"/>
      <c s="23"/>
      <c s="4" t="s">
        <v>319</v>
      </c>
      <c s="1">
        <v>81</v>
      </c>
      <c s="1">
        <v>90</v>
      </c>
      <c s="1">
        <v>100</v>
      </c>
    </row>
    <row>
      <c s="23"/>
      <c s="23"/>
      <c s="23"/>
      <c s="4" t="s">
        <v>503</v>
      </c>
      <c s="1">
        <v>39</v>
      </c>
      <c s="1">
        <v>43</v>
      </c>
      <c s="1">
        <v>49</v>
      </c>
    </row>
    <row>
      <c s="23"/>
      <c s="23"/>
      <c s="23"/>
      <c s="4" t="s">
        <v>119</v>
      </c>
      <c s="1">
        <v>41</v>
      </c>
      <c s="1">
        <v>32</v>
      </c>
      <c s="1">
        <v>0</v>
      </c>
    </row>
    <row>
      <c s="23"/>
      <c s="23"/>
      <c s="23"/>
      <c s="4" t="s">
        <v>165</v>
      </c>
      <c s="1">
        <v>1173</v>
      </c>
      <c s="1">
        <v>1141</v>
      </c>
      <c s="1">
        <v>1137</v>
      </c>
    </row>
    <row>
      <c s="23"/>
      <c s="23"/>
      <c s="23"/>
      <c s="4" t="s">
        <v>164</v>
      </c>
      <c s="1">
        <v>1</v>
      </c>
      <c s="1">
        <v>1</v>
      </c>
      <c s="1">
        <v>23</v>
      </c>
    </row>
    <row>
      <c s="23"/>
      <c s="23"/>
      <c s="23"/>
      <c s="4" t="s">
        <v>239</v>
      </c>
      <c s="1">
        <v>10</v>
      </c>
      <c s="1">
        <v>7</v>
      </c>
      <c s="1">
        <v>8</v>
      </c>
    </row>
    <row>
      <c s="23"/>
      <c s="23"/>
      <c s="23"/>
      <c s="4" t="s">
        <v>149</v>
      </c>
      <c s="1">
        <v>377</v>
      </c>
      <c s="1">
        <v>403</v>
      </c>
      <c s="1">
        <v>417</v>
      </c>
    </row>
    <row>
      <c s="23"/>
      <c s="23"/>
      <c s="23"/>
      <c s="4" t="s">
        <v>238</v>
      </c>
      <c s="1">
        <v>210</v>
      </c>
      <c s="1">
        <v>217</v>
      </c>
      <c s="1">
        <v>208</v>
      </c>
    </row>
    <row>
      <c s="23"/>
      <c s="23"/>
      <c s="23"/>
      <c s="4" t="s">
        <v>5</v>
      </c>
      <c s="1">
        <v>1018</v>
      </c>
      <c s="1">
        <v>958</v>
      </c>
      <c s="1">
        <v>904</v>
      </c>
    </row>
    <row>
      <c s="23"/>
      <c s="23"/>
      <c s="23"/>
      <c s="4" t="s">
        <v>197</v>
      </c>
      <c s="1">
        <v>243</v>
      </c>
      <c s="1">
        <v>234</v>
      </c>
      <c s="1">
        <v>230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93</v>
      </c>
      <c s="1">
        <v>92</v>
      </c>
      <c s="1">
        <v>101</v>
      </c>
    </row>
    <row>
      <c s="23"/>
      <c s="23"/>
      <c s="23"/>
      <c s="6" t="s">
        <v>114</v>
      </c>
      <c s="2">
        <v>2454</v>
      </c>
      <c s="2">
        <v>2359</v>
      </c>
      <c s="2">
        <v>2273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242</v>
      </c>
      <c s="23" t="s">
        <v>428</v>
      </c>
      <c s="23" t="s">
        <v>242</v>
      </c>
      <c s="4" t="s">
        <v>202</v>
      </c>
      <c s="1">
        <v>2039</v>
      </c>
      <c s="1">
        <v>2056</v>
      </c>
      <c s="1">
        <v>2061</v>
      </c>
    </row>
    <row>
      <c s="23"/>
      <c s="23"/>
      <c s="23"/>
      <c s="4" t="s">
        <v>201</v>
      </c>
      <c s="1">
        <v>168</v>
      </c>
      <c s="1">
        <v>161</v>
      </c>
      <c s="1">
        <v>154</v>
      </c>
    </row>
    <row>
      <c s="23"/>
      <c s="23"/>
      <c s="23"/>
      <c s="4" t="s">
        <v>120</v>
      </c>
      <c s="1">
        <v>119</v>
      </c>
      <c s="1">
        <v>134</v>
      </c>
      <c s="1">
        <v>129</v>
      </c>
    </row>
    <row>
      <c s="23"/>
      <c s="23"/>
      <c s="23"/>
      <c s="4" t="s">
        <v>319</v>
      </c>
      <c s="1">
        <v>37</v>
      </c>
      <c s="1">
        <v>42</v>
      </c>
      <c s="1">
        <v>48</v>
      </c>
    </row>
    <row>
      <c s="23"/>
      <c s="23"/>
      <c s="23"/>
      <c s="4" t="s">
        <v>503</v>
      </c>
      <c s="1">
        <v>77</v>
      </c>
      <c s="1">
        <v>83</v>
      </c>
      <c s="1">
        <v>81</v>
      </c>
    </row>
    <row>
      <c s="23"/>
      <c s="23"/>
      <c s="23"/>
      <c s="4" t="s">
        <v>119</v>
      </c>
      <c s="1">
        <v>5</v>
      </c>
      <c s="1">
        <v>9</v>
      </c>
      <c s="1">
        <v>0</v>
      </c>
    </row>
    <row>
      <c s="23"/>
      <c s="23"/>
      <c s="23"/>
      <c s="4" t="s">
        <v>165</v>
      </c>
      <c s="1">
        <v>1752</v>
      </c>
      <c s="1">
        <v>1761</v>
      </c>
      <c s="1">
        <v>1778</v>
      </c>
    </row>
    <row>
      <c s="23"/>
      <c s="23"/>
      <c s="23"/>
      <c s="4" t="s">
        <v>164</v>
      </c>
      <c s="1">
        <v>0</v>
      </c>
      <c s="1">
        <v>0</v>
      </c>
      <c s="1">
        <v>12</v>
      </c>
    </row>
    <row>
      <c s="23"/>
      <c s="23"/>
      <c s="23"/>
      <c s="4" t="s">
        <v>239</v>
      </c>
      <c s="1">
        <v>10</v>
      </c>
      <c s="1">
        <v>3</v>
      </c>
      <c s="1">
        <v>1</v>
      </c>
    </row>
    <row>
      <c s="23"/>
      <c s="23"/>
      <c s="23"/>
      <c s="4" t="s">
        <v>149</v>
      </c>
      <c s="1">
        <v>421</v>
      </c>
      <c s="1">
        <v>436</v>
      </c>
      <c s="1">
        <v>428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941</v>
      </c>
      <c s="1">
        <v>902</v>
      </c>
      <c s="1">
        <v>884</v>
      </c>
    </row>
    <row>
      <c s="23"/>
      <c s="23"/>
      <c s="23"/>
      <c s="4" t="s">
        <v>197</v>
      </c>
      <c s="1">
        <v>60</v>
      </c>
      <c s="1">
        <v>63</v>
      </c>
      <c s="1">
        <v>58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2977</v>
      </c>
      <c s="2">
        <v>2956</v>
      </c>
      <c s="2">
        <v>2943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277</v>
      </c>
      <c s="23" t="s">
        <v>576</v>
      </c>
      <c s="23" t="s">
        <v>44</v>
      </c>
      <c s="4" t="s">
        <v>202</v>
      </c>
      <c s="1">
        <v>4688</v>
      </c>
      <c s="1">
        <v>4478</v>
      </c>
      <c s="1">
        <v>4377</v>
      </c>
    </row>
    <row>
      <c s="23"/>
      <c s="23"/>
      <c s="23"/>
      <c s="4" t="s">
        <v>201</v>
      </c>
      <c s="1">
        <v>245</v>
      </c>
      <c s="1">
        <v>230</v>
      </c>
      <c s="1">
        <v>202</v>
      </c>
    </row>
    <row>
      <c s="23"/>
      <c s="23"/>
      <c s="23"/>
      <c s="4" t="s">
        <v>120</v>
      </c>
      <c s="1">
        <v>212</v>
      </c>
      <c s="1">
        <v>213</v>
      </c>
      <c s="1">
        <v>165</v>
      </c>
    </row>
    <row>
      <c s="23"/>
      <c s="23"/>
      <c s="23"/>
      <c s="4" t="s">
        <v>319</v>
      </c>
      <c s="1">
        <v>100</v>
      </c>
      <c s="1">
        <v>107</v>
      </c>
      <c s="1">
        <v>114</v>
      </c>
    </row>
    <row>
      <c s="23"/>
      <c s="23"/>
      <c s="23"/>
      <c s="4" t="s">
        <v>503</v>
      </c>
      <c s="1">
        <v>47</v>
      </c>
      <c s="1">
        <v>48</v>
      </c>
      <c s="1">
        <v>51</v>
      </c>
    </row>
    <row>
      <c s="23"/>
      <c s="23"/>
      <c s="23"/>
      <c s="4" t="s">
        <v>119</v>
      </c>
      <c s="1">
        <v>65</v>
      </c>
      <c s="1">
        <v>58</v>
      </c>
      <c s="1">
        <v>0</v>
      </c>
    </row>
    <row>
      <c s="23"/>
      <c s="23"/>
      <c s="23"/>
      <c s="4" t="s">
        <v>165</v>
      </c>
      <c s="1">
        <v>4232</v>
      </c>
      <c s="1">
        <v>4036</v>
      </c>
      <c s="1">
        <v>4010</v>
      </c>
    </row>
    <row>
      <c s="23"/>
      <c s="23"/>
      <c s="23"/>
      <c s="4" t="s">
        <v>164</v>
      </c>
      <c s="1">
        <v>6</v>
      </c>
      <c s="1">
        <v>0</v>
      </c>
      <c s="1">
        <v>59</v>
      </c>
    </row>
    <row>
      <c s="23"/>
      <c s="23"/>
      <c s="23"/>
      <c s="4" t="s">
        <v>239</v>
      </c>
      <c s="1">
        <v>8</v>
      </c>
      <c s="1">
        <v>15</v>
      </c>
      <c s="1">
        <v>13</v>
      </c>
    </row>
    <row>
      <c s="23"/>
      <c s="23"/>
      <c s="23"/>
      <c s="4" t="s">
        <v>149</v>
      </c>
      <c s="1">
        <v>1707</v>
      </c>
      <c s="1">
        <v>1626</v>
      </c>
      <c s="1">
        <v>1593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1341</v>
      </c>
      <c s="1">
        <v>1283</v>
      </c>
      <c s="1">
        <v>1280</v>
      </c>
    </row>
    <row>
      <c s="23"/>
      <c s="23"/>
      <c s="23"/>
      <c s="4" t="s">
        <v>197</v>
      </c>
      <c s="1">
        <v>120</v>
      </c>
      <c s="1">
        <v>129</v>
      </c>
      <c s="1">
        <v>126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6029</v>
      </c>
      <c s="2">
        <v>5761</v>
      </c>
      <c s="2">
        <v>5657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85</v>
      </c>
      <c s="23" t="s">
        <v>117</v>
      </c>
      <c s="23" t="s">
        <v>461</v>
      </c>
      <c s="4" t="s">
        <v>202</v>
      </c>
      <c s="1">
        <v>2679</v>
      </c>
      <c s="1">
        <v>2786</v>
      </c>
      <c s="1">
        <v>2724</v>
      </c>
    </row>
    <row>
      <c s="23"/>
      <c s="23"/>
      <c s="23"/>
      <c s="4" t="s">
        <v>201</v>
      </c>
      <c s="1">
        <v>164</v>
      </c>
      <c s="1">
        <v>154</v>
      </c>
      <c s="1">
        <v>140</v>
      </c>
    </row>
    <row>
      <c s="23"/>
      <c s="23"/>
      <c s="23"/>
      <c s="4" t="s">
        <v>120</v>
      </c>
      <c s="1">
        <v>143</v>
      </c>
      <c s="1">
        <v>157</v>
      </c>
      <c s="1">
        <v>120</v>
      </c>
    </row>
    <row>
      <c s="23"/>
      <c s="23"/>
      <c s="23"/>
      <c s="4" t="s">
        <v>319</v>
      </c>
      <c s="1">
        <v>34</v>
      </c>
      <c s="1">
        <v>41</v>
      </c>
      <c s="1">
        <v>45</v>
      </c>
    </row>
    <row>
      <c s="23"/>
      <c s="23"/>
      <c s="23"/>
      <c s="4" t="s">
        <v>503</v>
      </c>
      <c s="1">
        <v>67</v>
      </c>
      <c s="1">
        <v>71</v>
      </c>
      <c s="1">
        <v>75</v>
      </c>
    </row>
    <row>
      <c s="23"/>
      <c s="23"/>
      <c s="23"/>
      <c s="4" t="s">
        <v>119</v>
      </c>
      <c s="1">
        <v>42</v>
      </c>
      <c s="1">
        <v>45</v>
      </c>
      <c s="1">
        <v>0</v>
      </c>
    </row>
    <row>
      <c s="23"/>
      <c s="23"/>
      <c s="23"/>
      <c s="4" t="s">
        <v>165</v>
      </c>
      <c s="1">
        <v>2372</v>
      </c>
      <c s="1">
        <v>2475</v>
      </c>
      <c s="1">
        <v>2464</v>
      </c>
    </row>
    <row>
      <c s="23"/>
      <c s="23"/>
      <c s="23"/>
      <c s="4" t="s">
        <v>164</v>
      </c>
      <c s="1">
        <v>1</v>
      </c>
      <c s="1">
        <v>2</v>
      </c>
      <c s="1">
        <v>51</v>
      </c>
    </row>
    <row>
      <c s="23"/>
      <c s="23"/>
      <c s="23"/>
      <c s="4" t="s">
        <v>239</v>
      </c>
      <c s="1">
        <v>3</v>
      </c>
      <c s="1">
        <v>4</v>
      </c>
      <c s="1">
        <v>5</v>
      </c>
    </row>
    <row>
      <c s="23"/>
      <c s="23"/>
      <c s="23"/>
      <c s="4" t="s">
        <v>149</v>
      </c>
      <c s="1">
        <v>1088</v>
      </c>
      <c s="1">
        <v>1106</v>
      </c>
      <c s="1">
        <v>1078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1153</v>
      </c>
      <c s="1">
        <v>1151</v>
      </c>
      <c s="1">
        <v>1130</v>
      </c>
    </row>
    <row>
      <c s="23"/>
      <c s="23"/>
      <c s="23"/>
      <c s="4" t="s">
        <v>197</v>
      </c>
      <c s="1">
        <v>133</v>
      </c>
      <c s="1">
        <v>141</v>
      </c>
      <c s="1">
        <v>160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3830</v>
      </c>
      <c s="2">
        <v>3935</v>
      </c>
      <c s="2">
        <v>3852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355</v>
      </c>
      <c s="23" t="s">
        <v>271</v>
      </c>
      <c s="23" t="s">
        <v>355</v>
      </c>
      <c s="4" t="s">
        <v>202</v>
      </c>
      <c s="1">
        <v>1006</v>
      </c>
      <c s="1">
        <v>997</v>
      </c>
      <c s="1">
        <v>1017</v>
      </c>
    </row>
    <row>
      <c s="23"/>
      <c s="23"/>
      <c s="23"/>
      <c s="4" t="s">
        <v>201</v>
      </c>
      <c s="1">
        <v>52</v>
      </c>
      <c s="1">
        <v>55</v>
      </c>
      <c s="1">
        <v>53</v>
      </c>
    </row>
    <row>
      <c s="23"/>
      <c s="23"/>
      <c s="23"/>
      <c s="4" t="s">
        <v>120</v>
      </c>
      <c s="1">
        <v>30</v>
      </c>
      <c s="1">
        <v>30</v>
      </c>
      <c s="1">
        <v>25</v>
      </c>
    </row>
    <row>
      <c s="23"/>
      <c s="23"/>
      <c s="23"/>
      <c s="4" t="s">
        <v>319</v>
      </c>
      <c s="1">
        <v>13</v>
      </c>
      <c s="1">
        <v>13</v>
      </c>
      <c s="1">
        <v>13</v>
      </c>
    </row>
    <row>
      <c s="23"/>
      <c s="23"/>
      <c s="23"/>
      <c s="4" t="s">
        <v>503</v>
      </c>
      <c s="1">
        <v>11</v>
      </c>
      <c s="1">
        <v>11</v>
      </c>
      <c s="1">
        <v>12</v>
      </c>
    </row>
    <row>
      <c s="23"/>
      <c s="23"/>
      <c s="23"/>
      <c s="4" t="s">
        <v>119</v>
      </c>
      <c s="1">
        <v>6</v>
      </c>
      <c s="1">
        <v>6</v>
      </c>
      <c s="1">
        <v>0</v>
      </c>
    </row>
    <row>
      <c s="23"/>
      <c s="23"/>
      <c s="23"/>
      <c s="4" t="s">
        <v>165</v>
      </c>
      <c s="1">
        <v>924</v>
      </c>
      <c s="1">
        <v>912</v>
      </c>
      <c s="1">
        <v>939</v>
      </c>
    </row>
    <row>
      <c s="23"/>
      <c s="23"/>
      <c s="23"/>
      <c s="4" t="s">
        <v>164</v>
      </c>
      <c s="1">
        <v>0</v>
      </c>
      <c s="1">
        <v>0</v>
      </c>
      <c s="1">
        <v>4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552</v>
      </c>
      <c s="1">
        <v>530</v>
      </c>
      <c s="1">
        <v>529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418</v>
      </c>
      <c s="1">
        <v>399</v>
      </c>
      <c s="1">
        <v>384</v>
      </c>
    </row>
    <row>
      <c s="23"/>
      <c s="23"/>
      <c s="23"/>
      <c s="4" t="s">
        <v>197</v>
      </c>
      <c s="1">
        <v>59</v>
      </c>
      <c s="1">
        <v>67</v>
      </c>
      <c s="1">
        <v>63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1411</v>
      </c>
      <c s="2">
        <v>1383</v>
      </c>
      <c s="2">
        <v>1391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507</v>
      </c>
      <c s="23" t="s">
        <v>464</v>
      </c>
      <c s="23" t="s">
        <v>270</v>
      </c>
      <c s="4" t="s">
        <v>202</v>
      </c>
      <c s="1">
        <v>2254</v>
      </c>
      <c s="1">
        <v>2201</v>
      </c>
      <c s="1">
        <v>2166</v>
      </c>
    </row>
    <row>
      <c s="23"/>
      <c s="23"/>
      <c s="23"/>
      <c s="4" t="s">
        <v>201</v>
      </c>
      <c s="1">
        <v>110</v>
      </c>
      <c s="1">
        <v>110</v>
      </c>
      <c s="1">
        <v>107</v>
      </c>
    </row>
    <row>
      <c s="23"/>
      <c s="23"/>
      <c s="23"/>
      <c s="4" t="s">
        <v>120</v>
      </c>
      <c s="1">
        <v>96</v>
      </c>
      <c s="1">
        <v>102</v>
      </c>
      <c s="1">
        <v>90</v>
      </c>
    </row>
    <row>
      <c s="23"/>
      <c s="23"/>
      <c s="23"/>
      <c s="4" t="s">
        <v>319</v>
      </c>
      <c s="1">
        <v>38</v>
      </c>
      <c s="1">
        <v>44</v>
      </c>
      <c s="1">
        <v>54</v>
      </c>
    </row>
    <row>
      <c s="23"/>
      <c s="23"/>
      <c s="23"/>
      <c s="4" t="s">
        <v>503</v>
      </c>
      <c s="1">
        <v>37</v>
      </c>
      <c s="1">
        <v>36</v>
      </c>
      <c s="1">
        <v>36</v>
      </c>
    </row>
    <row>
      <c s="23"/>
      <c s="23"/>
      <c s="23"/>
      <c s="4" t="s">
        <v>119</v>
      </c>
      <c s="1">
        <v>21</v>
      </c>
      <c s="1">
        <v>22</v>
      </c>
      <c s="1">
        <v>0</v>
      </c>
    </row>
    <row>
      <c s="23"/>
      <c s="23"/>
      <c s="23"/>
      <c s="4" t="s">
        <v>165</v>
      </c>
      <c s="1">
        <v>2049</v>
      </c>
      <c s="1">
        <v>1990</v>
      </c>
      <c s="1">
        <v>1970</v>
      </c>
    </row>
    <row>
      <c s="23"/>
      <c s="23"/>
      <c s="23"/>
      <c s="4" t="s">
        <v>164</v>
      </c>
      <c s="1">
        <v>0</v>
      </c>
      <c s="1">
        <v>0</v>
      </c>
      <c s="1">
        <v>21</v>
      </c>
    </row>
    <row>
      <c s="23"/>
      <c s="23"/>
      <c s="23"/>
      <c s="4" t="s">
        <v>239</v>
      </c>
      <c s="1">
        <v>5</v>
      </c>
      <c s="1">
        <v>3</v>
      </c>
      <c s="1">
        <v>2</v>
      </c>
    </row>
    <row>
      <c s="23"/>
      <c s="23"/>
      <c s="23"/>
      <c s="4" t="s">
        <v>149</v>
      </c>
      <c s="1">
        <v>1091</v>
      </c>
      <c s="1">
        <v>1060</v>
      </c>
      <c s="1">
        <v>972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827</v>
      </c>
      <c s="1">
        <v>810</v>
      </c>
      <c s="1">
        <v>827</v>
      </c>
    </row>
    <row>
      <c s="23"/>
      <c s="23"/>
      <c s="23"/>
      <c s="4" t="s">
        <v>197</v>
      </c>
      <c s="1">
        <v>136</v>
      </c>
      <c s="1">
        <v>138</v>
      </c>
      <c s="1">
        <v>158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3078</v>
      </c>
      <c s="2">
        <v>3008</v>
      </c>
      <c s="2">
        <v>2991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276</v>
      </c>
      <c s="23" t="s">
        <v>32</v>
      </c>
      <c s="23" t="s">
        <v>241</v>
      </c>
      <c s="4" t="s">
        <v>202</v>
      </c>
      <c s="1">
        <v>807</v>
      </c>
      <c s="1">
        <v>801</v>
      </c>
      <c s="1">
        <v>790</v>
      </c>
    </row>
    <row>
      <c s="23"/>
      <c s="23"/>
      <c s="23"/>
      <c s="4" t="s">
        <v>201</v>
      </c>
      <c s="1">
        <v>42</v>
      </c>
      <c s="1">
        <v>42</v>
      </c>
      <c s="1">
        <v>40</v>
      </c>
    </row>
    <row>
      <c s="23"/>
      <c s="23"/>
      <c s="23"/>
      <c s="4" t="s">
        <v>120</v>
      </c>
      <c s="1">
        <v>54</v>
      </c>
      <c s="1">
        <v>52</v>
      </c>
      <c s="1">
        <v>40</v>
      </c>
    </row>
    <row>
      <c s="23"/>
      <c s="23"/>
      <c s="23"/>
      <c s="4" t="s">
        <v>319</v>
      </c>
      <c s="1">
        <v>35</v>
      </c>
      <c s="1">
        <v>37</v>
      </c>
      <c s="1">
        <v>39</v>
      </c>
    </row>
    <row>
      <c s="23"/>
      <c s="23"/>
      <c s="23"/>
      <c s="4" t="s">
        <v>503</v>
      </c>
      <c s="1">
        <v>0</v>
      </c>
      <c s="1">
        <v>1</v>
      </c>
      <c s="1">
        <v>1</v>
      </c>
    </row>
    <row>
      <c s="23"/>
      <c s="23"/>
      <c s="23"/>
      <c s="4" t="s">
        <v>119</v>
      </c>
      <c s="1">
        <v>19</v>
      </c>
      <c s="1">
        <v>14</v>
      </c>
      <c s="1">
        <v>0</v>
      </c>
    </row>
    <row>
      <c s="23"/>
      <c s="23"/>
      <c s="23"/>
      <c s="4" t="s">
        <v>165</v>
      </c>
      <c s="1">
        <v>711</v>
      </c>
      <c s="1">
        <v>707</v>
      </c>
      <c s="1">
        <v>710</v>
      </c>
    </row>
    <row>
      <c s="23"/>
      <c s="23"/>
      <c s="23"/>
      <c s="4" t="s">
        <v>164</v>
      </c>
      <c s="1">
        <v>0</v>
      </c>
      <c s="1">
        <v>0</v>
      </c>
      <c s="1">
        <v>7</v>
      </c>
    </row>
    <row>
      <c s="23"/>
      <c s="23"/>
      <c s="23"/>
      <c s="4" t="s">
        <v>239</v>
      </c>
      <c s="1">
        <v>10</v>
      </c>
      <c s="1">
        <v>14</v>
      </c>
      <c s="1">
        <v>8</v>
      </c>
    </row>
    <row>
      <c s="23"/>
      <c s="23"/>
      <c s="23"/>
      <c s="4" t="s">
        <v>149</v>
      </c>
      <c s="1">
        <v>200</v>
      </c>
      <c s="1">
        <v>191</v>
      </c>
      <c s="1">
        <v>235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670</v>
      </c>
      <c s="1">
        <v>673</v>
      </c>
      <c s="1">
        <v>665</v>
      </c>
    </row>
    <row>
      <c s="23"/>
      <c s="23"/>
      <c s="23"/>
      <c s="4" t="s">
        <v>197</v>
      </c>
      <c s="1">
        <v>46</v>
      </c>
      <c s="1">
        <v>56</v>
      </c>
      <c s="1">
        <v>45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146</v>
      </c>
      <c s="1">
        <v>107</v>
      </c>
      <c s="1">
        <v>105</v>
      </c>
    </row>
    <row>
      <c s="23"/>
      <c s="23"/>
      <c s="23"/>
      <c s="6" t="s">
        <v>114</v>
      </c>
      <c s="2">
        <v>1477</v>
      </c>
      <c s="2">
        <v>1474</v>
      </c>
      <c s="2">
        <v>1455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392</v>
      </c>
      <c s="23" t="s">
        <v>162</v>
      </c>
      <c s="23" t="s">
        <v>115</v>
      </c>
      <c s="4" t="s">
        <v>202</v>
      </c>
      <c s="1">
        <v>1878</v>
      </c>
      <c s="1">
        <v>1734</v>
      </c>
      <c s="1">
        <v>1713</v>
      </c>
    </row>
    <row>
      <c s="23"/>
      <c s="23"/>
      <c s="23"/>
      <c s="4" t="s">
        <v>201</v>
      </c>
      <c s="1">
        <v>128</v>
      </c>
      <c s="1">
        <v>126</v>
      </c>
      <c s="1">
        <v>120</v>
      </c>
    </row>
    <row>
      <c s="23"/>
      <c s="23"/>
      <c s="23"/>
      <c s="4" t="s">
        <v>120</v>
      </c>
      <c s="1">
        <v>78</v>
      </c>
      <c s="1">
        <v>84</v>
      </c>
      <c s="1">
        <v>77</v>
      </c>
    </row>
    <row>
      <c s="23"/>
      <c s="23"/>
      <c s="23"/>
      <c s="4" t="s">
        <v>319</v>
      </c>
      <c s="1">
        <v>33</v>
      </c>
      <c s="1">
        <v>42</v>
      </c>
      <c s="1">
        <v>48</v>
      </c>
    </row>
    <row>
      <c s="23"/>
      <c s="23"/>
      <c s="23"/>
      <c s="4" t="s">
        <v>503</v>
      </c>
      <c s="1">
        <v>33</v>
      </c>
      <c s="1">
        <v>28</v>
      </c>
      <c s="1">
        <v>29</v>
      </c>
    </row>
    <row>
      <c s="23"/>
      <c s="23"/>
      <c s="23"/>
      <c s="4" t="s">
        <v>119</v>
      </c>
      <c s="1">
        <v>12</v>
      </c>
      <c s="1">
        <v>14</v>
      </c>
      <c s="1">
        <v>0</v>
      </c>
    </row>
    <row>
      <c s="23"/>
      <c s="23"/>
      <c s="23"/>
      <c s="4" t="s">
        <v>165</v>
      </c>
      <c s="1">
        <v>1672</v>
      </c>
      <c s="1">
        <v>1524</v>
      </c>
      <c s="1">
        <v>1516</v>
      </c>
    </row>
    <row>
      <c s="23"/>
      <c s="23"/>
      <c s="23"/>
      <c s="4" t="s">
        <v>164</v>
      </c>
      <c s="1">
        <v>0</v>
      </c>
      <c s="1">
        <v>0</v>
      </c>
      <c s="1">
        <v>24</v>
      </c>
    </row>
    <row>
      <c s="23"/>
      <c s="23"/>
      <c s="23"/>
      <c s="4" t="s">
        <v>239</v>
      </c>
      <c s="1">
        <v>11</v>
      </c>
      <c s="1">
        <v>4</v>
      </c>
      <c s="1">
        <v>4</v>
      </c>
    </row>
    <row>
      <c s="23"/>
      <c s="23"/>
      <c s="23"/>
      <c s="4" t="s">
        <v>149</v>
      </c>
      <c s="1">
        <v>260</v>
      </c>
      <c s="1">
        <v>242</v>
      </c>
      <c s="1">
        <v>235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870</v>
      </c>
      <c s="1">
        <v>878</v>
      </c>
      <c s="1">
        <v>877</v>
      </c>
    </row>
    <row>
      <c s="23"/>
      <c s="23"/>
      <c s="23"/>
      <c s="4" t="s">
        <v>197</v>
      </c>
      <c s="1">
        <v>26</v>
      </c>
      <c s="1">
        <v>28</v>
      </c>
      <c s="1">
        <v>30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2741</v>
      </c>
      <c s="2">
        <v>2605</v>
      </c>
      <c s="2">
        <v>2579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194</v>
      </c>
      <c s="23" t="s">
        <v>317</v>
      </c>
      <c s="23" t="s">
        <v>194</v>
      </c>
      <c s="4" t="s">
        <v>202</v>
      </c>
      <c s="1">
        <v>3058</v>
      </c>
      <c s="1">
        <v>2936</v>
      </c>
      <c s="1">
        <v>2880</v>
      </c>
    </row>
    <row>
      <c s="23"/>
      <c s="23"/>
      <c s="23"/>
      <c s="4" t="s">
        <v>201</v>
      </c>
      <c s="1">
        <v>181</v>
      </c>
      <c s="1">
        <v>176</v>
      </c>
      <c s="1">
        <v>173</v>
      </c>
    </row>
    <row>
      <c s="23"/>
      <c s="23"/>
      <c s="23"/>
      <c s="4" t="s">
        <v>120</v>
      </c>
      <c s="1">
        <v>126</v>
      </c>
      <c s="1">
        <v>135</v>
      </c>
      <c s="1">
        <v>127</v>
      </c>
    </row>
    <row>
      <c s="23"/>
      <c s="23"/>
      <c s="23"/>
      <c s="4" t="s">
        <v>319</v>
      </c>
      <c s="1">
        <v>42</v>
      </c>
      <c s="1">
        <v>47</v>
      </c>
      <c s="1">
        <v>50</v>
      </c>
    </row>
    <row>
      <c s="23"/>
      <c s="23"/>
      <c s="23"/>
      <c s="4" t="s">
        <v>503</v>
      </c>
      <c s="1">
        <v>70</v>
      </c>
      <c s="1">
        <v>73</v>
      </c>
      <c s="1">
        <v>77</v>
      </c>
    </row>
    <row>
      <c s="23"/>
      <c s="23"/>
      <c s="23"/>
      <c s="4" t="s">
        <v>119</v>
      </c>
      <c s="1">
        <v>14</v>
      </c>
      <c s="1">
        <v>15</v>
      </c>
      <c s="1">
        <v>0</v>
      </c>
    </row>
    <row>
      <c s="23"/>
      <c s="23"/>
      <c s="23"/>
      <c s="4" t="s">
        <v>165</v>
      </c>
      <c s="1">
        <v>2753</v>
      </c>
      <c s="1">
        <v>2628</v>
      </c>
      <c s="1">
        <v>2584</v>
      </c>
    </row>
    <row>
      <c s="23"/>
      <c s="23"/>
      <c s="23"/>
      <c s="4" t="s">
        <v>164</v>
      </c>
      <c s="1">
        <v>0</v>
      </c>
      <c s="1">
        <v>0</v>
      </c>
      <c s="1">
        <v>15</v>
      </c>
    </row>
    <row>
      <c s="23"/>
      <c s="23"/>
      <c s="23"/>
      <c s="4" t="s">
        <v>239</v>
      </c>
      <c s="1">
        <v>8</v>
      </c>
      <c s="1">
        <v>3</v>
      </c>
      <c s="1">
        <v>2</v>
      </c>
    </row>
    <row>
      <c s="23"/>
      <c s="23"/>
      <c s="23"/>
      <c s="4" t="s">
        <v>149</v>
      </c>
      <c s="1">
        <v>643</v>
      </c>
      <c s="1">
        <v>669</v>
      </c>
      <c s="1">
        <v>684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1138</v>
      </c>
      <c s="1">
        <v>1063</v>
      </c>
      <c s="1">
        <v>1036</v>
      </c>
    </row>
    <row>
      <c s="23"/>
      <c s="23"/>
      <c s="23"/>
      <c s="4" t="s">
        <v>197</v>
      </c>
      <c s="1">
        <v>92</v>
      </c>
      <c s="1">
        <v>89</v>
      </c>
      <c s="1">
        <v>90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25</v>
      </c>
      <c s="1">
        <v>5</v>
      </c>
      <c s="1">
        <v>10</v>
      </c>
    </row>
    <row>
      <c s="23"/>
      <c s="23"/>
      <c s="23"/>
      <c s="6" t="s">
        <v>114</v>
      </c>
      <c s="2">
        <v>4189</v>
      </c>
      <c s="2">
        <v>3992</v>
      </c>
      <c s="2">
        <v>3910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535</v>
      </c>
      <c s="23" t="s">
        <v>462</v>
      </c>
      <c s="23" t="s">
        <v>535</v>
      </c>
      <c s="4" t="s">
        <v>202</v>
      </c>
      <c s="1">
        <v>1233</v>
      </c>
      <c s="1">
        <v>1195</v>
      </c>
      <c s="1">
        <v>1168</v>
      </c>
    </row>
    <row>
      <c s="23"/>
      <c s="23"/>
      <c s="23"/>
      <c s="4" t="s">
        <v>201</v>
      </c>
      <c s="1">
        <v>78</v>
      </c>
      <c s="1">
        <v>74</v>
      </c>
      <c s="1">
        <v>75</v>
      </c>
    </row>
    <row>
      <c s="23"/>
      <c s="23"/>
      <c s="23"/>
      <c s="4" t="s">
        <v>120</v>
      </c>
      <c s="1">
        <v>70</v>
      </c>
      <c s="1">
        <v>71</v>
      </c>
      <c s="1">
        <v>67</v>
      </c>
    </row>
    <row>
      <c s="23"/>
      <c s="23"/>
      <c s="23"/>
      <c s="4" t="s">
        <v>319</v>
      </c>
      <c s="1">
        <v>10</v>
      </c>
      <c s="1">
        <v>12</v>
      </c>
      <c s="1">
        <v>16</v>
      </c>
    </row>
    <row>
      <c s="23"/>
      <c s="23"/>
      <c s="23"/>
      <c s="4" t="s">
        <v>503</v>
      </c>
      <c s="1">
        <v>50</v>
      </c>
      <c s="1">
        <v>49</v>
      </c>
      <c s="1">
        <v>51</v>
      </c>
    </row>
    <row>
      <c s="23"/>
      <c s="23"/>
      <c s="23"/>
      <c s="4" t="s">
        <v>119</v>
      </c>
      <c s="1">
        <v>10</v>
      </c>
      <c s="1">
        <v>10</v>
      </c>
      <c s="1">
        <v>0</v>
      </c>
    </row>
    <row>
      <c s="23"/>
      <c s="23"/>
      <c s="23"/>
      <c s="4" t="s">
        <v>165</v>
      </c>
      <c s="1">
        <v>1085</v>
      </c>
      <c s="1">
        <v>1050</v>
      </c>
      <c s="1">
        <v>1026</v>
      </c>
    </row>
    <row>
      <c s="23"/>
      <c s="23"/>
      <c s="23"/>
      <c s="4" t="s">
        <v>164</v>
      </c>
      <c s="1">
        <v>1</v>
      </c>
      <c s="1">
        <v>2</v>
      </c>
      <c s="1">
        <v>6</v>
      </c>
    </row>
    <row>
      <c s="23"/>
      <c s="23"/>
      <c s="23"/>
      <c s="4" t="s">
        <v>239</v>
      </c>
      <c s="1">
        <v>2</v>
      </c>
      <c s="1">
        <v>5</v>
      </c>
      <c s="1">
        <v>4</v>
      </c>
    </row>
    <row>
      <c s="23"/>
      <c s="23"/>
      <c s="23"/>
      <c s="4" t="s">
        <v>149</v>
      </c>
      <c s="1">
        <v>130</v>
      </c>
      <c s="1">
        <v>134</v>
      </c>
      <c s="1">
        <v>144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513</v>
      </c>
      <c s="1">
        <v>506</v>
      </c>
      <c s="1">
        <v>501</v>
      </c>
    </row>
    <row>
      <c s="23"/>
      <c s="23"/>
      <c s="23"/>
      <c s="4" t="s">
        <v>197</v>
      </c>
      <c s="1">
        <v>15</v>
      </c>
      <c s="1">
        <v>13</v>
      </c>
      <c s="1">
        <v>13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1743</v>
      </c>
      <c s="2">
        <v>1698</v>
      </c>
      <c s="2">
        <v>1667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460</v>
      </c>
      <c s="23" t="s">
        <v>354</v>
      </c>
      <c s="23" t="s">
        <v>429</v>
      </c>
      <c s="4" t="s">
        <v>202</v>
      </c>
      <c s="1">
        <v>681</v>
      </c>
      <c s="1">
        <v>676</v>
      </c>
      <c s="1">
        <v>672</v>
      </c>
    </row>
    <row>
      <c s="23"/>
      <c s="23"/>
      <c s="23"/>
      <c s="4" t="s">
        <v>201</v>
      </c>
      <c s="1">
        <v>45</v>
      </c>
      <c s="1">
        <v>48</v>
      </c>
      <c s="1">
        <v>45</v>
      </c>
    </row>
    <row>
      <c s="23"/>
      <c s="23"/>
      <c s="23"/>
      <c s="4" t="s">
        <v>120</v>
      </c>
      <c s="1">
        <v>5</v>
      </c>
      <c s="1">
        <v>4</v>
      </c>
      <c s="1">
        <v>5</v>
      </c>
    </row>
    <row>
      <c s="23"/>
      <c s="23"/>
      <c s="23"/>
      <c s="4" t="s">
        <v>319</v>
      </c>
      <c s="1">
        <v>4</v>
      </c>
      <c s="1">
        <v>4</v>
      </c>
      <c s="1">
        <v>5</v>
      </c>
    </row>
    <row>
      <c s="23"/>
      <c s="23"/>
      <c s="23"/>
      <c s="4" t="s">
        <v>503</v>
      </c>
      <c s="1">
        <v>0</v>
      </c>
      <c s="1">
        <v>0</v>
      </c>
      <c s="1">
        <v>0</v>
      </c>
    </row>
    <row>
      <c s="23"/>
      <c s="23"/>
      <c s="23"/>
      <c s="4" t="s">
        <v>119</v>
      </c>
      <c s="1">
        <v>1</v>
      </c>
      <c s="1">
        <v>0</v>
      </c>
      <c s="1">
        <v>0</v>
      </c>
    </row>
    <row>
      <c s="23"/>
      <c s="23"/>
      <c s="23"/>
      <c s="4" t="s">
        <v>165</v>
      </c>
      <c s="1">
        <v>632</v>
      </c>
      <c s="1">
        <v>627</v>
      </c>
      <c s="1">
        <v>624</v>
      </c>
    </row>
    <row>
      <c s="23"/>
      <c s="23"/>
      <c s="23"/>
      <c s="4" t="s">
        <v>164</v>
      </c>
      <c s="1">
        <v>0</v>
      </c>
      <c s="1">
        <v>0</v>
      </c>
      <c s="1">
        <v>0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66</v>
      </c>
      <c s="1">
        <v>81</v>
      </c>
      <c s="1">
        <v>81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312</v>
      </c>
      <c s="1">
        <v>315</v>
      </c>
      <c s="1">
        <v>303</v>
      </c>
    </row>
    <row>
      <c s="23"/>
      <c s="23"/>
      <c s="23"/>
      <c s="4" t="s">
        <v>197</v>
      </c>
      <c s="1">
        <v>3</v>
      </c>
      <c s="1">
        <v>1</v>
      </c>
      <c s="1">
        <v>1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975</v>
      </c>
      <c s="2">
        <v>972</v>
      </c>
      <c s="2">
        <v>957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506</v>
      </c>
      <c s="23" t="s">
        <v>505</v>
      </c>
      <c s="23" t="s">
        <v>240</v>
      </c>
      <c s="4" t="s">
        <v>202</v>
      </c>
      <c s="1">
        <v>1123</v>
      </c>
      <c s="1">
        <v>1099</v>
      </c>
      <c s="1">
        <v>1093</v>
      </c>
    </row>
    <row>
      <c s="23"/>
      <c s="23"/>
      <c s="23"/>
      <c s="4" t="s">
        <v>201</v>
      </c>
      <c s="1">
        <v>194</v>
      </c>
      <c s="1">
        <v>187</v>
      </c>
      <c s="1">
        <v>182</v>
      </c>
    </row>
    <row>
      <c s="23"/>
      <c s="23"/>
      <c s="23"/>
      <c s="4" t="s">
        <v>120</v>
      </c>
      <c s="1">
        <v>34</v>
      </c>
      <c s="1">
        <v>36</v>
      </c>
      <c s="1">
        <v>33</v>
      </c>
    </row>
    <row>
      <c s="23"/>
      <c s="23"/>
      <c s="23"/>
      <c s="4" t="s">
        <v>319</v>
      </c>
      <c s="1">
        <v>22</v>
      </c>
      <c s="1">
        <v>24</v>
      </c>
      <c s="1">
        <v>29</v>
      </c>
    </row>
    <row>
      <c s="23"/>
      <c s="23"/>
      <c s="23"/>
      <c s="4" t="s">
        <v>503</v>
      </c>
      <c s="1">
        <v>4</v>
      </c>
      <c s="1">
        <v>3</v>
      </c>
      <c s="1">
        <v>4</v>
      </c>
    </row>
    <row>
      <c s="23"/>
      <c s="23"/>
      <c s="23"/>
      <c s="4" t="s">
        <v>119</v>
      </c>
      <c s="1">
        <v>8</v>
      </c>
      <c s="1">
        <v>9</v>
      </c>
      <c s="1">
        <v>0</v>
      </c>
    </row>
    <row>
      <c s="23"/>
      <c s="23"/>
      <c s="23"/>
      <c s="4" t="s">
        <v>165</v>
      </c>
      <c s="1">
        <v>895</v>
      </c>
      <c s="1">
        <v>876</v>
      </c>
      <c s="1">
        <v>878</v>
      </c>
    </row>
    <row>
      <c s="23"/>
      <c s="23"/>
      <c s="23"/>
      <c s="4" t="s">
        <v>164</v>
      </c>
      <c s="1">
        <v>0</v>
      </c>
      <c s="1">
        <v>0</v>
      </c>
      <c s="1">
        <v>5</v>
      </c>
    </row>
    <row>
      <c s="23"/>
      <c s="23"/>
      <c s="23"/>
      <c s="4" t="s">
        <v>239</v>
      </c>
      <c s="1">
        <v>2</v>
      </c>
      <c s="1">
        <v>1</v>
      </c>
      <c s="1">
        <v>0</v>
      </c>
    </row>
    <row>
      <c s="23"/>
      <c s="23"/>
      <c s="23"/>
      <c s="4" t="s">
        <v>149</v>
      </c>
      <c s="1">
        <v>55</v>
      </c>
      <c s="1">
        <v>52</v>
      </c>
      <c s="1">
        <v>51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446</v>
      </c>
      <c s="1">
        <v>434</v>
      </c>
      <c s="1">
        <v>423</v>
      </c>
    </row>
    <row>
      <c s="23"/>
      <c s="23"/>
      <c s="23"/>
      <c s="4" t="s">
        <v>197</v>
      </c>
      <c s="1">
        <v>6</v>
      </c>
      <c s="1">
        <v>2</v>
      </c>
      <c s="1">
        <v>0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1563</v>
      </c>
      <c s="2">
        <v>1527</v>
      </c>
      <c s="2">
        <v>1511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84</v>
      </c>
      <c s="23" t="s">
        <v>45</v>
      </c>
      <c s="23" t="s">
        <v>316</v>
      </c>
      <c s="4" t="s">
        <v>202</v>
      </c>
      <c s="1">
        <v>675</v>
      </c>
      <c s="1">
        <v>653</v>
      </c>
      <c s="1">
        <v>654</v>
      </c>
    </row>
    <row>
      <c s="23"/>
      <c s="23"/>
      <c s="23"/>
      <c s="4" t="s">
        <v>201</v>
      </c>
      <c s="1">
        <v>118</v>
      </c>
      <c s="1">
        <v>114</v>
      </c>
      <c s="1">
        <v>110</v>
      </c>
    </row>
    <row>
      <c s="23"/>
      <c s="23"/>
      <c s="23"/>
      <c s="4" t="s">
        <v>120</v>
      </c>
      <c s="1">
        <v>13</v>
      </c>
      <c s="1">
        <v>18</v>
      </c>
      <c s="1">
        <v>18</v>
      </c>
    </row>
    <row>
      <c s="23"/>
      <c s="23"/>
      <c s="23"/>
      <c s="4" t="s">
        <v>319</v>
      </c>
      <c s="1">
        <v>12</v>
      </c>
      <c s="1">
        <v>14</v>
      </c>
      <c s="1">
        <v>18</v>
      </c>
    </row>
    <row>
      <c s="23"/>
      <c s="23"/>
      <c s="23"/>
      <c s="4" t="s">
        <v>503</v>
      </c>
      <c s="1">
        <v>0</v>
      </c>
      <c s="1">
        <v>0</v>
      </c>
      <c s="1">
        <v>0</v>
      </c>
    </row>
    <row>
      <c s="23"/>
      <c s="23"/>
      <c s="23"/>
      <c s="4" t="s">
        <v>119</v>
      </c>
      <c s="1">
        <v>1</v>
      </c>
      <c s="1">
        <v>4</v>
      </c>
      <c s="1">
        <v>0</v>
      </c>
    </row>
    <row>
      <c s="23"/>
      <c s="23"/>
      <c s="23"/>
      <c s="4" t="s">
        <v>165</v>
      </c>
      <c s="1">
        <v>544</v>
      </c>
      <c s="1">
        <v>521</v>
      </c>
      <c s="1">
        <v>526</v>
      </c>
    </row>
    <row>
      <c s="23"/>
      <c s="23"/>
      <c s="23"/>
      <c s="4" t="s">
        <v>164</v>
      </c>
      <c s="1">
        <v>0</v>
      </c>
      <c s="1">
        <v>0</v>
      </c>
      <c s="1">
        <v>0</v>
      </c>
    </row>
    <row>
      <c s="23"/>
      <c s="23"/>
      <c s="23"/>
      <c s="4" t="s">
        <v>239</v>
      </c>
      <c s="1">
        <v>0</v>
      </c>
      <c s="1">
        <v>0</v>
      </c>
      <c s="1">
        <v>5</v>
      </c>
    </row>
    <row>
      <c s="23"/>
      <c s="23"/>
      <c s="23"/>
      <c s="4" t="s">
        <v>149</v>
      </c>
      <c s="1">
        <v>16</v>
      </c>
      <c s="1">
        <v>8</v>
      </c>
      <c s="1">
        <v>11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250</v>
      </c>
      <c s="1">
        <v>240</v>
      </c>
      <c s="1">
        <v>255</v>
      </c>
    </row>
    <row>
      <c s="23"/>
      <c s="23"/>
      <c s="23"/>
      <c s="4" t="s">
        <v>197</v>
      </c>
      <c s="1">
        <v>2</v>
      </c>
      <c s="1">
        <v>2</v>
      </c>
      <c s="1">
        <v>1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924</v>
      </c>
      <c s="2">
        <v>893</v>
      </c>
      <c s="2">
        <v>908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274</v>
      </c>
      <c s="23" t="s">
        <v>198</v>
      </c>
      <c s="23" t="s">
        <v>48</v>
      </c>
      <c s="4" t="s">
        <v>202</v>
      </c>
      <c s="1">
        <v>589</v>
      </c>
      <c s="1">
        <v>561</v>
      </c>
      <c s="1">
        <v>556</v>
      </c>
    </row>
    <row>
      <c s="23"/>
      <c s="23"/>
      <c s="23"/>
      <c s="4" t="s">
        <v>201</v>
      </c>
      <c s="1">
        <v>125</v>
      </c>
      <c s="1">
        <v>123</v>
      </c>
      <c s="1">
        <v>118</v>
      </c>
    </row>
    <row>
      <c s="23"/>
      <c s="23"/>
      <c s="23"/>
      <c s="4" t="s">
        <v>120</v>
      </c>
      <c s="1">
        <v>14</v>
      </c>
      <c s="1">
        <v>15</v>
      </c>
      <c s="1">
        <v>13</v>
      </c>
    </row>
    <row>
      <c s="23"/>
      <c s="23"/>
      <c s="23"/>
      <c s="4" t="s">
        <v>319</v>
      </c>
      <c s="1">
        <v>11</v>
      </c>
      <c s="1">
        <v>11</v>
      </c>
      <c s="1">
        <v>12</v>
      </c>
    </row>
    <row>
      <c s="23"/>
      <c s="23"/>
      <c s="23"/>
      <c s="4" t="s">
        <v>503</v>
      </c>
      <c s="1">
        <v>1</v>
      </c>
      <c s="1">
        <v>1</v>
      </c>
      <c s="1">
        <v>1</v>
      </c>
    </row>
    <row>
      <c s="23"/>
      <c s="23"/>
      <c s="23"/>
      <c s="4" t="s">
        <v>119</v>
      </c>
      <c s="1">
        <v>2</v>
      </c>
      <c s="1">
        <v>3</v>
      </c>
      <c s="1">
        <v>0</v>
      </c>
    </row>
    <row>
      <c s="23"/>
      <c s="23"/>
      <c s="23"/>
      <c s="4" t="s">
        <v>165</v>
      </c>
      <c s="1">
        <v>450</v>
      </c>
      <c s="1">
        <v>423</v>
      </c>
      <c s="1">
        <v>425</v>
      </c>
    </row>
    <row>
      <c s="23"/>
      <c s="23"/>
      <c s="23"/>
      <c s="4" t="s">
        <v>164</v>
      </c>
      <c s="1">
        <v>0</v>
      </c>
      <c s="1">
        <v>0</v>
      </c>
      <c s="1">
        <v>2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21</v>
      </c>
      <c s="1">
        <v>24</v>
      </c>
      <c s="1">
        <v>27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231</v>
      </c>
      <c s="1">
        <v>216</v>
      </c>
      <c s="1">
        <v>205</v>
      </c>
    </row>
    <row>
      <c s="23"/>
      <c s="23"/>
      <c s="23"/>
      <c s="4" t="s">
        <v>197</v>
      </c>
      <c s="1">
        <v>3</v>
      </c>
      <c s="1">
        <v>0</v>
      </c>
      <c s="1">
        <v>0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819</v>
      </c>
      <c s="2">
        <v>777</v>
      </c>
      <c s="2">
        <v>760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508</v>
      </c>
      <c s="23" t="s">
        <v>357</v>
      </c>
      <c s="23" t="s">
        <v>579</v>
      </c>
      <c s="4" t="s">
        <v>202</v>
      </c>
      <c s="1">
        <v>514</v>
      </c>
      <c s="1">
        <v>498</v>
      </c>
      <c s="1">
        <v>480</v>
      </c>
    </row>
    <row>
      <c s="23"/>
      <c s="23"/>
      <c s="23"/>
      <c s="4" t="s">
        <v>201</v>
      </c>
      <c s="1">
        <v>49</v>
      </c>
      <c s="1">
        <v>44</v>
      </c>
      <c s="1">
        <v>40</v>
      </c>
    </row>
    <row>
      <c s="23"/>
      <c s="23"/>
      <c s="23"/>
      <c s="4" t="s">
        <v>120</v>
      </c>
      <c s="1">
        <v>5</v>
      </c>
      <c s="1">
        <v>5</v>
      </c>
      <c s="1">
        <v>6</v>
      </c>
    </row>
    <row>
      <c s="23"/>
      <c s="23"/>
      <c s="23"/>
      <c s="4" t="s">
        <v>319</v>
      </c>
      <c s="1">
        <v>3</v>
      </c>
      <c s="1">
        <v>3</v>
      </c>
      <c s="1">
        <v>5</v>
      </c>
    </row>
    <row>
      <c s="23"/>
      <c s="23"/>
      <c s="23"/>
      <c s="4" t="s">
        <v>503</v>
      </c>
      <c s="1">
        <v>1</v>
      </c>
      <c s="1">
        <v>1</v>
      </c>
      <c s="1">
        <v>1</v>
      </c>
    </row>
    <row>
      <c s="23"/>
      <c s="23"/>
      <c s="23"/>
      <c s="4" t="s">
        <v>119</v>
      </c>
      <c s="1">
        <v>1</v>
      </c>
      <c s="1">
        <v>1</v>
      </c>
      <c s="1">
        <v>0</v>
      </c>
    </row>
    <row>
      <c s="23"/>
      <c s="23"/>
      <c s="23"/>
      <c s="4" t="s">
        <v>165</v>
      </c>
      <c s="1">
        <v>463</v>
      </c>
      <c s="1">
        <v>451</v>
      </c>
      <c s="1">
        <v>434</v>
      </c>
    </row>
    <row>
      <c s="23"/>
      <c s="23"/>
      <c s="23"/>
      <c s="4" t="s">
        <v>164</v>
      </c>
      <c s="1">
        <v>0</v>
      </c>
      <c s="1">
        <v>1</v>
      </c>
      <c s="1">
        <v>2</v>
      </c>
    </row>
    <row>
      <c s="23"/>
      <c s="23"/>
      <c s="23"/>
      <c s="4" t="s">
        <v>239</v>
      </c>
      <c s="1">
        <v>1</v>
      </c>
      <c s="1">
        <v>1</v>
      </c>
      <c s="1">
        <v>0</v>
      </c>
    </row>
    <row>
      <c s="23"/>
      <c s="23"/>
      <c s="23"/>
      <c s="4" t="s">
        <v>149</v>
      </c>
      <c s="1">
        <v>14</v>
      </c>
      <c s="1">
        <v>11</v>
      </c>
      <c s="1">
        <v>14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138</v>
      </c>
      <c s="1">
        <v>140</v>
      </c>
      <c s="1">
        <v>133</v>
      </c>
    </row>
    <row>
      <c s="23"/>
      <c s="23"/>
      <c s="23"/>
      <c s="4" t="s">
        <v>197</v>
      </c>
      <c s="1">
        <v>2</v>
      </c>
      <c s="1">
        <v>3</v>
      </c>
      <c s="1">
        <v>1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639</v>
      </c>
      <c s="2">
        <v>620</v>
      </c>
      <c s="2">
        <v>596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465</v>
      </c>
      <c s="23" t="s">
        <v>196</v>
      </c>
      <c s="23" t="s">
        <v>504</v>
      </c>
      <c s="4" t="s">
        <v>202</v>
      </c>
      <c s="1">
        <v>393</v>
      </c>
      <c s="1">
        <v>393</v>
      </c>
      <c s="1">
        <v>383</v>
      </c>
    </row>
    <row>
      <c s="23"/>
      <c s="23"/>
      <c s="23"/>
      <c s="4" t="s">
        <v>201</v>
      </c>
      <c s="1">
        <v>37</v>
      </c>
      <c s="1">
        <v>40</v>
      </c>
      <c s="1">
        <v>35</v>
      </c>
    </row>
    <row>
      <c s="23"/>
      <c s="23"/>
      <c s="23"/>
      <c s="4" t="s">
        <v>120</v>
      </c>
      <c s="1">
        <v>8</v>
      </c>
      <c s="1">
        <v>8</v>
      </c>
      <c s="1">
        <v>6</v>
      </c>
    </row>
    <row>
      <c s="23"/>
      <c s="23"/>
      <c s="23"/>
      <c s="4" t="s">
        <v>319</v>
      </c>
      <c s="1">
        <v>5</v>
      </c>
      <c s="1">
        <v>5</v>
      </c>
      <c s="1">
        <v>5</v>
      </c>
    </row>
    <row>
      <c s="23"/>
      <c s="23"/>
      <c s="23"/>
      <c s="4" t="s">
        <v>503</v>
      </c>
      <c s="1">
        <v>1</v>
      </c>
      <c s="1">
        <v>1</v>
      </c>
      <c s="1">
        <v>1</v>
      </c>
    </row>
    <row>
      <c s="23"/>
      <c s="23"/>
      <c s="23"/>
      <c s="4" t="s">
        <v>119</v>
      </c>
      <c s="1">
        <v>2</v>
      </c>
      <c s="1">
        <v>2</v>
      </c>
      <c s="1">
        <v>0</v>
      </c>
    </row>
    <row>
      <c s="23"/>
      <c s="23"/>
      <c s="23"/>
      <c s="4" t="s">
        <v>165</v>
      </c>
      <c s="1">
        <v>348</v>
      </c>
      <c s="1">
        <v>345</v>
      </c>
      <c s="1">
        <v>342</v>
      </c>
    </row>
    <row>
      <c s="23"/>
      <c s="23"/>
      <c s="23"/>
      <c s="4" t="s">
        <v>164</v>
      </c>
      <c s="1">
        <v>0</v>
      </c>
      <c s="1">
        <v>0</v>
      </c>
      <c s="1">
        <v>2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50</v>
      </c>
      <c s="1">
        <v>52</v>
      </c>
      <c s="1">
        <v>58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175</v>
      </c>
      <c s="1">
        <v>176</v>
      </c>
      <c s="1">
        <v>172</v>
      </c>
    </row>
    <row>
      <c s="23"/>
      <c s="23"/>
      <c s="23"/>
      <c s="4" t="s">
        <v>197</v>
      </c>
      <c s="1">
        <v>1</v>
      </c>
      <c s="1">
        <v>1</v>
      </c>
      <c s="1">
        <v>1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567</v>
      </c>
      <c s="2">
        <v>568</v>
      </c>
      <c s="2">
        <v>554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 s="23" t="s">
        <v>118</v>
      </c>
      <c s="23" t="s">
        <v>31</v>
      </c>
      <c s="23" t="s">
        <v>7</v>
      </c>
      <c s="4" t="s">
        <v>202</v>
      </c>
      <c s="1">
        <v>1067</v>
      </c>
      <c s="1">
        <v>1166</v>
      </c>
      <c s="1">
        <v>1204</v>
      </c>
    </row>
    <row>
      <c s="23"/>
      <c s="23"/>
      <c s="23"/>
      <c s="4" t="s">
        <v>201</v>
      </c>
      <c s="1">
        <v>32</v>
      </c>
      <c s="1">
        <v>30</v>
      </c>
      <c s="1">
        <v>26</v>
      </c>
    </row>
    <row>
      <c s="23"/>
      <c s="23"/>
      <c s="23"/>
      <c s="4" t="s">
        <v>120</v>
      </c>
      <c s="1">
        <v>30</v>
      </c>
      <c s="1">
        <v>23</v>
      </c>
      <c s="1">
        <v>16</v>
      </c>
    </row>
    <row>
      <c s="23"/>
      <c s="23"/>
      <c s="23"/>
      <c s="4" t="s">
        <v>319</v>
      </c>
      <c s="1">
        <v>17</v>
      </c>
      <c s="1">
        <v>12</v>
      </c>
      <c s="1">
        <v>13</v>
      </c>
    </row>
    <row>
      <c s="23"/>
      <c s="23"/>
      <c s="23"/>
      <c s="4" t="s">
        <v>503</v>
      </c>
      <c s="1">
        <v>11</v>
      </c>
      <c s="1">
        <v>8</v>
      </c>
      <c s="1">
        <v>3</v>
      </c>
    </row>
    <row>
      <c s="23"/>
      <c s="23"/>
      <c s="23"/>
      <c s="4" t="s">
        <v>119</v>
      </c>
      <c s="1">
        <v>2</v>
      </c>
      <c s="1">
        <v>3</v>
      </c>
      <c s="1">
        <v>0</v>
      </c>
    </row>
    <row>
      <c s="23"/>
      <c s="23"/>
      <c s="23"/>
      <c s="4" t="s">
        <v>165</v>
      </c>
      <c s="1">
        <v>1005</v>
      </c>
      <c s="1">
        <v>1113</v>
      </c>
      <c s="1">
        <v>1162</v>
      </c>
    </row>
    <row>
      <c s="23"/>
      <c s="23"/>
      <c s="23"/>
      <c s="4" t="s">
        <v>164</v>
      </c>
      <c s="1">
        <v>6</v>
      </c>
      <c s="1">
        <v>8</v>
      </c>
      <c s="1">
        <v>16</v>
      </c>
    </row>
    <row>
      <c s="23"/>
      <c s="23"/>
      <c s="23"/>
      <c s="4" t="s">
        <v>239</v>
      </c>
      <c s="1">
        <v>0</v>
      </c>
      <c s="1">
        <v>0</v>
      </c>
      <c s="1">
        <v>0</v>
      </c>
    </row>
    <row>
      <c s="23"/>
      <c s="23"/>
      <c s="23"/>
      <c s="4" t="s">
        <v>149</v>
      </c>
      <c s="1">
        <v>130</v>
      </c>
      <c s="1">
        <v>123</v>
      </c>
      <c s="1">
        <v>117</v>
      </c>
    </row>
    <row>
      <c s="23"/>
      <c s="23"/>
      <c s="23"/>
      <c s="4" t="s">
        <v>238</v>
      </c>
      <c s="1">
        <v>0</v>
      </c>
      <c s="1">
        <v>0</v>
      </c>
      <c s="1">
        <v>0</v>
      </c>
    </row>
    <row>
      <c s="23"/>
      <c s="23"/>
      <c s="23"/>
      <c s="4" t="s">
        <v>5</v>
      </c>
      <c s="1">
        <v>383</v>
      </c>
      <c s="1">
        <v>353</v>
      </c>
      <c s="1">
        <v>350</v>
      </c>
    </row>
    <row>
      <c s="23"/>
      <c s="23"/>
      <c s="23"/>
      <c s="4" t="s">
        <v>197</v>
      </c>
      <c s="1">
        <v>11</v>
      </c>
      <c s="1">
        <v>10</v>
      </c>
      <c s="1">
        <v>12</v>
      </c>
    </row>
    <row>
      <c s="23"/>
      <c s="23"/>
      <c s="23"/>
      <c s="7" t="s">
        <v>318</v>
      </c>
      <c s="1">
        <v>0</v>
      </c>
      <c s="1">
        <v>0</v>
      </c>
      <c s="1">
        <v>0</v>
      </c>
    </row>
    <row>
      <c s="23"/>
      <c s="23"/>
      <c s="23"/>
      <c s="4" t="s">
        <v>47</v>
      </c>
      <c s="1">
        <v>0</v>
      </c>
      <c s="1">
        <v>0</v>
      </c>
      <c s="1">
        <v>0</v>
      </c>
    </row>
    <row>
      <c s="23"/>
      <c s="23"/>
      <c s="23"/>
      <c s="6" t="s">
        <v>114</v>
      </c>
      <c s="2">
        <v>1430</v>
      </c>
      <c s="2">
        <v>1500</v>
      </c>
      <c s="2">
        <v>1535</v>
      </c>
    </row>
    <row>
      <c s="23"/>
      <c s="23"/>
      <c s="23"/>
      <c s="5" t="s">
        <v>575</v>
      </c>
      <c s="3" t="s">
        <v>575</v>
      </c>
      <c s="3" t="s">
        <v>575</v>
      </c>
      <c s="3" t="s">
        <v>575</v>
      </c>
    </row>
    <row>
      <c/>
    </row>
    <row>
      <c/>
    </row>
  </sheetData>
  <mergeCells count="71">
    <mergeCell ref="A5:E5"/>
    <mergeCell ref="A7:D7"/>
    <mergeCell ref="A11:D11"/>
    <mergeCell ref="A12:D12"/>
    <mergeCell ref="E20:G20"/>
    <mergeCell ref="A22:A38"/>
    <mergeCell ref="B22:B38"/>
    <mergeCell ref="C22:C38"/>
    <mergeCell ref="A39:A55"/>
    <mergeCell ref="B39:B55"/>
    <mergeCell ref="C39:C55"/>
    <mergeCell ref="A56:A72"/>
    <mergeCell ref="B56:B72"/>
    <mergeCell ref="C56:C72"/>
    <mergeCell ref="A73:A89"/>
    <mergeCell ref="B73:B89"/>
    <mergeCell ref="C73:C89"/>
    <mergeCell ref="A90:A106"/>
    <mergeCell ref="B90:B106"/>
    <mergeCell ref="C90:C106"/>
    <mergeCell ref="A107:A123"/>
    <mergeCell ref="B107:B123"/>
    <mergeCell ref="C107:C123"/>
    <mergeCell ref="A124:A140"/>
    <mergeCell ref="B124:B140"/>
    <mergeCell ref="C124:C140"/>
    <mergeCell ref="A141:A157"/>
    <mergeCell ref="B141:B157"/>
    <mergeCell ref="C141:C157"/>
    <mergeCell ref="A158:A174"/>
    <mergeCell ref="B158:B174"/>
    <mergeCell ref="C158:C174"/>
    <mergeCell ref="A175:A191"/>
    <mergeCell ref="B175:B191"/>
    <mergeCell ref="C175:C191"/>
    <mergeCell ref="A192:A208"/>
    <mergeCell ref="B192:B208"/>
    <mergeCell ref="C192:C208"/>
    <mergeCell ref="A209:A225"/>
    <mergeCell ref="B209:B225"/>
    <mergeCell ref="C209:C225"/>
    <mergeCell ref="A226:A242"/>
    <mergeCell ref="B226:B242"/>
    <mergeCell ref="C226:C242"/>
    <mergeCell ref="A243:A259"/>
    <mergeCell ref="B243:B259"/>
    <mergeCell ref="C243:C259"/>
    <mergeCell ref="A260:A276"/>
    <mergeCell ref="B260:B276"/>
    <mergeCell ref="C260:C276"/>
    <mergeCell ref="A277:A293"/>
    <mergeCell ref="B277:B293"/>
    <mergeCell ref="C277:C293"/>
    <mergeCell ref="A294:A310"/>
    <mergeCell ref="B294:B310"/>
    <mergeCell ref="C294:C310"/>
    <mergeCell ref="A311:A327"/>
    <mergeCell ref="B311:B327"/>
    <mergeCell ref="C311:C327"/>
    <mergeCell ref="A328:A344"/>
    <mergeCell ref="B328:B344"/>
    <mergeCell ref="C328:C344"/>
    <mergeCell ref="A345:A361"/>
    <mergeCell ref="B345:B361"/>
    <mergeCell ref="C345:C361"/>
    <mergeCell ref="A362:A378"/>
    <mergeCell ref="B362:B378"/>
    <mergeCell ref="C362:C378"/>
    <mergeCell ref="A379:A395"/>
    <mergeCell ref="B379:B395"/>
    <mergeCell ref="C379:C395"/>
  </mergeCells>
  <pageMargins left="0.70866141732283472" right="0.70866141732283472" top="0.78740157480314965" bottom="0.78740157480314965" header="0.31496062992125984" footer="0.31496062992125984"/>
  <pageSetup paperSize="9" scale="65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42.28515625" bestFit="1" customWidth="1"/>
    <col min="2" max="2" width="11.85546875" bestFit="1" customWidth="1"/>
    <col min="3" max="3" width="13.28515625" bestFit="1" customWidth="1"/>
  </cols>
  <sheetData>
    <row ht="14.95">
      <c t="s">
        <v>203</v>
      </c>
      <c>
        <v>211</v>
      </c>
      <c>
        <v>15405</v>
      </c>
      <c r="I1" t="s">
        <v>347</v>
      </c>
      <c t="s">
        <v>187</v>
      </c>
      <c t="s">
        <v>29</v>
      </c>
      <c r="N1" t="s">
        <v>347</v>
      </c>
      <c t="s">
        <v>187</v>
      </c>
      <c t="s">
        <v>29</v>
      </c>
    </row>
    <row ht="14.95">
      <c t="s">
        <v>537</v>
      </c>
      <c>
        <v>211</v>
      </c>
      <c>
        <v>15430</v>
      </c>
      <c r="H2" s="58" t="s">
        <v>278</v>
      </c>
      <c>
        <f t="shared" si="0" ref="I2:I23">SUMIF($A$2:$A$1000,$H2&amp;" Wintersemester 2024 (Stichtag: 31.12.2024)",$C$2:$C$1000)</f>
        <v>78253</v>
      </c>
      <c>
        <f t="shared" si="1" ref="J2:J23">SUMIF($A$2:$A$1000,$H2&amp;" Wintersemester 2023 (Stichtag: 31.12.2023)",$C$2:$C$1000)</f>
        <v>73760</v>
      </c>
      <c>
        <f t="shared" si="2" ref="K2:K23">SUMIF($A$2:$A$1000,$H2&amp;" Wintersemester 2022 (Stichtag: 31.12.2022)",$C$2:$C$1000)</f>
        <v>71722</v>
      </c>
      <c r="N2">
        <v>16510</v>
      </c>
      <c>
        <v>16510</v>
      </c>
      <c>
        <v>16510</v>
      </c>
    </row>
    <row ht="14.95">
      <c t="s">
        <v>279</v>
      </c>
      <c>
        <v>211</v>
      </c>
      <c>
        <v>16159</v>
      </c>
      <c r="H3" s="73" t="s">
        <v>466</v>
      </c>
      <c>
        <f t="shared" si="0"/>
        <v>78312</v>
      </c>
      <c>
        <f t="shared" si="1"/>
        <v>75632</v>
      </c>
      <c>
        <f t="shared" si="2"/>
        <v>70543</v>
      </c>
      <c r="N3">
        <v>16510</v>
      </c>
      <c>
        <v>16510</v>
      </c>
      <c>
        <v>16510</v>
      </c>
    </row>
    <row ht="14.95">
      <c t="s">
        <v>9</v>
      </c>
      <c>
        <v>211</v>
      </c>
      <c>
        <v>18650</v>
      </c>
      <c r="H4" s="73" t="s">
        <v>8</v>
      </c>
      <c>
        <f t="shared" si="0"/>
        <v>77149</v>
      </c>
      <c>
        <f t="shared" si="1"/>
        <v>73514</v>
      </c>
      <c>
        <f t="shared" si="2"/>
        <v>70539</v>
      </c>
      <c r="N4">
        <v>16510</v>
      </c>
      <c>
        <v>16510</v>
      </c>
      <c>
        <v>16510</v>
      </c>
    </row>
    <row ht="14.95">
      <c t="s">
        <v>88</v>
      </c>
      <c>
        <v>1651</v>
      </c>
      <c>
        <v>21583</v>
      </c>
      <c r="H5" s="73" t="s">
        <v>509</v>
      </c>
      <c>
        <f t="shared" si="0"/>
        <v>78692</v>
      </c>
      <c>
        <f t="shared" si="1"/>
        <v>75835</v>
      </c>
      <c>
        <f t="shared" si="2"/>
        <v>70150</v>
      </c>
      <c r="N5">
        <v>16510</v>
      </c>
      <c>
        <v>16510</v>
      </c>
      <c>
        <v>16510</v>
      </c>
    </row>
    <row ht="14.95">
      <c t="s">
        <v>430</v>
      </c>
      <c>
        <v>1651</v>
      </c>
      <c>
        <v>24880</v>
      </c>
      <c r="H6" s="73" t="s">
        <v>49</v>
      </c>
      <c>
        <f t="shared" si="0"/>
        <v>78833</v>
      </c>
      <c>
        <f t="shared" si="1"/>
        <v>75344</v>
      </c>
      <c>
        <f t="shared" si="2"/>
        <v>71889</v>
      </c>
      <c r="N6">
        <v>16510</v>
      </c>
      <c>
        <v>16510</v>
      </c>
      <c>
        <v>16510</v>
      </c>
    </row>
    <row ht="14.95">
      <c t="s">
        <v>168</v>
      </c>
      <c>
        <v>1651</v>
      </c>
      <c>
        <v>28436</v>
      </c>
      <c r="H7" s="73" t="s">
        <v>359</v>
      </c>
      <c>
        <f t="shared" si="0"/>
        <v>78712</v>
      </c>
      <c>
        <f t="shared" si="1"/>
        <v>75673</v>
      </c>
      <c>
        <f t="shared" si="2"/>
        <v>70611</v>
      </c>
      <c r="N7">
        <v>16510</v>
      </c>
      <c>
        <v>16510</v>
      </c>
      <c>
        <v>16510</v>
      </c>
    </row>
    <row ht="14.95">
      <c t="s">
        <v>510</v>
      </c>
      <c>
        <v>1651</v>
      </c>
      <c>
        <v>41058</v>
      </c>
      <c r="H8" s="73" t="s">
        <v>166</v>
      </c>
      <c>
        <f t="shared" si="0"/>
        <v>76913</v>
      </c>
      <c>
        <f t="shared" si="1"/>
        <v>75044</v>
      </c>
      <c>
        <f t="shared" si="2"/>
        <v>71689</v>
      </c>
      <c r="N8">
        <v>16510</v>
      </c>
      <c>
        <v>16510</v>
      </c>
      <c>
        <v>16510</v>
      </c>
    </row>
    <row ht="14.95">
      <c t="s">
        <v>244</v>
      </c>
      <c>
        <v>1651</v>
      </c>
      <c>
        <v>43296</v>
      </c>
      <c r="H9" s="73" t="s">
        <v>320</v>
      </c>
      <c>
        <f t="shared" si="0"/>
        <v>78492</v>
      </c>
      <c>
        <f t="shared" si="1"/>
        <v>74932</v>
      </c>
      <c>
        <f t="shared" si="2"/>
        <v>71871</v>
      </c>
      <c r="N9">
        <v>16510</v>
      </c>
      <c>
        <v>16510</v>
      </c>
      <c>
        <v>16510</v>
      </c>
    </row>
    <row ht="14.95">
      <c t="s">
        <v>581</v>
      </c>
      <c>
        <v>1651</v>
      </c>
      <c>
        <v>45003</v>
      </c>
      <c r="H10" s="73" t="s">
        <v>467</v>
      </c>
      <c>
        <f t="shared" si="0"/>
        <v>77009</v>
      </c>
      <c>
        <f t="shared" si="1"/>
        <v>73554</v>
      </c>
      <c>
        <f t="shared" si="2"/>
        <v>71575</v>
      </c>
      <c r="N10">
        <v>16510</v>
      </c>
      <c>
        <v>16510</v>
      </c>
      <c>
        <v>16510</v>
      </c>
    </row>
    <row ht="14.95">
      <c t="s">
        <v>322</v>
      </c>
      <c>
        <v>16510</v>
      </c>
      <c>
        <v>46665</v>
      </c>
      <c r="H11" s="73" t="s">
        <v>10</v>
      </c>
      <c>
        <f t="shared" si="0"/>
        <v>78613</v>
      </c>
      <c>
        <f t="shared" si="1"/>
        <v>75054</v>
      </c>
      <c>
        <f t="shared" si="2"/>
        <v>71229</v>
      </c>
      <c r="N11">
        <v>16510</v>
      </c>
      <c>
        <v>16510</v>
      </c>
      <c>
        <v>16510</v>
      </c>
    </row>
    <row ht="14.95">
      <c t="s">
        <v>52</v>
      </c>
      <c>
        <v>16510</v>
      </c>
      <c>
        <v>48926</v>
      </c>
      <c r="H12" s="73" t="s">
        <v>167</v>
      </c>
      <c>
        <f t="shared" si="0"/>
        <v>77143</v>
      </c>
      <c>
        <f t="shared" si="1"/>
        <v>75166</v>
      </c>
      <c>
        <f t="shared" si="2"/>
        <v>71290</v>
      </c>
      <c r="N12">
        <v>16510</v>
      </c>
      <c>
        <v>16510</v>
      </c>
      <c>
        <v>16510</v>
      </c>
    </row>
    <row ht="14.95">
      <c t="s">
        <v>394</v>
      </c>
      <c>
        <v>16510</v>
      </c>
      <c>
        <v>53448</v>
      </c>
      <c r="H13" s="73" t="s">
        <v>321</v>
      </c>
      <c>
        <f t="shared" si="0"/>
        <v>77976</v>
      </c>
      <c>
        <f t="shared" si="1"/>
        <v>73252</v>
      </c>
      <c>
        <f t="shared" si="2"/>
        <v>70335</v>
      </c>
      <c r="N13">
        <v>16510</v>
      </c>
      <c>
        <v>16510</v>
      </c>
      <c>
        <v>16510</v>
      </c>
    </row>
    <row ht="14.95">
      <c t="s">
        <v>121</v>
      </c>
      <c>
        <v>16510</v>
      </c>
      <c>
        <v>62225</v>
      </c>
      <c r="H14" s="73" t="s">
        <v>468</v>
      </c>
      <c>
        <f t="shared" si="0"/>
        <v>78633</v>
      </c>
      <c>
        <f t="shared" si="1"/>
        <v>75873</v>
      </c>
      <c>
        <f t="shared" si="2"/>
        <v>71670</v>
      </c>
      <c r="N14">
        <v>16510</v>
      </c>
      <c>
        <v>16510</v>
      </c>
      <c>
        <v>16510</v>
      </c>
    </row>
    <row ht="14.95">
      <c t="s">
        <v>225</v>
      </c>
      <c>
        <v>16510</v>
      </c>
      <c>
        <v>65509</v>
      </c>
      <c r="H15" s="73" t="s">
        <v>50</v>
      </c>
      <c>
        <f t="shared" si="0"/>
        <v>78053</v>
      </c>
      <c>
        <f t="shared" si="1"/>
        <v>73352</v>
      </c>
      <c>
        <f t="shared" si="2"/>
        <v>69974</v>
      </c>
      <c r="N15">
        <v>16510</v>
      </c>
      <c>
        <v>16510</v>
      </c>
      <c>
        <v>16510</v>
      </c>
    </row>
    <row ht="14.95">
      <c t="s">
        <v>559</v>
      </c>
      <c>
        <v>16510</v>
      </c>
      <c>
        <v>67821</v>
      </c>
      <c r="H16" s="73" t="s">
        <v>204</v>
      </c>
      <c>
        <f t="shared" si="0"/>
        <v>78015</v>
      </c>
      <c>
        <f t="shared" si="1"/>
        <v>75099</v>
      </c>
      <c>
        <f t="shared" si="2"/>
        <v>70810</v>
      </c>
      <c r="N16">
        <v>16510</v>
      </c>
      <c>
        <v>16510</v>
      </c>
      <c>
        <v>16510</v>
      </c>
    </row>
    <row ht="14.95">
      <c t="s">
        <v>301</v>
      </c>
      <c>
        <v>16510</v>
      </c>
      <c>
        <v>71722</v>
      </c>
      <c r="H17" s="73" t="s">
        <v>51</v>
      </c>
      <c>
        <f t="shared" si="0"/>
        <v>77454</v>
      </c>
      <c>
        <f t="shared" si="1"/>
        <v>75352</v>
      </c>
      <c>
        <f t="shared" si="2"/>
        <v>70396</v>
      </c>
      <c r="N17">
        <v>16510</v>
      </c>
      <c>
        <v>16510</v>
      </c>
      <c>
        <v>16510</v>
      </c>
    </row>
    <row ht="14.95">
      <c t="s">
        <v>33</v>
      </c>
      <c>
        <v>16510</v>
      </c>
      <c>
        <v>73760</v>
      </c>
      <c r="H18" s="73" t="s">
        <v>243</v>
      </c>
      <c>
        <f t="shared" si="0"/>
        <v>77541</v>
      </c>
      <c>
        <f t="shared" si="1"/>
        <v>75472</v>
      </c>
      <c>
        <f t="shared" si="2"/>
        <v>71892</v>
      </c>
      <c r="N18">
        <v>16510</v>
      </c>
      <c>
        <v>16510</v>
      </c>
      <c>
        <v>16510</v>
      </c>
    </row>
    <row ht="14.95">
      <c t="s">
        <v>382</v>
      </c>
      <c>
        <v>16510</v>
      </c>
      <c>
        <v>78253</v>
      </c>
      <c r="H19" s="73" t="s">
        <v>393</v>
      </c>
      <c>
        <f t="shared" si="0"/>
        <v>78256</v>
      </c>
      <c>
        <f t="shared" si="1"/>
        <v>74638</v>
      </c>
      <c>
        <f t="shared" si="2"/>
        <v>71432</v>
      </c>
      <c r="N19">
        <v>16510</v>
      </c>
      <c>
        <v>16510</v>
      </c>
      <c>
        <v>16510</v>
      </c>
    </row>
    <row ht="14.95">
      <c t="s">
        <v>280</v>
      </c>
      <c>
        <v>211</v>
      </c>
      <c>
        <v>13216</v>
      </c>
      <c r="H20" s="73" t="s">
        <v>538</v>
      </c>
      <c>
        <f t="shared" si="0"/>
        <v>77214</v>
      </c>
      <c>
        <f t="shared" si="1"/>
        <v>73927</v>
      </c>
      <c>
        <f t="shared" si="2"/>
        <v>71678</v>
      </c>
      <c r="N20">
        <v>16510</v>
      </c>
      <c>
        <v>16510</v>
      </c>
      <c>
        <v>16510</v>
      </c>
    </row>
    <row ht="14.95">
      <c t="s">
        <v>11</v>
      </c>
      <c>
        <v>211</v>
      </c>
      <c>
        <v>13277</v>
      </c>
      <c r="H21" s="73" t="s">
        <v>89</v>
      </c>
      <c>
        <f t="shared" si="0"/>
        <v>77953</v>
      </c>
      <c>
        <f t="shared" si="1"/>
        <v>75103</v>
      </c>
      <c>
        <f t="shared" si="2"/>
        <v>71833</v>
      </c>
      <c r="N21">
        <v>16510</v>
      </c>
      <c>
        <v>16510</v>
      </c>
      <c>
        <v>16510</v>
      </c>
    </row>
    <row ht="14.95">
      <c t="s">
        <v>361</v>
      </c>
      <c>
        <v>211</v>
      </c>
      <c>
        <v>16043</v>
      </c>
      <c r="H22" s="73" t="s">
        <v>511</v>
      </c>
      <c>
        <f t="shared" si="0"/>
        <v>76852</v>
      </c>
      <c>
        <f t="shared" si="1"/>
        <v>75351</v>
      </c>
      <c>
        <f t="shared" si="2"/>
        <v>70489</v>
      </c>
      <c r="N22">
        <v>16510</v>
      </c>
      <c>
        <v>16510</v>
      </c>
      <c>
        <v>16510</v>
      </c>
    </row>
    <row ht="14.95">
      <c t="s">
        <v>90</v>
      </c>
      <c>
        <v>211</v>
      </c>
      <c>
        <v>19126</v>
      </c>
      <c r="H23" s="73" t="s">
        <v>360</v>
      </c>
      <c>
        <f t="shared" si="0"/>
        <v>78673</v>
      </c>
      <c>
        <f t="shared" si="1"/>
        <v>73674</v>
      </c>
      <c>
        <f t="shared" si="2"/>
        <v>70709</v>
      </c>
      <c r="N23">
        <v>16510</v>
      </c>
      <c>
        <v>16510</v>
      </c>
      <c>
        <v>16510</v>
      </c>
    </row>
    <row ht="14.95">
      <c t="s">
        <v>169</v>
      </c>
      <c>
        <v>1651</v>
      </c>
      <c>
        <v>22025</v>
      </c>
    </row>
    <row ht="14.95">
      <c t="s">
        <v>512</v>
      </c>
      <c>
        <v>1651</v>
      </c>
      <c>
        <v>25160</v>
      </c>
    </row>
    <row ht="14.95">
      <c t="s">
        <v>245</v>
      </c>
      <c>
        <v>1651</v>
      </c>
      <c>
        <v>28473</v>
      </c>
    </row>
    <row ht="14.95">
      <c t="s">
        <v>582</v>
      </c>
      <c>
        <v>1651</v>
      </c>
      <c>
        <v>41683</v>
      </c>
    </row>
    <row ht="14.95">
      <c t="s">
        <v>323</v>
      </c>
      <c>
        <v>1651</v>
      </c>
      <c>
        <v>42713</v>
      </c>
    </row>
    <row ht="14.95">
      <c t="s">
        <v>53</v>
      </c>
      <c>
        <v>1651</v>
      </c>
      <c>
        <v>44906</v>
      </c>
    </row>
    <row ht="14.95">
      <c t="s">
        <v>395</v>
      </c>
      <c>
        <v>16510</v>
      </c>
      <c>
        <v>46618</v>
      </c>
    </row>
    <row ht="14.95">
      <c t="s">
        <v>122</v>
      </c>
      <c>
        <v>16510</v>
      </c>
      <c>
        <v>51005</v>
      </c>
    </row>
    <row ht="14.95">
      <c t="s">
        <v>469</v>
      </c>
      <c>
        <v>16510</v>
      </c>
      <c>
        <v>55177</v>
      </c>
    </row>
    <row ht="14.95">
      <c t="s">
        <v>205</v>
      </c>
      <c>
        <v>16510</v>
      </c>
      <c>
        <v>62072</v>
      </c>
    </row>
    <row ht="14.95">
      <c t="s">
        <v>299</v>
      </c>
      <c>
        <v>16510</v>
      </c>
      <c>
        <v>65406</v>
      </c>
    </row>
    <row ht="14.95">
      <c t="s">
        <v>28</v>
      </c>
      <c>
        <v>16510</v>
      </c>
      <c>
        <v>68026</v>
      </c>
    </row>
    <row ht="14.95">
      <c t="s">
        <v>379</v>
      </c>
      <c>
        <v>16510</v>
      </c>
      <c>
        <v>70543</v>
      </c>
    </row>
    <row ht="14.95">
      <c t="s">
        <v>107</v>
      </c>
      <c>
        <v>16510</v>
      </c>
      <c>
        <v>75632</v>
      </c>
    </row>
    <row ht="14.95">
      <c t="s">
        <v>451</v>
      </c>
      <c>
        <v>16510</v>
      </c>
      <c>
        <v>78312</v>
      </c>
    </row>
    <row ht="14.95">
      <c t="s">
        <v>362</v>
      </c>
      <c>
        <v>211</v>
      </c>
      <c>
        <v>6962</v>
      </c>
    </row>
    <row ht="14.95">
      <c t="s">
        <v>91</v>
      </c>
      <c>
        <v>211</v>
      </c>
      <c>
        <v>13164</v>
      </c>
    </row>
    <row ht="14.95">
      <c t="s">
        <v>431</v>
      </c>
      <c>
        <v>211</v>
      </c>
      <c>
        <v>16096</v>
      </c>
    </row>
    <row ht="14.95">
      <c t="s">
        <v>281</v>
      </c>
      <c>
        <v>1651</v>
      </c>
      <c>
        <v>22935</v>
      </c>
    </row>
    <row ht="14.95">
      <c t="s">
        <v>12</v>
      </c>
      <c>
        <v>1651</v>
      </c>
      <c>
        <v>24736</v>
      </c>
    </row>
    <row ht="14.95">
      <c t="s">
        <v>363</v>
      </c>
      <c>
        <v>1651</v>
      </c>
      <c>
        <v>28422</v>
      </c>
    </row>
    <row ht="14.95">
      <c t="s">
        <v>54</v>
      </c>
      <c>
        <v>1651</v>
      </c>
      <c>
        <v>40959</v>
      </c>
    </row>
    <row ht="14.95">
      <c t="s">
        <v>396</v>
      </c>
      <c>
        <v>1651</v>
      </c>
      <c>
        <v>43251</v>
      </c>
    </row>
    <row ht="14.95">
      <c t="s">
        <v>123</v>
      </c>
      <c>
        <v>1651</v>
      </c>
      <c>
        <v>43971</v>
      </c>
    </row>
    <row ht="14.95">
      <c t="s">
        <v>470</v>
      </c>
      <c>
        <v>16510</v>
      </c>
      <c>
        <v>46123</v>
      </c>
    </row>
    <row ht="14.95">
      <c t="s">
        <v>206</v>
      </c>
      <c>
        <v>16510</v>
      </c>
      <c>
        <v>50845</v>
      </c>
    </row>
    <row ht="14.95">
      <c t="s">
        <v>539</v>
      </c>
      <c>
        <v>16510</v>
      </c>
      <c>
        <v>55095</v>
      </c>
    </row>
    <row ht="14.95">
      <c t="s">
        <v>282</v>
      </c>
      <c>
        <v>16510</v>
      </c>
      <c>
        <v>57685</v>
      </c>
    </row>
    <row ht="14.95">
      <c t="s">
        <v>414</v>
      </c>
      <c>
        <v>16510</v>
      </c>
      <c>
        <v>65067</v>
      </c>
    </row>
    <row ht="14.95">
      <c t="s">
        <v>144</v>
      </c>
      <c>
        <v>16510</v>
      </c>
      <c>
        <v>67994</v>
      </c>
    </row>
    <row ht="14.95">
      <c t="s">
        <v>448</v>
      </c>
      <c>
        <v>16510</v>
      </c>
      <c>
        <v>70539</v>
      </c>
    </row>
    <row ht="14.95">
      <c t="s">
        <v>186</v>
      </c>
      <c>
        <v>16510</v>
      </c>
      <c>
        <v>73514</v>
      </c>
    </row>
    <row ht="14.95">
      <c t="s">
        <v>532</v>
      </c>
      <c>
        <v>16510</v>
      </c>
      <c>
        <v>77149</v>
      </c>
    </row>
    <row ht="14.95">
      <c t="s">
        <v>471</v>
      </c>
      <c>
        <v>211</v>
      </c>
      <c>
        <v>5329</v>
      </c>
    </row>
    <row ht="14.95">
      <c t="s">
        <v>207</v>
      </c>
      <c>
        <v>211</v>
      </c>
      <c>
        <v>13233</v>
      </c>
    </row>
    <row ht="14.95">
      <c t="s">
        <v>540</v>
      </c>
      <c>
        <v>211</v>
      </c>
      <c>
        <v>16255</v>
      </c>
    </row>
    <row ht="14.95">
      <c t="s">
        <v>283</v>
      </c>
      <c>
        <v>211</v>
      </c>
      <c>
        <v>18957</v>
      </c>
    </row>
    <row ht="14.95">
      <c t="s">
        <v>364</v>
      </c>
      <c>
        <v>1651</v>
      </c>
      <c>
        <v>22746</v>
      </c>
    </row>
    <row ht="14.95">
      <c t="s">
        <v>92</v>
      </c>
      <c>
        <v>1651</v>
      </c>
      <c>
        <v>25017</v>
      </c>
    </row>
    <row ht="14.95">
      <c t="s">
        <v>432</v>
      </c>
      <c>
        <v>1651</v>
      </c>
      <c>
        <v>28975</v>
      </c>
    </row>
    <row ht="14.95">
      <c t="s">
        <v>170</v>
      </c>
      <c>
        <v>1651</v>
      </c>
      <c>
        <v>40968</v>
      </c>
    </row>
    <row ht="14.95">
      <c t="s">
        <v>513</v>
      </c>
      <c>
        <v>1651</v>
      </c>
      <c>
        <v>42513</v>
      </c>
    </row>
    <row ht="14.95">
      <c t="s">
        <v>246</v>
      </c>
      <c>
        <v>1651</v>
      </c>
      <c>
        <v>45233</v>
      </c>
    </row>
    <row ht="14.95">
      <c t="s">
        <v>583</v>
      </c>
      <c>
        <v>16510</v>
      </c>
      <c>
        <v>45851</v>
      </c>
    </row>
    <row ht="14.95">
      <c t="s">
        <v>324</v>
      </c>
      <c>
        <v>16510</v>
      </c>
      <c>
        <v>47865</v>
      </c>
    </row>
    <row ht="14.95">
      <c t="s">
        <v>55</v>
      </c>
      <c>
        <v>16510</v>
      </c>
      <c>
        <v>52568</v>
      </c>
    </row>
    <row ht="14.95">
      <c t="s">
        <v>397</v>
      </c>
      <c>
        <v>16510</v>
      </c>
      <c>
        <v>59460</v>
      </c>
    </row>
    <row ht="14.95">
      <c t="s">
        <v>490</v>
      </c>
      <c>
        <v>16510</v>
      </c>
      <c>
        <v>65249</v>
      </c>
    </row>
    <row ht="14.95">
      <c t="s">
        <v>227</v>
      </c>
      <c>
        <v>16510</v>
      </c>
      <c>
        <v>67917</v>
      </c>
    </row>
    <row ht="14.95">
      <c t="s">
        <v>561</v>
      </c>
      <c>
        <v>16510</v>
      </c>
      <c>
        <v>71689</v>
      </c>
    </row>
    <row ht="14.95">
      <c t="s">
        <v>303</v>
      </c>
      <c>
        <v>16510</v>
      </c>
      <c>
        <v>75044</v>
      </c>
    </row>
    <row ht="14.95">
      <c t="s">
        <v>36</v>
      </c>
      <c>
        <v>16510</v>
      </c>
      <c>
        <v>76913</v>
      </c>
    </row>
    <row ht="14.95">
      <c t="s">
        <v>541</v>
      </c>
      <c>
        <v>211</v>
      </c>
      <c>
        <v>4477</v>
      </c>
    </row>
    <row ht="14.95">
      <c t="s">
        <v>284</v>
      </c>
      <c>
        <v>211</v>
      </c>
      <c>
        <v>13486</v>
      </c>
    </row>
    <row ht="14.95">
      <c t="s">
        <v>13</v>
      </c>
      <c>
        <v>211</v>
      </c>
      <c>
        <v>16479</v>
      </c>
    </row>
    <row ht="14.95">
      <c t="s">
        <v>365</v>
      </c>
      <c>
        <v>211</v>
      </c>
      <c>
        <v>18580</v>
      </c>
    </row>
    <row ht="14.95">
      <c t="s">
        <v>433</v>
      </c>
      <c>
        <v>1651</v>
      </c>
      <c>
        <v>21646</v>
      </c>
    </row>
    <row ht="14.95">
      <c t="s">
        <v>171</v>
      </c>
      <c>
        <v>1651</v>
      </c>
      <c>
        <v>24966</v>
      </c>
    </row>
    <row ht="14.95">
      <c t="s">
        <v>514</v>
      </c>
      <c>
        <v>1651</v>
      </c>
      <c>
        <v>29344</v>
      </c>
    </row>
    <row ht="14.95">
      <c t="s">
        <v>247</v>
      </c>
      <c>
        <v>1651</v>
      </c>
      <c>
        <v>41609</v>
      </c>
    </row>
    <row ht="14.95">
      <c t="s">
        <v>584</v>
      </c>
      <c>
        <v>1651</v>
      </c>
      <c>
        <v>43539</v>
      </c>
    </row>
    <row ht="14.95">
      <c t="s">
        <v>325</v>
      </c>
      <c>
        <v>1651</v>
      </c>
      <c>
        <v>45045</v>
      </c>
    </row>
    <row ht="14.95">
      <c t="s">
        <v>56</v>
      </c>
      <c>
        <v>16510</v>
      </c>
      <c>
        <v>46790</v>
      </c>
    </row>
    <row ht="14.95">
      <c t="s">
        <v>398</v>
      </c>
      <c>
        <v>16510</v>
      </c>
      <c>
        <v>49064</v>
      </c>
    </row>
    <row ht="14.95">
      <c t="s">
        <v>124</v>
      </c>
      <c>
        <v>16510</v>
      </c>
      <c>
        <v>54957</v>
      </c>
    </row>
    <row ht="14.95">
      <c t="s">
        <v>472</v>
      </c>
      <c>
        <v>16510</v>
      </c>
      <c>
        <v>62206</v>
      </c>
    </row>
    <row ht="14.95">
      <c t="s">
        <v>558</v>
      </c>
      <c>
        <v>16510</v>
      </c>
      <c>
        <v>65448</v>
      </c>
    </row>
    <row ht="14.95">
      <c t="s">
        <v>300</v>
      </c>
      <c>
        <v>16510</v>
      </c>
      <c>
        <v>68740</v>
      </c>
    </row>
    <row ht="14.95">
      <c t="s">
        <v>30</v>
      </c>
      <c>
        <v>16510</v>
      </c>
      <c>
        <v>71871</v>
      </c>
    </row>
    <row ht="14.95">
      <c t="s">
        <v>380</v>
      </c>
      <c>
        <v>16510</v>
      </c>
      <c>
        <v>74932</v>
      </c>
    </row>
    <row ht="14.95">
      <c t="s">
        <v>109</v>
      </c>
      <c>
        <v>16510</v>
      </c>
      <c>
        <v>78492</v>
      </c>
    </row>
    <row ht="14.95">
      <c t="s">
        <v>14</v>
      </c>
      <c>
        <v>211</v>
      </c>
      <c>
        <v>4009</v>
      </c>
    </row>
    <row ht="14.95">
      <c t="s">
        <v>366</v>
      </c>
      <c>
        <v>211</v>
      </c>
      <c>
        <v>11073</v>
      </c>
    </row>
    <row ht="14.95">
      <c t="s">
        <v>93</v>
      </c>
      <c>
        <v>211</v>
      </c>
      <c>
        <v>15892</v>
      </c>
    </row>
    <row ht="14.95">
      <c t="s">
        <v>434</v>
      </c>
      <c>
        <v>211</v>
      </c>
      <c>
        <v>18511</v>
      </c>
    </row>
    <row ht="14.95">
      <c t="s">
        <v>542</v>
      </c>
      <c>
        <v>1651</v>
      </c>
      <c>
        <v>21302</v>
      </c>
    </row>
    <row ht="14.95">
      <c t="s">
        <v>285</v>
      </c>
      <c>
        <v>1651</v>
      </c>
      <c>
        <v>24866</v>
      </c>
    </row>
    <row ht="14.95">
      <c t="s">
        <v>15</v>
      </c>
      <c>
        <v>1651</v>
      </c>
      <c>
        <v>28228</v>
      </c>
    </row>
    <row ht="14.95">
      <c t="s">
        <v>326</v>
      </c>
      <c>
        <v>1651</v>
      </c>
      <c>
        <v>40872</v>
      </c>
    </row>
    <row ht="14.95">
      <c t="s">
        <v>57</v>
      </c>
      <c>
        <v>1651</v>
      </c>
      <c>
        <v>42807</v>
      </c>
    </row>
    <row ht="14.95">
      <c t="s">
        <v>399</v>
      </c>
      <c>
        <v>1651</v>
      </c>
      <c>
        <v>44055</v>
      </c>
    </row>
    <row ht="14.95">
      <c t="s">
        <v>125</v>
      </c>
      <c>
        <v>16510</v>
      </c>
      <c>
        <v>45907</v>
      </c>
    </row>
    <row ht="14.95">
      <c t="s">
        <v>473</v>
      </c>
      <c>
        <v>16510</v>
      </c>
      <c>
        <v>49085</v>
      </c>
    </row>
    <row ht="14.95">
      <c t="s">
        <v>208</v>
      </c>
      <c>
        <v>16510</v>
      </c>
      <c>
        <v>52685</v>
      </c>
    </row>
    <row ht="14.95">
      <c t="s">
        <v>543</v>
      </c>
      <c>
        <v>16510</v>
      </c>
      <c>
        <v>59765</v>
      </c>
    </row>
    <row ht="14.95">
      <c t="s">
        <v>73</v>
      </c>
      <c>
        <v>16510</v>
      </c>
      <c>
        <v>65291</v>
      </c>
    </row>
    <row ht="14.95">
      <c t="s">
        <v>417</v>
      </c>
      <c>
        <v>16510</v>
      </c>
      <c>
        <v>67782</v>
      </c>
    </row>
    <row ht="14.95">
      <c t="s">
        <v>106</v>
      </c>
      <c>
        <v>16510</v>
      </c>
      <c>
        <v>71575</v>
      </c>
    </row>
    <row ht="14.95">
      <c t="s">
        <v>449</v>
      </c>
      <c>
        <v>16510</v>
      </c>
      <c>
        <v>73554</v>
      </c>
    </row>
    <row ht="14.95">
      <c t="s">
        <v>188</v>
      </c>
      <c>
        <v>16510</v>
      </c>
      <c>
        <v>77009</v>
      </c>
    </row>
    <row ht="14.95">
      <c t="s">
        <v>126</v>
      </c>
      <c>
        <v>211</v>
      </c>
      <c>
        <v>13374</v>
      </c>
    </row>
    <row ht="14.95">
      <c t="s">
        <v>474</v>
      </c>
      <c>
        <v>211</v>
      </c>
      <c>
        <v>11533</v>
      </c>
    </row>
    <row ht="14.95">
      <c t="s">
        <v>209</v>
      </c>
      <c>
        <v>211</v>
      </c>
      <c>
        <v>16140</v>
      </c>
    </row>
    <row ht="14.95">
      <c t="s">
        <v>544</v>
      </c>
      <c>
        <v>211</v>
      </c>
      <c>
        <v>18591</v>
      </c>
    </row>
    <row ht="14.95">
      <c t="s">
        <v>16</v>
      </c>
      <c>
        <v>1651</v>
      </c>
      <c>
        <v>21603</v>
      </c>
    </row>
    <row ht="14.95">
      <c t="s">
        <v>367</v>
      </c>
      <c>
        <v>1651</v>
      </c>
      <c>
        <v>25021</v>
      </c>
    </row>
    <row ht="14.95">
      <c t="s">
        <v>94</v>
      </c>
      <c>
        <v>1651</v>
      </c>
      <c>
        <v>28957</v>
      </c>
    </row>
    <row ht="14.95">
      <c t="s">
        <v>435</v>
      </c>
      <c>
        <v>1651</v>
      </c>
      <c>
        <v>41345</v>
      </c>
    </row>
    <row ht="14.95">
      <c t="s">
        <v>172</v>
      </c>
      <c>
        <v>1651</v>
      </c>
      <c>
        <v>43492</v>
      </c>
    </row>
    <row ht="14.95">
      <c t="s">
        <v>515</v>
      </c>
      <c>
        <v>1651</v>
      </c>
      <c>
        <v>44974</v>
      </c>
    </row>
    <row ht="14.95">
      <c t="s">
        <v>248</v>
      </c>
      <c>
        <v>16510</v>
      </c>
      <c>
        <v>45989</v>
      </c>
    </row>
    <row ht="14.95">
      <c t="s">
        <v>585</v>
      </c>
      <c>
        <v>16510</v>
      </c>
      <c>
        <v>51047</v>
      </c>
    </row>
    <row ht="14.95">
      <c t="s">
        <v>327</v>
      </c>
      <c>
        <v>16510</v>
      </c>
      <c>
        <v>55605</v>
      </c>
    </row>
    <row ht="14.95">
      <c t="s">
        <v>58</v>
      </c>
      <c>
        <v>16510</v>
      </c>
      <c>
        <v>61745</v>
      </c>
    </row>
    <row ht="14.95">
      <c t="s">
        <v>142</v>
      </c>
      <c>
        <v>16510</v>
      </c>
      <c>
        <v>66269</v>
      </c>
    </row>
    <row ht="14.95">
      <c t="s">
        <v>492</v>
      </c>
      <c>
        <v>16510</v>
      </c>
      <c>
        <v>68532</v>
      </c>
    </row>
    <row ht="14.95">
      <c t="s">
        <v>229</v>
      </c>
      <c>
        <v>16510</v>
      </c>
      <c>
        <v>71229</v>
      </c>
    </row>
    <row ht="14.95">
      <c t="s">
        <v>563</v>
      </c>
      <c>
        <v>16510</v>
      </c>
      <c>
        <v>75054</v>
      </c>
    </row>
    <row ht="14.95">
      <c t="s">
        <v>306</v>
      </c>
      <c>
        <v>16510</v>
      </c>
      <c>
        <v>78613</v>
      </c>
    </row>
    <row ht="14.95">
      <c t="s">
        <v>210</v>
      </c>
      <c>
        <v>211</v>
      </c>
      <c>
        <v>3837</v>
      </c>
    </row>
    <row ht="14.95">
      <c t="s">
        <v>545</v>
      </c>
      <c>
        <v>211</v>
      </c>
      <c>
        <v>12822</v>
      </c>
    </row>
    <row ht="14.95">
      <c t="s">
        <v>286</v>
      </c>
      <c>
        <v>211</v>
      </c>
      <c>
        <v>15947</v>
      </c>
    </row>
    <row ht="14.95">
      <c t="s">
        <v>17</v>
      </c>
      <c>
        <v>211</v>
      </c>
      <c>
        <v>18478</v>
      </c>
    </row>
    <row ht="14.95">
      <c t="s">
        <v>95</v>
      </c>
      <c>
        <v>1651</v>
      </c>
      <c>
        <v>21337</v>
      </c>
    </row>
    <row ht="14.95">
      <c t="s">
        <v>436</v>
      </c>
      <c>
        <v>1651</v>
      </c>
      <c>
        <v>24961</v>
      </c>
    </row>
    <row ht="14.95">
      <c t="s">
        <v>173</v>
      </c>
      <c>
        <v>1651</v>
      </c>
      <c>
        <v>28309</v>
      </c>
    </row>
    <row ht="14.95">
      <c t="s">
        <v>516</v>
      </c>
      <c>
        <v>1651</v>
      </c>
      <c>
        <v>41475</v>
      </c>
    </row>
    <row ht="14.95">
      <c t="s">
        <v>249</v>
      </c>
      <c>
        <v>1651</v>
      </c>
      <c>
        <v>43476</v>
      </c>
    </row>
    <row ht="14.95">
      <c t="s">
        <v>586</v>
      </c>
      <c>
        <v>1651</v>
      </c>
      <c>
        <v>44856</v>
      </c>
    </row>
    <row ht="14.95">
      <c t="s">
        <v>328</v>
      </c>
      <c>
        <v>16510</v>
      </c>
      <c>
        <v>45790</v>
      </c>
    </row>
    <row ht="14.95">
      <c t="s">
        <v>59</v>
      </c>
      <c>
        <v>16510</v>
      </c>
      <c>
        <v>48828</v>
      </c>
    </row>
    <row ht="14.95">
      <c t="s">
        <v>400</v>
      </c>
      <c>
        <v>16510</v>
      </c>
      <c>
        <v>52713</v>
      </c>
    </row>
    <row ht="14.95">
      <c t="s">
        <v>127</v>
      </c>
      <c>
        <v>16510</v>
      </c>
      <c>
        <v>60469</v>
      </c>
    </row>
    <row ht="14.95">
      <c t="s">
        <v>226</v>
      </c>
      <c>
        <v>16510</v>
      </c>
      <c>
        <v>65592</v>
      </c>
    </row>
    <row ht="14.95">
      <c t="s">
        <v>560</v>
      </c>
      <c>
        <v>16510</v>
      </c>
      <c>
        <v>67927</v>
      </c>
    </row>
    <row ht="14.95">
      <c t="s">
        <v>302</v>
      </c>
      <c>
        <v>16510</v>
      </c>
      <c>
        <v>71290</v>
      </c>
    </row>
    <row ht="14.95">
      <c t="s">
        <v>34</v>
      </c>
      <c>
        <v>16510</v>
      </c>
      <c>
        <v>75166</v>
      </c>
    </row>
    <row ht="14.95">
      <c t="s">
        <v>383</v>
      </c>
      <c>
        <v>16510</v>
      </c>
      <c>
        <v>77143</v>
      </c>
    </row>
    <row ht="14.95">
      <c t="s">
        <v>287</v>
      </c>
      <c>
        <v>211</v>
      </c>
      <c>
        <v>8889</v>
      </c>
    </row>
    <row ht="14.95">
      <c t="s">
        <v>18</v>
      </c>
      <c>
        <v>211</v>
      </c>
      <c>
        <v>11883</v>
      </c>
    </row>
    <row ht="14.95">
      <c t="s">
        <v>368</v>
      </c>
      <c>
        <v>211</v>
      </c>
      <c>
        <v>16175</v>
      </c>
    </row>
    <row ht="14.95">
      <c t="s">
        <v>96</v>
      </c>
      <c>
        <v>211</v>
      </c>
      <c>
        <v>19849</v>
      </c>
    </row>
    <row ht="14.95">
      <c t="s">
        <v>211</v>
      </c>
      <c>
        <v>1651</v>
      </c>
      <c>
        <v>21567</v>
      </c>
    </row>
    <row ht="14.95">
      <c t="s">
        <v>546</v>
      </c>
      <c>
        <v>1651</v>
      </c>
      <c>
        <v>24898</v>
      </c>
    </row>
    <row ht="14.95">
      <c t="s">
        <v>288</v>
      </c>
      <c>
        <v>1651</v>
      </c>
      <c>
        <v>29052</v>
      </c>
    </row>
    <row ht="14.95">
      <c t="s">
        <v>587</v>
      </c>
      <c>
        <v>1651</v>
      </c>
      <c>
        <v>41649</v>
      </c>
    </row>
    <row ht="14.95">
      <c t="s">
        <v>329</v>
      </c>
      <c>
        <v>1651</v>
      </c>
      <c>
        <v>43351</v>
      </c>
    </row>
    <row ht="14.95">
      <c t="s">
        <v>60</v>
      </c>
      <c>
        <v>1651</v>
      </c>
      <c>
        <v>44966</v>
      </c>
    </row>
    <row ht="14.95">
      <c t="s">
        <v>401</v>
      </c>
      <c>
        <v>16510</v>
      </c>
      <c>
        <v>46722</v>
      </c>
    </row>
    <row ht="14.95">
      <c t="s">
        <v>128</v>
      </c>
      <c>
        <v>16510</v>
      </c>
      <c>
        <v>50767</v>
      </c>
    </row>
    <row ht="14.95">
      <c t="s">
        <v>475</v>
      </c>
      <c>
        <v>16510</v>
      </c>
      <c>
        <v>52170</v>
      </c>
    </row>
    <row ht="14.95">
      <c t="s">
        <v>212</v>
      </c>
      <c>
        <v>16510</v>
      </c>
      <c>
        <v>56925</v>
      </c>
    </row>
    <row ht="14.95">
      <c t="s">
        <v>341</v>
      </c>
      <c>
        <v>16510</v>
      </c>
      <c>
        <v>64953</v>
      </c>
    </row>
    <row ht="14.95">
      <c t="s">
        <v>76</v>
      </c>
      <c>
        <v>16510</v>
      </c>
      <c>
        <v>67649</v>
      </c>
    </row>
    <row ht="14.95">
      <c t="s">
        <v>420</v>
      </c>
      <c>
        <v>16510</v>
      </c>
      <c>
        <v>70335</v>
      </c>
    </row>
    <row ht="14.95">
      <c t="s">
        <v>108</v>
      </c>
      <c>
        <v>16510</v>
      </c>
      <c>
        <v>73252</v>
      </c>
    </row>
    <row ht="14.95">
      <c t="s">
        <v>452</v>
      </c>
      <c>
        <v>16510</v>
      </c>
      <c>
        <v>77976</v>
      </c>
    </row>
    <row ht="14.95">
      <c t="s">
        <v>402</v>
      </c>
      <c>
        <v>211</v>
      </c>
      <c>
        <v>3563</v>
      </c>
    </row>
    <row ht="14.95">
      <c t="s">
        <v>129</v>
      </c>
      <c>
        <v>211</v>
      </c>
      <c>
        <v>11491</v>
      </c>
    </row>
    <row ht="14.95">
      <c t="s">
        <v>476</v>
      </c>
      <c>
        <v>211</v>
      </c>
      <c>
        <v>16059</v>
      </c>
    </row>
    <row ht="14.95">
      <c t="s">
        <v>213</v>
      </c>
      <c>
        <v>211</v>
      </c>
      <c>
        <v>19066</v>
      </c>
    </row>
    <row ht="14.95">
      <c t="s">
        <v>289</v>
      </c>
      <c>
        <v>1651</v>
      </c>
      <c>
        <v>22028</v>
      </c>
    </row>
    <row ht="14.95">
      <c t="s">
        <v>19</v>
      </c>
      <c>
        <v>1651</v>
      </c>
      <c>
        <v>24949</v>
      </c>
    </row>
    <row ht="14.95">
      <c t="s">
        <v>369</v>
      </c>
      <c>
        <v>1651</v>
      </c>
      <c>
        <v>28301</v>
      </c>
    </row>
    <row ht="14.95">
      <c t="s">
        <v>97</v>
      </c>
      <c>
        <v>1651</v>
      </c>
      <c>
        <v>40927</v>
      </c>
    </row>
    <row ht="14.95">
      <c t="s">
        <v>437</v>
      </c>
      <c>
        <v>1651</v>
      </c>
      <c>
        <v>43367</v>
      </c>
    </row>
    <row ht="14.95">
      <c t="s">
        <v>174</v>
      </c>
      <c>
        <v>1651</v>
      </c>
      <c>
        <v>44874</v>
      </c>
    </row>
    <row ht="14.95">
      <c t="s">
        <v>517</v>
      </c>
      <c>
        <v>16510</v>
      </c>
      <c>
        <v>46794</v>
      </c>
    </row>
    <row ht="14.95">
      <c t="s">
        <v>250</v>
      </c>
      <c>
        <v>16510</v>
      </c>
      <c>
        <v>50981</v>
      </c>
    </row>
    <row ht="14.95">
      <c t="s">
        <v>588</v>
      </c>
      <c>
        <v>16510</v>
      </c>
      <c>
        <v>52365</v>
      </c>
    </row>
    <row ht="14.95">
      <c t="s">
        <v>330</v>
      </c>
      <c>
        <v>16510</v>
      </c>
      <c>
        <v>59529</v>
      </c>
    </row>
    <row ht="14.95">
      <c t="s">
        <v>415</v>
      </c>
      <c>
        <v>16510</v>
      </c>
      <c>
        <v>65227</v>
      </c>
    </row>
    <row ht="14.95">
      <c t="s">
        <v>145</v>
      </c>
      <c>
        <v>16510</v>
      </c>
      <c>
        <v>67689</v>
      </c>
    </row>
    <row ht="14.95">
      <c t="s">
        <v>494</v>
      </c>
      <c>
        <v>16510</v>
      </c>
      <c>
        <v>71670</v>
      </c>
    </row>
    <row ht="14.95">
      <c t="s">
        <v>231</v>
      </c>
      <c>
        <v>16510</v>
      </c>
      <c>
        <v>75873</v>
      </c>
    </row>
    <row ht="14.95">
      <c t="s">
        <v>566</v>
      </c>
      <c>
        <v>16510</v>
      </c>
      <c>
        <v>78633</v>
      </c>
    </row>
    <row ht="14.95">
      <c t="s">
        <v>370</v>
      </c>
      <c>
        <v>1651</v>
      </c>
      <c>
        <v>23405</v>
      </c>
    </row>
    <row ht="14.95">
      <c t="s">
        <v>98</v>
      </c>
      <c>
        <v>1651</v>
      </c>
      <c>
        <v>24809</v>
      </c>
    </row>
    <row ht="14.95">
      <c t="s">
        <v>438</v>
      </c>
      <c>
        <v>1651</v>
      </c>
      <c>
        <v>28169</v>
      </c>
    </row>
    <row ht="14.95">
      <c t="s">
        <v>175</v>
      </c>
      <c>
        <v>1651</v>
      </c>
      <c>
        <v>40748</v>
      </c>
    </row>
    <row ht="14.95">
      <c t="s">
        <v>518</v>
      </c>
      <c>
        <v>1651</v>
      </c>
      <c>
        <v>43332</v>
      </c>
    </row>
    <row ht="14.95">
      <c t="s">
        <v>251</v>
      </c>
      <c>
        <v>1651</v>
      </c>
      <c>
        <v>45016</v>
      </c>
    </row>
    <row ht="14.95">
      <c t="s">
        <v>589</v>
      </c>
      <c>
        <v>16510</v>
      </c>
      <c>
        <v>46705</v>
      </c>
    </row>
    <row ht="14.95">
      <c t="s">
        <v>331</v>
      </c>
      <c>
        <v>16510</v>
      </c>
      <c>
        <v>48666</v>
      </c>
    </row>
    <row ht="14.95">
      <c t="s">
        <v>61</v>
      </c>
      <c>
        <v>16510</v>
      </c>
      <c>
        <v>54805</v>
      </c>
    </row>
    <row ht="14.95">
      <c t="s">
        <v>403</v>
      </c>
      <c>
        <v>16510</v>
      </c>
      <c>
        <v>57105</v>
      </c>
    </row>
    <row ht="14.95">
      <c t="s">
        <v>491</v>
      </c>
      <c>
        <v>16510</v>
      </c>
      <c>
        <v>64981</v>
      </c>
    </row>
    <row ht="14.95">
      <c t="s">
        <v>228</v>
      </c>
      <c>
        <v>16510</v>
      </c>
      <c>
        <v>67549</v>
      </c>
    </row>
    <row ht="14.95">
      <c t="s">
        <v>562</v>
      </c>
      <c>
        <v>16510</v>
      </c>
      <c>
        <v>69974</v>
      </c>
    </row>
    <row ht="14.95">
      <c t="s">
        <v>304</v>
      </c>
      <c>
        <v>16510</v>
      </c>
      <c>
        <v>73352</v>
      </c>
    </row>
    <row ht="14.95">
      <c t="s">
        <v>37</v>
      </c>
      <c>
        <v>16510</v>
      </c>
      <c>
        <v>78053</v>
      </c>
    </row>
    <row ht="14.95">
      <c t="s">
        <v>547</v>
      </c>
      <c>
        <v>211</v>
      </c>
      <c>
        <v>5246</v>
      </c>
    </row>
    <row ht="14.95">
      <c t="s">
        <v>290</v>
      </c>
      <c>
        <v>211</v>
      </c>
      <c>
        <v>12571</v>
      </c>
    </row>
    <row ht="14.95">
      <c t="s">
        <v>20</v>
      </c>
      <c>
        <v>211</v>
      </c>
      <c>
        <v>16898</v>
      </c>
    </row>
    <row ht="14.95">
      <c t="s">
        <v>371</v>
      </c>
      <c>
        <v>211</v>
      </c>
      <c>
        <v>19235</v>
      </c>
    </row>
    <row ht="14.95">
      <c t="s">
        <v>477</v>
      </c>
      <c>
        <v>1651</v>
      </c>
      <c>
        <v>21898</v>
      </c>
    </row>
    <row ht="14.95">
      <c t="s">
        <v>214</v>
      </c>
      <c>
        <v>1651</v>
      </c>
      <c>
        <v>25193</v>
      </c>
    </row>
    <row ht="14.95">
      <c t="s">
        <v>548</v>
      </c>
      <c>
        <v>1651</v>
      </c>
      <c>
        <v>28530</v>
      </c>
    </row>
    <row ht="14.95">
      <c t="s">
        <v>252</v>
      </c>
      <c>
        <v>1651</v>
      </c>
      <c>
        <v>41296</v>
      </c>
    </row>
    <row ht="14.95">
      <c t="s">
        <v>590</v>
      </c>
      <c>
        <v>1651</v>
      </c>
      <c>
        <v>43409</v>
      </c>
    </row>
    <row ht="14.95">
      <c t="s">
        <v>332</v>
      </c>
      <c>
        <v>1651</v>
      </c>
      <c>
        <v>45051</v>
      </c>
    </row>
    <row ht="14.95">
      <c t="s">
        <v>62</v>
      </c>
      <c>
        <v>16510</v>
      </c>
      <c>
        <v>46188</v>
      </c>
    </row>
    <row ht="14.95">
      <c t="s">
        <v>404</v>
      </c>
      <c>
        <v>16510</v>
      </c>
      <c>
        <v>51165</v>
      </c>
    </row>
    <row ht="14.95">
      <c t="s">
        <v>130</v>
      </c>
      <c>
        <v>16510</v>
      </c>
      <c>
        <v>55045</v>
      </c>
    </row>
    <row ht="14.95">
      <c t="s">
        <v>478</v>
      </c>
      <c>
        <v>16510</v>
      </c>
      <c>
        <v>63565</v>
      </c>
    </row>
    <row ht="14.95">
      <c t="s">
        <v>600</v>
      </c>
      <c>
        <v>16510</v>
      </c>
      <c>
        <v>65645</v>
      </c>
    </row>
    <row ht="14.95">
      <c t="s">
        <v>343</v>
      </c>
      <c>
        <v>16510</v>
      </c>
      <c>
        <v>68789</v>
      </c>
    </row>
    <row ht="14.95">
      <c t="s">
        <v>79</v>
      </c>
      <c>
        <v>16510</v>
      </c>
      <c>
        <v>70810</v>
      </c>
    </row>
    <row ht="14.95">
      <c t="s">
        <v>381</v>
      </c>
      <c>
        <v>16510</v>
      </c>
      <c>
        <v>75099</v>
      </c>
    </row>
    <row ht="14.95">
      <c t="s">
        <v>110</v>
      </c>
      <c>
        <v>16510</v>
      </c>
      <c>
        <v>78015</v>
      </c>
    </row>
    <row ht="14.95">
      <c t="s">
        <v>63</v>
      </c>
      <c>
        <v>211</v>
      </c>
      <c>
        <v>6332</v>
      </c>
    </row>
    <row ht="14.95">
      <c t="s">
        <v>405</v>
      </c>
      <c>
        <v>211</v>
      </c>
      <c>
        <v>13370</v>
      </c>
    </row>
    <row ht="14.95">
      <c t="s">
        <v>131</v>
      </c>
      <c>
        <v>211</v>
      </c>
      <c>
        <v>16684</v>
      </c>
    </row>
    <row ht="14.95">
      <c t="s">
        <v>479</v>
      </c>
      <c>
        <v>211</v>
      </c>
      <c>
        <v>19143</v>
      </c>
    </row>
    <row ht="14.95">
      <c t="s">
        <v>549</v>
      </c>
      <c>
        <v>1651</v>
      </c>
      <c>
        <v>21602</v>
      </c>
    </row>
    <row ht="14.95">
      <c t="s">
        <v>291</v>
      </c>
      <c>
        <v>1651</v>
      </c>
      <c>
        <v>25108</v>
      </c>
    </row>
    <row ht="14.95">
      <c t="s">
        <v>21</v>
      </c>
      <c>
        <v>1651</v>
      </c>
      <c>
        <v>28253</v>
      </c>
    </row>
    <row ht="14.95">
      <c t="s">
        <v>372</v>
      </c>
      <c>
        <v>1651</v>
      </c>
      <c>
        <v>41482</v>
      </c>
    </row>
    <row ht="14.95">
      <c t="s">
        <v>99</v>
      </c>
      <c>
        <v>1651</v>
      </c>
      <c>
        <v>42568</v>
      </c>
    </row>
    <row ht="14.95">
      <c t="s">
        <v>439</v>
      </c>
      <c>
        <v>1651</v>
      </c>
      <c>
        <v>44885</v>
      </c>
    </row>
    <row ht="14.95">
      <c t="s">
        <v>176</v>
      </c>
      <c>
        <v>16510</v>
      </c>
      <c>
        <v>45829</v>
      </c>
    </row>
    <row ht="14.95">
      <c t="s">
        <v>519</v>
      </c>
      <c>
        <v>16510</v>
      </c>
      <c>
        <v>49266</v>
      </c>
    </row>
    <row ht="14.95">
      <c t="s">
        <v>253</v>
      </c>
      <c>
        <v>16510</v>
      </c>
      <c>
        <v>52885</v>
      </c>
    </row>
    <row ht="14.95">
      <c t="s">
        <v>591</v>
      </c>
      <c>
        <v>16510</v>
      </c>
      <c>
        <v>61825</v>
      </c>
    </row>
    <row ht="14.95">
      <c t="s">
        <v>74</v>
      </c>
      <c>
        <v>16510</v>
      </c>
      <c>
        <v>65680</v>
      </c>
    </row>
    <row ht="14.95">
      <c t="s">
        <v>418</v>
      </c>
      <c>
        <v>16510</v>
      </c>
      <c>
        <v>67592</v>
      </c>
    </row>
    <row ht="14.95">
      <c t="s">
        <v>147</v>
      </c>
      <c>
        <v>16510</v>
      </c>
      <c>
        <v>70709</v>
      </c>
    </row>
    <row ht="14.95">
      <c t="s">
        <v>496</v>
      </c>
      <c>
        <v>16510</v>
      </c>
      <c>
        <v>73674</v>
      </c>
    </row>
    <row ht="14.95">
      <c t="s">
        <v>233</v>
      </c>
      <c>
        <v>16510</v>
      </c>
      <c>
        <v>78673</v>
      </c>
    </row>
    <row ht="14.95">
      <c t="s">
        <v>132</v>
      </c>
      <c>
        <v>211</v>
      </c>
      <c>
        <v>4497</v>
      </c>
    </row>
    <row ht="14.95">
      <c t="s">
        <v>480</v>
      </c>
      <c>
        <v>211</v>
      </c>
      <c>
        <v>13732</v>
      </c>
    </row>
    <row ht="14.95">
      <c t="s">
        <v>215</v>
      </c>
      <c>
        <v>211</v>
      </c>
      <c>
        <v>17162</v>
      </c>
    </row>
    <row ht="14.95">
      <c t="s">
        <v>550</v>
      </c>
      <c>
        <v>211</v>
      </c>
      <c>
        <v>19180</v>
      </c>
    </row>
    <row ht="14.95">
      <c t="s">
        <v>22</v>
      </c>
      <c>
        <v>1651</v>
      </c>
      <c>
        <v>21931</v>
      </c>
    </row>
    <row ht="14.95">
      <c t="s">
        <v>373</v>
      </c>
      <c>
        <v>1651</v>
      </c>
      <c>
        <v>25761</v>
      </c>
    </row>
    <row ht="14.95">
      <c t="s">
        <v>100</v>
      </c>
      <c>
        <v>1651</v>
      </c>
      <c>
        <v>29191</v>
      </c>
    </row>
    <row ht="14.95">
      <c t="s">
        <v>440</v>
      </c>
      <c>
        <v>1651</v>
      </c>
      <c>
        <v>41353</v>
      </c>
    </row>
    <row ht="14.95">
      <c t="s">
        <v>177</v>
      </c>
      <c>
        <v>1651</v>
      </c>
      <c>
        <v>43389</v>
      </c>
    </row>
    <row ht="14.95">
      <c t="s">
        <v>520</v>
      </c>
      <c>
        <v>1651</v>
      </c>
      <c>
        <v>45151</v>
      </c>
    </row>
    <row ht="14.95">
      <c t="s">
        <v>254</v>
      </c>
      <c>
        <v>16510</v>
      </c>
      <c>
        <v>46728</v>
      </c>
    </row>
    <row ht="14.95">
      <c t="s">
        <v>592</v>
      </c>
      <c>
        <v>16510</v>
      </c>
      <c>
        <v>48245</v>
      </c>
    </row>
    <row ht="14.95">
      <c t="s">
        <v>333</v>
      </c>
      <c>
        <v>16510</v>
      </c>
      <c>
        <v>52717</v>
      </c>
    </row>
    <row ht="14.95">
      <c t="s">
        <v>64</v>
      </c>
      <c>
        <v>16510</v>
      </c>
      <c>
        <v>60866</v>
      </c>
    </row>
    <row ht="14.95">
      <c t="s">
        <v>143</v>
      </c>
      <c>
        <v>16510</v>
      </c>
      <c>
        <v>65138</v>
      </c>
    </row>
    <row ht="14.95">
      <c t="s">
        <v>493</v>
      </c>
      <c>
        <v>16510</v>
      </c>
      <c>
        <v>68429</v>
      </c>
    </row>
    <row ht="14.95">
      <c t="s">
        <v>230</v>
      </c>
      <c>
        <v>16510</v>
      </c>
      <c>
        <v>70150</v>
      </c>
    </row>
    <row ht="14.95">
      <c t="s">
        <v>564</v>
      </c>
      <c>
        <v>16510</v>
      </c>
      <c>
        <v>75835</v>
      </c>
    </row>
    <row ht="14.95">
      <c t="s">
        <v>307</v>
      </c>
      <c>
        <v>16510</v>
      </c>
      <c>
        <v>78692</v>
      </c>
    </row>
    <row ht="14.95">
      <c t="s">
        <v>216</v>
      </c>
      <c>
        <v>211</v>
      </c>
      <c>
        <v>4372</v>
      </c>
    </row>
    <row ht="14.95">
      <c t="s">
        <v>551</v>
      </c>
      <c>
        <v>211</v>
      </c>
      <c>
        <v>12128</v>
      </c>
    </row>
    <row ht="14.95">
      <c t="s">
        <v>292</v>
      </c>
      <c>
        <v>211</v>
      </c>
      <c>
        <v>17005</v>
      </c>
    </row>
    <row ht="14.95">
      <c t="s">
        <v>23</v>
      </c>
      <c>
        <v>211</v>
      </c>
      <c>
        <v>19222</v>
      </c>
    </row>
    <row ht="14.95">
      <c t="s">
        <v>133</v>
      </c>
      <c>
        <v>1651</v>
      </c>
      <c>
        <v>23060</v>
      </c>
    </row>
    <row ht="14.95">
      <c t="s">
        <v>481</v>
      </c>
      <c>
        <v>1651</v>
      </c>
      <c>
        <v>25036</v>
      </c>
    </row>
    <row ht="14.95">
      <c t="s">
        <v>217</v>
      </c>
      <c>
        <v>1651</v>
      </c>
      <c>
        <v>28494</v>
      </c>
    </row>
    <row ht="14.95">
      <c t="s">
        <v>521</v>
      </c>
      <c>
        <v>1651</v>
      </c>
      <c>
        <v>41650</v>
      </c>
    </row>
    <row ht="14.95">
      <c t="s">
        <v>255</v>
      </c>
      <c>
        <v>1651</v>
      </c>
      <c>
        <v>43446</v>
      </c>
    </row>
    <row ht="14.95">
      <c t="s">
        <v>593</v>
      </c>
      <c>
        <v>1651</v>
      </c>
      <c>
        <v>45148</v>
      </c>
    </row>
    <row ht="14.95">
      <c t="s">
        <v>334</v>
      </c>
      <c>
        <v>16510</v>
      </c>
      <c>
        <v>46788</v>
      </c>
    </row>
    <row ht="14.95">
      <c t="s">
        <v>65</v>
      </c>
      <c>
        <v>16510</v>
      </c>
      <c>
        <v>50776</v>
      </c>
    </row>
    <row ht="14.95">
      <c t="s">
        <v>406</v>
      </c>
      <c>
        <v>16510</v>
      </c>
      <c>
        <v>53446</v>
      </c>
    </row>
    <row ht="14.95">
      <c t="s">
        <v>134</v>
      </c>
      <c>
        <v>16510</v>
      </c>
      <c>
        <v>62785</v>
      </c>
    </row>
    <row ht="14.95">
      <c t="s">
        <v>262</v>
      </c>
      <c>
        <v>16510</v>
      </c>
      <c>
        <v>65608</v>
      </c>
    </row>
    <row ht="14.95">
      <c t="s">
        <v>602</v>
      </c>
      <c>
        <v>16510</v>
      </c>
      <c>
        <v>67739</v>
      </c>
    </row>
    <row ht="14.95">
      <c t="s">
        <v>345</v>
      </c>
      <c>
        <v>16510</v>
      </c>
      <c>
        <v>71889</v>
      </c>
    </row>
    <row ht="14.95">
      <c t="s">
        <v>35</v>
      </c>
      <c>
        <v>16510</v>
      </c>
      <c>
        <v>75344</v>
      </c>
    </row>
    <row ht="14.95">
      <c t="s">
        <v>384</v>
      </c>
      <c>
        <v>16510</v>
      </c>
      <c>
        <v>78833</v>
      </c>
    </row>
    <row ht="14.95">
      <c t="s">
        <v>407</v>
      </c>
      <c>
        <v>211</v>
      </c>
      <c>
        <v>3020</v>
      </c>
    </row>
    <row ht="14.95">
      <c t="s">
        <v>135</v>
      </c>
      <c>
        <v>211</v>
      </c>
      <c>
        <v>12536</v>
      </c>
    </row>
    <row ht="14.95">
      <c t="s">
        <v>482</v>
      </c>
      <c>
        <v>211</v>
      </c>
      <c>
        <v>16391</v>
      </c>
    </row>
    <row ht="14.95">
      <c t="s">
        <v>218</v>
      </c>
      <c>
        <v>211</v>
      </c>
      <c>
        <v>19370</v>
      </c>
    </row>
    <row ht="14.95">
      <c t="s">
        <v>293</v>
      </c>
      <c>
        <v>1651</v>
      </c>
      <c>
        <v>23417</v>
      </c>
    </row>
    <row ht="14.95">
      <c t="s">
        <v>374</v>
      </c>
      <c>
        <v>1651</v>
      </c>
      <c>
        <v>30024</v>
      </c>
    </row>
    <row ht="14.95">
      <c t="s">
        <v>101</v>
      </c>
      <c>
        <v>1651</v>
      </c>
      <c>
        <v>41692</v>
      </c>
    </row>
    <row ht="14.95">
      <c t="s">
        <v>441</v>
      </c>
      <c>
        <v>1651</v>
      </c>
      <c>
        <v>43563</v>
      </c>
    </row>
    <row ht="14.95">
      <c t="s">
        <v>178</v>
      </c>
      <c>
        <v>1651</v>
      </c>
      <c>
        <v>45069</v>
      </c>
    </row>
    <row ht="14.95">
      <c t="s">
        <v>522</v>
      </c>
      <c>
        <v>16510</v>
      </c>
      <c>
        <v>46995</v>
      </c>
    </row>
    <row ht="14.95">
      <c t="s">
        <v>256</v>
      </c>
      <c>
        <v>16510</v>
      </c>
      <c>
        <v>51445</v>
      </c>
    </row>
    <row ht="14.95">
      <c t="s">
        <v>594</v>
      </c>
      <c>
        <v>16510</v>
      </c>
      <c>
        <v>53665</v>
      </c>
    </row>
    <row ht="14.95">
      <c t="s">
        <v>335</v>
      </c>
      <c>
        <v>16510</v>
      </c>
      <c>
        <v>62805</v>
      </c>
    </row>
    <row ht="14.95">
      <c t="s">
        <v>416</v>
      </c>
      <c>
        <v>16510</v>
      </c>
      <c>
        <v>65447</v>
      </c>
    </row>
    <row ht="14.95">
      <c t="s">
        <v>146</v>
      </c>
      <c>
        <v>16510</v>
      </c>
      <c>
        <v>67839</v>
      </c>
    </row>
    <row ht="14.95">
      <c t="s">
        <v>495</v>
      </c>
      <c>
        <v>16510</v>
      </c>
      <c>
        <v>70611</v>
      </c>
    </row>
    <row ht="14.95">
      <c t="s">
        <v>232</v>
      </c>
      <c>
        <v>16510</v>
      </c>
      <c>
        <v>75673</v>
      </c>
    </row>
    <row ht="14.95">
      <c t="s">
        <v>567</v>
      </c>
      <c>
        <v>16510</v>
      </c>
      <c>
        <v>78712</v>
      </c>
    </row>
    <row ht="14.95">
      <c t="s">
        <v>483</v>
      </c>
      <c>
        <v>211</v>
      </c>
      <c>
        <v>3705</v>
      </c>
    </row>
    <row ht="14.95">
      <c t="s">
        <v>219</v>
      </c>
      <c>
        <v>211</v>
      </c>
      <c>
        <v>11242</v>
      </c>
    </row>
    <row ht="14.95">
      <c t="s">
        <v>552</v>
      </c>
      <c>
        <v>211</v>
      </c>
      <c>
        <v>15883</v>
      </c>
    </row>
    <row ht="14.95">
      <c t="s">
        <v>294</v>
      </c>
      <c>
        <v>211</v>
      </c>
      <c>
        <v>19059</v>
      </c>
    </row>
    <row ht="14.95">
      <c t="s">
        <v>408</v>
      </c>
      <c>
        <v>1651</v>
      </c>
      <c>
        <v>21847</v>
      </c>
    </row>
    <row ht="14.95">
      <c t="s">
        <v>136</v>
      </c>
      <c>
        <v>1651</v>
      </c>
      <c>
        <v>25238</v>
      </c>
    </row>
    <row ht="14.95">
      <c t="s">
        <v>484</v>
      </c>
      <c>
        <v>1651</v>
      </c>
      <c>
        <v>28948</v>
      </c>
    </row>
    <row ht="14.95">
      <c t="s">
        <v>220</v>
      </c>
      <c>
        <v>1651</v>
      </c>
      <c>
        <v>40684</v>
      </c>
    </row>
    <row ht="14.95">
      <c t="s">
        <v>523</v>
      </c>
      <c>
        <v>1651</v>
      </c>
      <c>
        <v>43531</v>
      </c>
    </row>
    <row ht="14.95">
      <c t="s">
        <v>257</v>
      </c>
      <c>
        <v>1651</v>
      </c>
      <c>
        <v>45231</v>
      </c>
    </row>
    <row ht="14.95">
      <c t="s">
        <v>595</v>
      </c>
      <c>
        <v>16510</v>
      </c>
      <c>
        <v>45796</v>
      </c>
    </row>
    <row ht="14.95">
      <c t="s">
        <v>336</v>
      </c>
      <c>
        <v>16510</v>
      </c>
      <c>
        <v>48585</v>
      </c>
    </row>
    <row ht="14.95">
      <c t="s">
        <v>66</v>
      </c>
      <c>
        <v>16510</v>
      </c>
      <c>
        <v>52649</v>
      </c>
    </row>
    <row ht="14.95">
      <c t="s">
        <v>409</v>
      </c>
      <c>
        <v>16510</v>
      </c>
      <c>
        <v>59166</v>
      </c>
    </row>
    <row ht="14.95">
      <c t="s">
        <v>528</v>
      </c>
      <c>
        <v>16510</v>
      </c>
      <c>
        <v>65402</v>
      </c>
    </row>
    <row ht="14.95">
      <c t="s">
        <v>264</v>
      </c>
      <c>
        <v>16510</v>
      </c>
      <c>
        <v>67693</v>
      </c>
    </row>
    <row ht="14.95">
      <c t="s">
        <v>604</v>
      </c>
      <c>
        <v>16510</v>
      </c>
      <c>
        <v>70489</v>
      </c>
    </row>
    <row ht="14.95">
      <c t="s">
        <v>305</v>
      </c>
      <c>
        <v>16510</v>
      </c>
      <c>
        <v>75351</v>
      </c>
    </row>
    <row ht="14.95">
      <c t="s">
        <v>38</v>
      </c>
      <c>
        <v>16510</v>
      </c>
      <c>
        <v>76852</v>
      </c>
    </row>
    <row ht="14.95">
      <c t="s">
        <v>596</v>
      </c>
      <c>
        <v>211</v>
      </c>
      <c>
        <v>4638</v>
      </c>
    </row>
    <row ht="14.95">
      <c t="s">
        <v>337</v>
      </c>
      <c>
        <v>211</v>
      </c>
      <c>
        <v>11730</v>
      </c>
    </row>
    <row ht="14.95">
      <c t="s">
        <v>67</v>
      </c>
      <c>
        <v>211</v>
      </c>
      <c>
        <v>16339</v>
      </c>
    </row>
    <row ht="14.95">
      <c t="s">
        <v>410</v>
      </c>
      <c>
        <v>211</v>
      </c>
      <c>
        <v>18774</v>
      </c>
    </row>
    <row ht="14.95">
      <c t="s">
        <v>485</v>
      </c>
      <c>
        <v>1651</v>
      </c>
      <c>
        <v>22914</v>
      </c>
    </row>
    <row ht="14.95">
      <c t="s">
        <v>221</v>
      </c>
      <c>
        <v>1651</v>
      </c>
      <c>
        <v>25095</v>
      </c>
    </row>
    <row ht="14.95">
      <c t="s">
        <v>553</v>
      </c>
      <c>
        <v>1651</v>
      </c>
      <c>
        <v>28505</v>
      </c>
    </row>
    <row ht="14.95">
      <c t="s">
        <v>295</v>
      </c>
      <c>
        <v>1651</v>
      </c>
      <c>
        <v>41108</v>
      </c>
    </row>
    <row ht="14.95">
      <c t="s">
        <v>24</v>
      </c>
      <c>
        <v>1651</v>
      </c>
      <c>
        <v>43448</v>
      </c>
    </row>
    <row ht="14.95">
      <c t="s">
        <v>375</v>
      </c>
      <c>
        <v>1651</v>
      </c>
      <c>
        <v>45032</v>
      </c>
    </row>
    <row ht="14.95">
      <c t="s">
        <v>102</v>
      </c>
      <c>
        <v>16510</v>
      </c>
      <c>
        <v>46049</v>
      </c>
    </row>
    <row ht="14.95">
      <c t="s">
        <v>442</v>
      </c>
      <c>
        <v>16510</v>
      </c>
      <c>
        <v>49594</v>
      </c>
    </row>
    <row ht="14.95">
      <c t="s">
        <v>179</v>
      </c>
      <c>
        <v>16510</v>
      </c>
      <c>
        <v>52996</v>
      </c>
    </row>
    <row ht="14.95">
      <c t="s">
        <v>524</v>
      </c>
      <c>
        <v>16510</v>
      </c>
      <c>
        <v>57825</v>
      </c>
    </row>
    <row ht="14.95">
      <c t="s">
        <v>601</v>
      </c>
      <c>
        <v>16510</v>
      </c>
      <c>
        <v>65336</v>
      </c>
    </row>
    <row ht="14.95">
      <c t="s">
        <v>344</v>
      </c>
      <c>
        <v>16510</v>
      </c>
      <c>
        <v>68050</v>
      </c>
    </row>
    <row ht="14.95">
      <c t="s">
        <v>80</v>
      </c>
      <c>
        <v>16510</v>
      </c>
      <c>
        <v>70396</v>
      </c>
    </row>
    <row ht="14.95">
      <c t="s">
        <v>422</v>
      </c>
      <c>
        <v>16510</v>
      </c>
      <c>
        <v>75352</v>
      </c>
    </row>
    <row ht="14.95">
      <c t="s">
        <v>152</v>
      </c>
      <c>
        <v>16510</v>
      </c>
      <c>
        <v>77454</v>
      </c>
    </row>
    <row ht="14.95">
      <c t="s">
        <v>68</v>
      </c>
      <c>
        <v>211</v>
      </c>
      <c>
        <v>4472</v>
      </c>
    </row>
    <row ht="14.95">
      <c t="s">
        <v>411</v>
      </c>
      <c>
        <v>211</v>
      </c>
      <c>
        <v>14320</v>
      </c>
    </row>
    <row ht="14.95">
      <c t="s">
        <v>137</v>
      </c>
      <c>
        <v>211</v>
      </c>
      <c>
        <v>16205</v>
      </c>
    </row>
    <row ht="14.95">
      <c t="s">
        <v>486</v>
      </c>
      <c>
        <v>211</v>
      </c>
      <c>
        <v>18985</v>
      </c>
    </row>
    <row ht="14.95">
      <c t="s">
        <v>554</v>
      </c>
      <c>
        <v>1651</v>
      </c>
      <c>
        <v>21942</v>
      </c>
    </row>
    <row ht="14.95">
      <c t="s">
        <v>296</v>
      </c>
      <c>
        <v>1651</v>
      </c>
      <c>
        <v>24997</v>
      </c>
    </row>
    <row ht="14.95">
      <c t="s">
        <v>25</v>
      </c>
      <c>
        <v>1651</v>
      </c>
      <c>
        <v>29156</v>
      </c>
    </row>
    <row ht="14.95">
      <c t="s">
        <v>376</v>
      </c>
      <c>
        <v>1651</v>
      </c>
      <c>
        <v>41187</v>
      </c>
    </row>
    <row ht="14.95">
      <c t="s">
        <v>103</v>
      </c>
      <c>
        <v>1651</v>
      </c>
      <c>
        <v>43466</v>
      </c>
    </row>
    <row ht="14.95">
      <c t="s">
        <v>443</v>
      </c>
      <c>
        <v>1651</v>
      </c>
      <c>
        <v>45106</v>
      </c>
    </row>
    <row ht="14.95">
      <c t="s">
        <v>180</v>
      </c>
      <c>
        <v>16510</v>
      </c>
      <c>
        <v>46831</v>
      </c>
    </row>
    <row ht="14.95">
      <c t="s">
        <v>525</v>
      </c>
      <c>
        <v>16510</v>
      </c>
      <c>
        <v>51325</v>
      </c>
    </row>
    <row ht="14.95">
      <c t="s">
        <v>258</v>
      </c>
      <c>
        <v>16510</v>
      </c>
      <c>
        <v>53018</v>
      </c>
    </row>
    <row ht="14.95">
      <c t="s">
        <v>597</v>
      </c>
      <c>
        <v>16510</v>
      </c>
      <c>
        <v>59325</v>
      </c>
    </row>
    <row ht="14.95">
      <c t="s">
        <v>75</v>
      </c>
      <c>
        <v>16510</v>
      </c>
      <c>
        <v>66177</v>
      </c>
    </row>
    <row ht="14.95">
      <c t="s">
        <v>419</v>
      </c>
      <c>
        <v>16510</v>
      </c>
      <c>
        <v>68170</v>
      </c>
    </row>
    <row ht="14.95">
      <c t="s">
        <v>148</v>
      </c>
      <c>
        <v>16510</v>
      </c>
      <c>
        <v>71892</v>
      </c>
    </row>
    <row ht="14.95">
      <c t="s">
        <v>497</v>
      </c>
      <c>
        <v>16510</v>
      </c>
      <c>
        <v>75472</v>
      </c>
    </row>
    <row ht="14.95">
      <c t="s">
        <v>234</v>
      </c>
      <c>
        <v>16510</v>
      </c>
      <c>
        <v>77541</v>
      </c>
    </row>
    <row ht="14.95">
      <c t="s">
        <v>138</v>
      </c>
      <c>
        <v>211</v>
      </c>
      <c>
        <v>4442</v>
      </c>
    </row>
    <row ht="14.95">
      <c t="s">
        <v>487</v>
      </c>
      <c>
        <v>211</v>
      </c>
      <c>
        <v>12674</v>
      </c>
    </row>
    <row ht="14.95">
      <c t="s">
        <v>222</v>
      </c>
      <c>
        <v>211</v>
      </c>
      <c>
        <v>16276</v>
      </c>
    </row>
    <row ht="14.95">
      <c t="s">
        <v>555</v>
      </c>
      <c>
        <v>211</v>
      </c>
      <c>
        <v>18612</v>
      </c>
    </row>
    <row ht="14.95">
      <c t="s">
        <v>69</v>
      </c>
      <c>
        <v>1651</v>
      </c>
      <c>
        <v>21372</v>
      </c>
    </row>
    <row ht="14.95">
      <c t="s">
        <v>412</v>
      </c>
      <c>
        <v>1651</v>
      </c>
      <c>
        <v>24756</v>
      </c>
    </row>
    <row ht="14.95">
      <c t="s">
        <v>139</v>
      </c>
      <c>
        <v>1651</v>
      </c>
      <c>
        <v>29288</v>
      </c>
    </row>
    <row ht="14.95">
      <c t="s">
        <v>488</v>
      </c>
      <c>
        <v>1651</v>
      </c>
      <c>
        <v>41327</v>
      </c>
    </row>
    <row ht="14.95">
      <c t="s">
        <v>181</v>
      </c>
      <c>
        <v>1651</v>
      </c>
      <c>
        <v>43240</v>
      </c>
    </row>
    <row ht="14.95">
      <c t="s">
        <v>526</v>
      </c>
      <c>
        <v>1651</v>
      </c>
      <c>
        <v>45212</v>
      </c>
    </row>
    <row ht="14.95">
      <c t="s">
        <v>259</v>
      </c>
      <c>
        <v>16510</v>
      </c>
      <c>
        <v>45772</v>
      </c>
    </row>
    <row ht="14.95">
      <c t="s">
        <v>598</v>
      </c>
      <c>
        <v>16510</v>
      </c>
      <c>
        <v>51245</v>
      </c>
    </row>
    <row ht="14.95">
      <c t="s">
        <v>338</v>
      </c>
      <c>
        <v>16510</v>
      </c>
      <c>
        <v>52363</v>
      </c>
    </row>
    <row ht="14.95">
      <c t="s">
        <v>70</v>
      </c>
      <c>
        <v>16510</v>
      </c>
      <c>
        <v>60605</v>
      </c>
    </row>
    <row ht="14.95">
      <c t="s">
        <v>184</v>
      </c>
      <c>
        <v>16510</v>
      </c>
      <c>
        <v>66000</v>
      </c>
    </row>
    <row ht="14.95">
      <c t="s">
        <v>530</v>
      </c>
      <c>
        <v>16510</v>
      </c>
      <c>
        <v>67865</v>
      </c>
    </row>
    <row ht="14.95">
      <c t="s">
        <v>265</v>
      </c>
      <c>
        <v>16510</v>
      </c>
      <c>
        <v>71432</v>
      </c>
    </row>
    <row ht="14.95">
      <c t="s">
        <v>565</v>
      </c>
      <c>
        <v>16510</v>
      </c>
      <c>
        <v>74638</v>
      </c>
    </row>
    <row ht="14.95">
      <c t="s">
        <v>308</v>
      </c>
      <c>
        <v>16510</v>
      </c>
      <c>
        <v>78256</v>
      </c>
    </row>
    <row ht="14.95">
      <c t="s">
        <v>260</v>
      </c>
      <c>
        <v>211</v>
      </c>
      <c>
        <v>3578</v>
      </c>
    </row>
    <row ht="14.95">
      <c t="s">
        <v>599</v>
      </c>
      <c>
        <v>211</v>
      </c>
      <c>
        <v>11081</v>
      </c>
    </row>
    <row ht="14.95">
      <c t="s">
        <v>339</v>
      </c>
      <c>
        <v>211</v>
      </c>
      <c>
        <v>15977</v>
      </c>
    </row>
    <row ht="14.95">
      <c t="s">
        <v>71</v>
      </c>
      <c>
        <v>211</v>
      </c>
      <c>
        <v>18538</v>
      </c>
    </row>
    <row ht="14.95">
      <c t="s">
        <v>140</v>
      </c>
      <c>
        <v>1651</v>
      </c>
      <c>
        <v>21285</v>
      </c>
    </row>
    <row ht="14.95">
      <c t="s">
        <v>489</v>
      </c>
      <c>
        <v>1651</v>
      </c>
      <c>
        <v>24509</v>
      </c>
    </row>
    <row ht="14.95">
      <c t="s">
        <v>223</v>
      </c>
      <c>
        <v>1651</v>
      </c>
      <c>
        <v>28901</v>
      </c>
    </row>
    <row ht="14.95">
      <c t="s">
        <v>556</v>
      </c>
      <c>
        <v>1651</v>
      </c>
      <c>
        <v>40669</v>
      </c>
    </row>
    <row ht="14.95">
      <c t="s">
        <v>297</v>
      </c>
      <c>
        <v>1651</v>
      </c>
      <c>
        <v>42301</v>
      </c>
    </row>
    <row ht="14.95">
      <c t="s">
        <v>26</v>
      </c>
      <c>
        <v>1651</v>
      </c>
      <c>
        <v>44830</v>
      </c>
    </row>
    <row ht="14.95">
      <c t="s">
        <v>377</v>
      </c>
      <c>
        <v>16510</v>
      </c>
      <c>
        <v>45751</v>
      </c>
    </row>
    <row ht="14.95">
      <c t="s">
        <v>104</v>
      </c>
      <c>
        <v>16510</v>
      </c>
      <c>
        <v>47774</v>
      </c>
    </row>
    <row ht="14.95">
      <c t="s">
        <v>444</v>
      </c>
      <c>
        <v>16510</v>
      </c>
      <c>
        <v>52535</v>
      </c>
    </row>
    <row ht="14.95">
      <c t="s">
        <v>182</v>
      </c>
      <c>
        <v>16510</v>
      </c>
      <c>
        <v>59885</v>
      </c>
    </row>
    <row ht="14.95">
      <c t="s">
        <v>263</v>
      </c>
      <c>
        <v>16510</v>
      </c>
      <c>
        <v>65488</v>
      </c>
    </row>
    <row ht="14.95">
      <c t="s">
        <v>603</v>
      </c>
      <c>
        <v>16510</v>
      </c>
      <c>
        <v>68068</v>
      </c>
    </row>
    <row ht="14.95">
      <c t="s">
        <v>346</v>
      </c>
      <c>
        <v>16510</v>
      </c>
      <c>
        <v>71678</v>
      </c>
    </row>
    <row ht="14.95">
      <c t="s">
        <v>81</v>
      </c>
      <c>
        <v>16510</v>
      </c>
      <c>
        <v>73927</v>
      </c>
    </row>
    <row ht="14.95">
      <c t="s">
        <v>423</v>
      </c>
      <c>
        <v>16510</v>
      </c>
      <c>
        <v>77214</v>
      </c>
    </row>
    <row ht="14.95">
      <c t="s">
        <v>340</v>
      </c>
      <c>
        <v>211</v>
      </c>
      <c>
        <v>4941</v>
      </c>
    </row>
    <row ht="14.95">
      <c t="s">
        <v>72</v>
      </c>
      <c>
        <v>211</v>
      </c>
      <c>
        <v>12914</v>
      </c>
    </row>
    <row ht="14.95">
      <c t="s">
        <v>413</v>
      </c>
      <c>
        <v>211</v>
      </c>
      <c>
        <v>16550</v>
      </c>
    </row>
    <row ht="14.95">
      <c t="s">
        <v>141</v>
      </c>
      <c>
        <v>211</v>
      </c>
      <c>
        <v>18672</v>
      </c>
    </row>
    <row ht="14.95">
      <c t="s">
        <v>224</v>
      </c>
      <c>
        <v>1651</v>
      </c>
      <c>
        <v>23113</v>
      </c>
    </row>
    <row ht="14.95">
      <c t="s">
        <v>557</v>
      </c>
      <c>
        <v>1651</v>
      </c>
      <c>
        <v>25345</v>
      </c>
    </row>
    <row ht="14.95">
      <c t="s">
        <v>298</v>
      </c>
      <c>
        <v>1651</v>
      </c>
      <c>
        <v>29071</v>
      </c>
    </row>
    <row ht="14.95">
      <c t="s">
        <v>27</v>
      </c>
      <c>
        <v>1651</v>
      </c>
      <c>
        <v>41450</v>
      </c>
    </row>
    <row ht="14.95">
      <c t="s">
        <v>378</v>
      </c>
      <c>
        <v>1651</v>
      </c>
      <c>
        <v>43482</v>
      </c>
    </row>
    <row ht="14.95">
      <c t="s">
        <v>105</v>
      </c>
      <c>
        <v>1651</v>
      </c>
      <c>
        <v>44961</v>
      </c>
    </row>
    <row ht="14.95">
      <c t="s">
        <v>445</v>
      </c>
      <c>
        <v>16510</v>
      </c>
      <c>
        <v>46798</v>
      </c>
    </row>
    <row ht="14.95">
      <c t="s">
        <v>183</v>
      </c>
      <c>
        <v>16510</v>
      </c>
      <c>
        <v>49286</v>
      </c>
    </row>
    <row ht="14.95">
      <c t="s">
        <v>527</v>
      </c>
      <c>
        <v>16510</v>
      </c>
      <c>
        <v>55170</v>
      </c>
    </row>
    <row ht="14.95">
      <c t="s">
        <v>261</v>
      </c>
      <c>
        <v>16510</v>
      </c>
      <c>
        <v>62285</v>
      </c>
    </row>
    <row ht="14.95">
      <c t="s">
        <v>342</v>
      </c>
      <c>
        <v>16510</v>
      </c>
      <c>
        <v>65151</v>
      </c>
    </row>
    <row ht="14.95">
      <c t="s">
        <v>77</v>
      </c>
      <c>
        <v>16510</v>
      </c>
      <c>
        <v>67509</v>
      </c>
    </row>
    <row ht="14.95">
      <c t="s">
        <v>421</v>
      </c>
      <c>
        <v>16510</v>
      </c>
      <c>
        <v>71833</v>
      </c>
    </row>
    <row ht="14.95">
      <c t="s">
        <v>151</v>
      </c>
      <c>
        <v>16510</v>
      </c>
      <c>
        <v>75103</v>
      </c>
    </row>
    <row ht="14.95">
      <c t="s">
        <v>498</v>
      </c>
      <c>
        <v>16510</v>
      </c>
      <c>
        <v>77953</v>
      </c>
    </row>
    <row r="416"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  <row ht="14.95">
      <c s="59"/>
      <c s="30"/>
      <c s="30"/>
    </row>
  </sheetData>
  <pageMargins left="0.7" right="0.7" top="0.787401575" bottom="0.7874015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Z48"/>
  <sheetViews>
    <sheetView topLeftCell="A43" workbookViewId="0">
      <selection activeCell="C49" sqref="C49"/>
    </sheetView>
  </sheetViews>
  <sheetFormatPr defaultColWidth="9.140625" defaultRowHeight="13.6"/>
  <cols>
    <col min="1" max="1" width="13.5703125" style="31" customWidth="1"/>
    <col min="2" max="2" width="40.85546875" style="31" customWidth="1"/>
    <col min="3" max="3" width="28.140625" style="31" customWidth="1"/>
    <col min="4" max="4" width="14.7109375" style="31" customWidth="1"/>
    <col min="5" max="5" width="19.42578125" style="31" customWidth="1"/>
    <col min="6" max="6" width="11.140625" style="31" customWidth="1"/>
    <col min="7" max="7" width="9.140625" style="31"/>
    <col min="8" max="8" width="17.28515625" style="31" customWidth="1"/>
    <col min="9" max="9" width="19.5703125" style="31" customWidth="1"/>
    <col min="10" max="12" width="12.42578125" style="31" customWidth="1"/>
    <col min="13" max="13" width="16" style="31" bestFit="1" customWidth="1"/>
    <col min="14" max="14" width="14.28515625" style="31" bestFit="1" customWidth="1"/>
    <col min="15" max="15" width="18.28515625" style="31" bestFit="1" customWidth="1"/>
    <col min="16" max="25" width="9.140625" style="31"/>
    <col min="26" max="26" width="9.140625" style="31" hidden="1" customWidth="1"/>
    <col min="27" max="16384" width="9.140625" style="31"/>
  </cols>
  <sheetData>
    <row>
      <c s="78"/>
      <c r="H1" s="55">
        <v>129806172700000000</v>
      </c>
      <c r="Z1" s="34" t="b">
        <f>0=1</f>
        <v>0</v>
      </c>
    </row>
    <row>
      <c r="Z2" s="34" t="b">
        <f>1=1</f>
        <v>1</v>
      </c>
    </row>
    <row>
      <c r="Z3" s="34"/>
    </row>
    <row>
      <c r="I4" s="31" t="s">
        <v>190</v>
      </c>
      <c s="41" t="s">
        <v>424</v>
      </c>
      <c s="15"/>
      <c s="15"/>
      <c s="15"/>
      <c s="15"/>
      <c s="15"/>
    </row>
    <row>
      <c r="J5" s="26" t="s">
        <v>154</v>
      </c>
      <c s="22" t="s">
        <v>309</v>
      </c>
      <c s="22" t="s">
        <v>385</v>
      </c>
      <c s="26" t="s">
        <v>569</v>
      </c>
      <c s="52" t="s">
        <v>453</v>
      </c>
      <c s="22" t="s">
        <v>0</v>
      </c>
    </row>
    <row>
      <c r="B6" s="28" t="s">
        <v>454</v>
      </c>
      <c s="24" t="s">
        <v>499</v>
      </c>
      <c s="53" t="s">
        <v>40</v>
      </c>
      <c s="11" t="s">
        <v>310</v>
      </c>
    </row>
    <row>
      <c r="C7" s="20"/>
      <c s="25" t="s">
        <v>41</v>
      </c>
      <c s="11" t="s">
        <v>348</v>
      </c>
    </row>
    <row>
      <c r="C8" s="25" t="s">
        <v>1</v>
      </c>
      <c s="20"/>
    </row>
    <row>
      <c r="C9" s="20"/>
      <c s="24" t="s">
        <v>155</v>
      </c>
      <c s="38"/>
    </row>
    <row>
      <c r="C10" s="24" t="s">
        <v>267</v>
      </c>
      <c s="70" t="s">
        <v>386</v>
      </c>
      <c s="11" t="s">
        <v>83</v>
      </c>
    </row>
    <row>
      <c r="B11" s="28" t="s">
        <v>311</v>
      </c>
      <c s="44" t="s">
        <v>268</v>
      </c>
      <c s="60">
        <v>60398</v>
      </c>
      <c s="11" t="s">
        <v>156</v>
      </c>
    </row>
    <row>
      <c r="B12" s="28"/>
      <c s="48"/>
      <c s="33"/>
      <c s="50" t="s">
        <v>425</v>
      </c>
    </row>
    <row>
      <c r="B13" s="28" t="s">
        <v>269</v>
      </c>
      <c s="56" t="s">
        <v>112</v>
      </c>
      <c s="40">
        <v>1212</v>
      </c>
      <c s="31" t="b">
        <v>0</v>
      </c>
      <c s="11" t="s">
        <v>387</v>
      </c>
    </row>
    <row ht="12.75" hidden="1">
      <c r="B14" s="28"/>
      <c s="56"/>
      <c s="36"/>
      <c s="31" t="b">
        <v>0</v>
      </c>
    </row>
    <row>
      <c r="B15" s="28" t="s">
        <v>500</v>
      </c>
      <c s="31" t="s">
        <v>533</v>
      </c>
      <c s="51">
        <v>1212</v>
      </c>
      <c s="31" t="b">
        <v>0</v>
      </c>
      <c s="11" t="s">
        <v>113</v>
      </c>
    </row>
    <row ht="12.75" hidden="1">
      <c r="B16" s="28"/>
      <c r="D16" s="18"/>
      <c s="31" t="b">
        <v>0</v>
      </c>
      <c s="11"/>
    </row>
    <row>
      <c r="B17" s="28"/>
      <c s="31" t="s">
        <v>157</v>
      </c>
      <c s="54">
        <v>3434</v>
      </c>
      <c s="31" t="b">
        <v>0</v>
      </c>
      <c s="11" t="s">
        <v>388</v>
      </c>
    </row>
    <row>
      <c r="B18" s="28"/>
      <c r="D18" s="18"/>
      <c s="31" t="b">
        <v>0</v>
      </c>
      <c s="11"/>
    </row>
    <row>
      <c r="B19" s="28"/>
      <c s="31" t="s">
        <v>2</v>
      </c>
      <c s="35">
        <v>3434</v>
      </c>
      <c s="31" t="b">
        <v>0</v>
      </c>
      <c s="11" t="s">
        <v>455</v>
      </c>
    </row>
    <row>
      <c r="B20" s="28"/>
      <c r="D20" s="18"/>
      <c s="31" t="b">
        <v>0</v>
      </c>
      <c s="11"/>
    </row>
    <row>
      <c r="B21" s="28"/>
      <c s="31" t="s">
        <v>456</v>
      </c>
      <c s="47">
        <v>5656</v>
      </c>
      <c s="31" t="b">
        <v>0</v>
      </c>
      <c s="11" t="s">
        <v>570</v>
      </c>
    </row>
    <row>
      <c r="B22" s="28"/>
      <c r="E22" s="11"/>
      <c r="I22" s="65"/>
    </row>
    <row>
      <c r="B23" s="27" t="s">
        <v>3</v>
      </c>
      <c s="27"/>
    </row>
    <row>
      <c r="B24" s="9" t="s">
        <v>312</v>
      </c>
      <c s="9" t="s">
        <v>158</v>
      </c>
      <c s="9" t="s">
        <v>42</v>
      </c>
      <c s="9" t="s">
        <v>457</v>
      </c>
      <c s="9"/>
      <c s="9"/>
      <c s="9" t="s">
        <v>571</v>
      </c>
    </row>
    <row>
      <c s="31" t="s">
        <v>349</v>
      </c>
      <c r="C25" s="49" t="s">
        <v>352</v>
      </c>
      <c s="37" t="s">
        <v>236</v>
      </c>
      <c s="67">
        <v>1234.5599999999999</v>
      </c>
      <c s="11" t="s">
        <v>426</v>
      </c>
      <c r="H25" s="31" t="s">
        <v>458</v>
      </c>
    </row>
    <row>
      <c s="31" t="s">
        <v>501</v>
      </c>
      <c r="C26" s="49" t="s">
        <v>352</v>
      </c>
      <c s="37" t="s">
        <v>236</v>
      </c>
      <c s="67">
        <v>1234.5599999999999</v>
      </c>
      <c s="11" t="s">
        <v>350</v>
      </c>
      <c r="H26" s="31" t="s">
        <v>572</v>
      </c>
    </row>
    <row>
      <c r="C27" s="49" t="s">
        <v>352</v>
      </c>
      <c s="43" t="s">
        <v>236</v>
      </c>
      <c s="75">
        <v>1234.5599999999999</v>
      </c>
      <c s="11"/>
    </row>
    <row>
      <c r="C28" s="42" t="s">
        <v>352</v>
      </c>
      <c s="43" t="s">
        <v>353</v>
      </c>
      <c s="75">
        <v>1234.5599999999999</v>
      </c>
      <c r="H28" s="31" t="s">
        <v>351</v>
      </c>
    </row>
    <row>
      <c r="C29" s="42" t="s">
        <v>314</v>
      </c>
      <c s="79" t="s">
        <v>427</v>
      </c>
      <c s="66">
        <v>1234.5599999999999</v>
      </c>
      <c r="H29" s="31" t="s">
        <v>159</v>
      </c>
    </row>
    <row>
      <c r="C30" s="42" t="s">
        <v>314</v>
      </c>
      <c s="32" t="s">
        <v>427</v>
      </c>
      <c s="74">
        <v>1234.5599999999999</v>
      </c>
      <c r="H30" s="31" t="s">
        <v>573</v>
      </c>
    </row>
    <row>
      <c r="C31" s="42" t="s">
        <v>352</v>
      </c>
      <c s="68" t="s">
        <v>114</v>
      </c>
      <c s="71">
        <v>1234.5599999999999</v>
      </c>
    </row>
    <row>
      <c r="C32" s="42" t="s">
        <v>352</v>
      </c>
      <c s="57" t="s">
        <v>575</v>
      </c>
      <c s="39">
        <v>1234.5599999999999</v>
      </c>
    </row>
    <row ht="37.45">
      <c r="C33" s="42" t="s">
        <v>193</v>
      </c>
      <c s="72" t="s">
        <v>237</v>
      </c>
      <c s="61">
        <v>1234.5599999999999</v>
      </c>
    </row>
    <row ht="37.45">
      <c r="C34" s="42" t="s">
        <v>193</v>
      </c>
      <c s="72" t="s">
        <v>313</v>
      </c>
      <c s="61">
        <v>1234.5599999999999</v>
      </c>
    </row>
    <row ht="37.45">
      <c r="C35" s="42" t="s">
        <v>193</v>
      </c>
      <c s="72" t="s">
        <v>43</v>
      </c>
      <c s="61">
        <v>1234.5599999999999</v>
      </c>
    </row>
    <row ht="37.45">
      <c r="C36" s="42" t="s">
        <v>193</v>
      </c>
      <c s="72" t="s">
        <v>389</v>
      </c>
      <c s="61">
        <v>1234.5599999999999</v>
      </c>
    </row>
    <row ht="37.45">
      <c r="C37" s="42" t="s">
        <v>193</v>
      </c>
      <c s="72" t="s">
        <v>116</v>
      </c>
      <c s="61">
        <v>1234.5599999999999</v>
      </c>
    </row>
    <row ht="37.45">
      <c r="C38" s="42" t="s">
        <v>193</v>
      </c>
      <c s="45" t="s">
        <v>463</v>
      </c>
      <c s="62">
        <v>1234.5599999999999</v>
      </c>
    </row>
    <row ht="37.45">
      <c r="C39" s="42" t="s">
        <v>193</v>
      </c>
      <c s="45" t="s">
        <v>199</v>
      </c>
      <c s="62">
        <v>1234.5599999999999</v>
      </c>
    </row>
    <row ht="37.45">
      <c r="C40" s="42" t="s">
        <v>193</v>
      </c>
      <c s="45" t="s">
        <v>536</v>
      </c>
      <c s="62">
        <v>1234.5599999999999</v>
      </c>
    </row>
    <row ht="37.45">
      <c r="C41" s="42" t="s">
        <v>193</v>
      </c>
      <c s="45" t="s">
        <v>275</v>
      </c>
      <c s="62">
        <v>1234.5599999999999</v>
      </c>
    </row>
    <row ht="37.45">
      <c r="C42" s="42" t="s">
        <v>193</v>
      </c>
      <c s="45" t="s">
        <v>6</v>
      </c>
      <c s="62">
        <v>1234.5599999999999</v>
      </c>
    </row>
    <row ht="37.45">
      <c r="C43" s="31" t="s">
        <v>193</v>
      </c>
      <c s="45" t="s">
        <v>358</v>
      </c>
      <c s="62">
        <v>1234.5599999999999</v>
      </c>
    </row>
    <row ht="37.45">
      <c r="C44" s="31" t="s">
        <v>193</v>
      </c>
      <c s="45" t="s">
        <v>447</v>
      </c>
      <c s="31">
        <v>1234.5599999999999</v>
      </c>
    </row>
    <row ht="37.45">
      <c r="C45" s="31" t="s">
        <v>193</v>
      </c>
      <c s="45" t="s">
        <v>185</v>
      </c>
      <c s="31">
        <v>1234.5599999999999</v>
      </c>
    </row>
    <row ht="37.45">
      <c r="C46" s="31" t="s">
        <v>193</v>
      </c>
      <c s="45" t="s">
        <v>531</v>
      </c>
      <c s="31">
        <v>1234.5599999999999</v>
      </c>
    </row>
    <row ht="37.45">
      <c r="C47" s="31" t="s">
        <v>193</v>
      </c>
      <c s="45" t="s">
        <v>266</v>
      </c>
      <c s="31">
        <v>1234.5599999999999</v>
      </c>
    </row>
    <row ht="37.45">
      <c r="C48" s="31" t="s">
        <v>193</v>
      </c>
      <c s="45" t="s">
        <v>605</v>
      </c>
      <c s="31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
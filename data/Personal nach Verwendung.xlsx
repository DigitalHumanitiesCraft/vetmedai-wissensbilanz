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900"/>
  </bookViews>
  <sheets>
    <sheet name="Tab" sheetId="1" r:id="rId1"/>
    <sheet name="XLCubedFormats" sheetId="2" state="hidden" r:id="rId2"/>
  </sheets>
  <definedNames>
    <definedName name="_xlnm.Print_Area" localSheetId="0">Tab!$A$1:$N$83</definedName>
    <definedName name="_xlnm.Print_Titles" localSheetId="0">Tab!$18:$19</definedName>
    <definedName name="XL3DisableCameraObjects" hidden="1">XLCubedFormats!A1</definedName>
    <definedName name="XL3ObjLocation3bc5bf81_130b_498d_b13f_0e6fa0a9551f">Tab!$A$11</definedName>
  </definedNames>
  <calcPr calcId="40001"/>
</workbook>
</file>

<file path=xl/sharedStrings.xml><?xml version="1.0" encoding="utf-8"?>
<sst xmlns="http://schemas.openxmlformats.org/spreadsheetml/2006/main" uniqueCount="117">
  <si>
    <t>Semester und Datenstichtag</t>
  </si>
  <si>
    <t>Universität</t>
  </si>
  <si>
    <t>Wintersemester 2018 (Stichtag: 31.12.2018)</t>
  </si>
  <si>
    <t>(70) Wartung, Betrieb und Aufsicht</t>
  </si>
  <si>
    <t>(64) Projektmitarbeiter/in, allg. Personal</t>
  </si>
  <si>
    <t>(40) Unterstützung in Gesundheit/Soziales</t>
  </si>
  <si>
    <t>(26) Senior Scientist/Artist (KV)</t>
  </si>
  <si>
    <t>(12) Universitätsprofessor/in (§ 99 Abs. 1 UG), bis 5 Jahre befristet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</si>
  <si>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</si>
  <si>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</si>
  <si>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</si>
  <si>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</si>
  <si>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</si>
  <si>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</si>
  <si>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(30) Studentische/r Mitarbeiter/in</t>
  </si>
  <si>
    <t>(84) Senior Lecturer (KV)</t>
  </si>
  <si>
    <t>All Marital Status</t>
  </si>
  <si>
    <t>Male</t>
  </si>
  <si>
    <t>Member1 Name</t>
  </si>
  <si>
    <t>Wintersemester 2011 (Stichtag: 31.12.2011)</t>
  </si>
  <si>
    <t>Absolutwert</t>
  </si>
  <si>
    <t>Datenaufbereitung: bmfwf, Abt. I/10</t>
  </si>
  <si>
    <t>&lt;-- default Column Member Format</t>
  </si>
  <si>
    <r>
      <rPr>
        <u/>
        <sz val="9"/>
        <color rgb="FF000000"/>
        <rFont val="Tahoma"/>
        <family val="2"/>
      </rPr>
      <t>Hinweis</t>
    </r>
    <r>
      <rPr>
        <sz val="9"/>
        <color rgb="FF000000"/>
        <rFont val="Tahoma"/>
        <family val="2"/>
      </rPr>
      <t xml:space="preserve">: Für eine Abfrage der Gesamtsumme auf Ebene der Universität muss das Merkmal </t>
    </r>
    <r>
      <rPr>
        <i/>
        <sz val="9"/>
        <color rgb="FF000000"/>
        <rFont val="Tahoma"/>
        <family val="2"/>
      </rPr>
      <t>Universität</t>
    </r>
    <r>
      <rPr>
        <sz val="9"/>
        <color rgb="FF000000"/>
        <rFont val="Tahoma"/>
        <family val="2"/>
      </rPr>
      <t xml:space="preserve"> auf 'Insgesamt (bereinigt)' eingeschränkt werden. Die Auswahl 'Gesamt' beim Merkmal </t>
    </r>
    <r>
      <rPr>
        <i/>
        <sz val="9"/>
        <color rgb="FF000000"/>
        <rFont val="Tahoma"/>
        <family val="2"/>
      </rPr>
      <t>Universität</t>
    </r>
    <r>
      <rPr>
        <sz val="9"/>
        <color rgb="FF000000"/>
        <rFont val="Tahoma"/>
        <family val="2"/>
      </rPr>
      <t xml:space="preserve"> führt, ohne weitere Einschränkungen bei den Merkmalen </t>
    </r>
    <r>
      <rPr>
        <i/>
        <sz val="9"/>
        <color rgb="FF000000"/>
        <rFont val="Tahoma"/>
        <family val="2"/>
      </rPr>
      <t>Bundesland Universität</t>
    </r>
    <r>
      <rPr>
        <sz val="9"/>
        <color rgb="FF000000"/>
        <rFont val="Tahoma"/>
        <family val="2"/>
      </rPr>
      <t xml:space="preserve"> und/oder </t>
    </r>
    <r>
      <rPr>
        <i/>
        <sz val="9"/>
        <color rgb="FF000000"/>
        <rFont val="Tahoma"/>
        <family val="2"/>
      </rPr>
      <t>Universität-Ausrichtung</t>
    </r>
    <r>
      <rPr>
        <sz val="9"/>
        <color rgb="FF000000"/>
        <rFont val="Tahoma"/>
        <family val="2"/>
      </rPr>
      <t xml:space="preserve">, zu keinen verwertbaren Ergebnissen. Bei Auswahl der Merkmale </t>
    </r>
    <r>
      <rPr>
        <i/>
        <sz val="9"/>
        <color rgb="FF000000"/>
        <rFont val="Tahoma"/>
        <family val="2"/>
      </rPr>
      <t>Bundesland Universität</t>
    </r>
    <r>
      <rPr>
        <sz val="9"/>
        <color rgb="FF000000"/>
        <rFont val="Tahoma"/>
        <family val="2"/>
      </rPr>
      <t xml:space="preserve"> und </t>
    </r>
    <r>
      <rPr>
        <i/>
        <sz val="9"/>
        <color rgb="FF000000"/>
        <rFont val="Tahoma"/>
        <family val="2"/>
      </rPr>
      <t>Universität-Ausrichtung</t>
    </r>
    <r>
      <rPr>
        <sz val="9"/>
        <color rgb="FF000000"/>
        <rFont val="Tahoma"/>
        <family val="2"/>
      </rPr>
      <t xml:space="preserve"> ist zusätzlich das Merkmal </t>
    </r>
    <r>
      <rPr>
        <i/>
        <sz val="9"/>
        <color rgb="FF000000"/>
        <rFont val="Tahoma"/>
        <family val="2"/>
      </rPr>
      <t>Universität</t>
    </r>
    <r>
      <rPr>
        <sz val="9"/>
        <color rgb="FF000000"/>
        <rFont val="Tahoma"/>
        <family val="2"/>
      </rPr>
      <t xml:space="preserve"> auf 'Gesamt' einzuschränken.</t>
    </r>
  </si>
  <si>
    <t>Beschäftigungsausmaß in Prozent</t>
  </si>
  <si>
    <t>Gesamt</t>
  </si>
  <si>
    <t>(62) Krankenpflege in öff. KA/Tierpflege in med. Einrichtungen</t>
  </si>
  <si>
    <t>(18) Lektor/in (§ 107 Abs. 2 Z 1 UG), ausgenommen Verwendung 17</t>
  </si>
  <si>
    <t>(17) nebenberuflich tätige/r Lektor/in (§ 100 Abs. 4 UG)</t>
  </si>
  <si>
    <t>Alternate Rows</t>
  </si>
  <si>
    <t>&lt;--  writeable cell format</t>
  </si>
  <si>
    <t>Wintersemester 2013 (Stichtag: 31.12.2013)</t>
  </si>
  <si>
    <t>(60) Verwaltung</t>
  </si>
  <si>
    <t>(82) Assoziierte/r Professor/in (KV)</t>
  </si>
  <si>
    <t>Slicer Title</t>
  </si>
  <si>
    <t>Calendar Period</t>
  </si>
  <si>
    <t>&lt;-- default cell format</t>
  </si>
  <si>
    <t>Written Member</t>
  </si>
  <si>
    <t>Dimension/Column</t>
  </si>
  <si>
    <t>Wintersemester 2021 (Stichtag: 31.12.2021)</t>
  </si>
  <si>
    <t>Personal Universitäten</t>
  </si>
  <si>
    <t>Personal nach Verwendung</t>
  </si>
  <si>
    <t>Männer</t>
  </si>
  <si>
    <t>Slice Name (Optional)</t>
  </si>
  <si>
    <t>[PU Person].[Semester_plus_Datenstichtag]</t>
  </si>
  <si>
    <t>Wintersemester 2015 (Stichtag: 31.12.2015)</t>
  </si>
  <si>
    <t>Measures</t>
  </si>
  <si>
    <t>(61) Ärztin/Arzt ausschl. in öff. Krankenanstalt</t>
  </si>
  <si>
    <t>(23) Ärztin/Arzt in Facharztausbildung</t>
  </si>
  <si>
    <t>Wintersemester 2009 (Stichtag: 31.12.2009)</t>
  </si>
  <si>
    <t>[PU Person].[Geschlecht]</t>
  </si>
  <si>
    <t>Wintersemester 2023 (Stichtag: 31.12.2023)</t>
  </si>
  <si>
    <t>Wintersemester 2017 (Stichtag: 31.12.2017)</t>
  </si>
  <si>
    <t>(50) Universitätsmanagement</t>
  </si>
  <si>
    <t>(16) Wiss./künstl. Mitarbeiter/in mit selbst. Lehre</t>
  </si>
  <si>
    <t>(85) Universitätsprofessor/in (§ 99 Abs. 4 UG via Universitätsdozent/in)</t>
  </si>
  <si>
    <t>Customer</t>
  </si>
  <si>
    <t>-All Customer</t>
  </si>
  <si>
    <t>Default Alternate Row Member Format --&gt;</t>
  </si>
  <si>
    <t>Alle Verwendungskategorien gemäß Z 3.6 der Anlage 9 UHSBV, seit 2023 aufgrund BGBl II Nr. 233/2023 inklusive Verwendung 88 Assistenzprofessor/in (KV) (Karrierepfad gemäß § 99 Abs. 5 und 6 UG).</t>
  </si>
  <si>
    <t>Bundesland Universität</t>
  </si>
  <si>
    <t>(65) Technisches Personal</t>
  </si>
  <si>
    <t>(86) Universitätsprofessor/in (§ 99 Abs. 4 UG via Assoziierte/r Professor/in)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</si>
  <si>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</si>
  <si>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</si>
  <si>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</si>
  <si>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</si>
  <si>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</si>
  <si>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2010 (Stichtag: 31.12.2010)</t>
  </si>
  <si>
    <t>Wintersemester 2019 (Stichtag: 31.12.2019)</t>
  </si>
  <si>
    <t>(81) Universitätsprofessor/in (§ 99 Abs. 3 UG), bis 6 Jahre befristet und unbefristet</t>
  </si>
  <si>
    <t>&lt;-- writeable Slicer Member Format</t>
  </si>
  <si>
    <t>Verwendung_mit_Code</t>
  </si>
  <si>
    <t>Ohne karenzierte und ausgeschiedene Personen. Personen mit mehreren Beschäftigungsverhältnissen bzw. abweichenden Angaben im Geschlecht sind nur einmal gezählt.</t>
  </si>
  <si>
    <t>(25) Wiss./künstl. Mitarbeiter/in gem. § 27 Abs. 1 Z 3 UG</t>
  </si>
  <si>
    <t>(14) Universitätsdozent/in</t>
  </si>
  <si>
    <t>Slicer Button</t>
  </si>
  <si>
    <t>+2009</t>
  </si>
  <si>
    <t>&lt;-- default alternate row cell format</t>
  </si>
  <si>
    <t>&lt;--  written cell format</t>
  </si>
  <si>
    <t>Wintersemester 2012 (Stichtag: 31.12.2012)</t>
  </si>
  <si>
    <t>Wintersemester 2020 (Stichtag: 31.12.2020)</t>
  </si>
  <si>
    <t>bereinigte Kopfzahlen</t>
  </si>
  <si>
    <t xml:space="preserve">Vollzeitäquivalente </t>
  </si>
  <si>
    <t>(11) Universitätsprofessor/in</t>
  </si>
  <si>
    <t>(28) Universitätsassistent/in (KV) auf Laufbahnstelle gemäß § 13b Abs. 3 UG</t>
  </si>
  <si>
    <t>(83) Assistenzprofessor/in (KV)</t>
  </si>
  <si>
    <t>Display Formats For:</t>
  </si>
  <si>
    <t>Enabled?</t>
  </si>
  <si>
    <t>Datenprüfung: bmfwf, Abt. I/2</t>
  </si>
  <si>
    <t>Quelle: Datenmeldungen der Universitäten auf Basis UHSBV</t>
  </si>
  <si>
    <t>Universität-Ausrichtung</t>
  </si>
  <si>
    <t>(27) Universitätsassistent/in (KV)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</si>
  <si>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</si>
  <si>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</si>
  <si>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</si>
  <si>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</si>
  <si>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</si>
  <si>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Wintersemester 2014 (Stichtag: 31.12.2014)</t>
  </si>
  <si>
    <t>(Members of Beschäftigungsausmaß in Prozent) - (0, Fehler, Keine Angabe, Unknown, Ausgeschieden)</t>
  </si>
  <si>
    <t>(87) Assoziierte/r Professor/in (§ 99 Abs. 6 UG/§ 27 KV)-Personengruppe der Universitätsprofessor/inn/en</t>
  </si>
  <si>
    <t>Marital Status</t>
  </si>
  <si>
    <t>Default Writeable Member Format --&gt;</t>
  </si>
  <si>
    <t>Anmerkung zur Technischen Universität Wien: seit Wintersemester 2019 (Stichtag: 31.12.2019) - vorläufige Zahlen</t>
  </si>
  <si>
    <t>Wintersemester 2022 (Stichtag: 31.12.2022)</t>
  </si>
  <si>
    <t>(21) Wiss./künstl. Mitarbeiter/in ohne selbst. Lehre</t>
  </si>
  <si>
    <t>(88) Assistenzprofessor/in (KV) (Karrierepfad gemäß § 99 Abs. 5 und 6 UG)</t>
  </si>
  <si>
    <t>Writeable Member</t>
  </si>
  <si>
    <t>Vollzeitäquivalente</t>
  </si>
  <si>
    <t>Wintersemester 2016 (Stichtag: 31.12.2016)</t>
  </si>
  <si>
    <t>(24) Wiss./künstl. Mitarbeiter/in gem. § 26 Abs. 6 UG</t>
  </si>
  <si>
    <t>Geschlecht</t>
  </si>
  <si>
    <t>(66) Bibliothekspersonal</t>
  </si>
  <si>
    <t>Slicer Button Selected</t>
  </si>
  <si>
    <t>&lt;--  summary written cell</t>
  </si>
  <si>
    <t>Formatierungsrichtlinien</t>
  </si>
  <si>
    <t>Wintersemester 2024 (Stichtag: 31.12.2024)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</si>
</sst>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color rgb="FF595959"/>
      <name val="Tahoma"/>
    </font>
    <font>
      <sz val="9"/>
      <name val="Tahoma"/>
      <family val="2"/>
    </font>
    <font>
      <sz val="10"/>
      <color theme="1" tint="0.34998626667073579"/>
      <name val="Tahoma"/>
      <family val="2"/>
    </font>
    <font>
      <sz val="8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9"/>
      <color theme="1"/>
      <name val="Calibri"/>
      <family val="2"/>
      <scheme val="minor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i/>
      <sz val="9"/>
      <color rgb="FF000000"/>
      <name val="Tahoma"/>
      <family val="2"/>
    </font>
    <font>
      <b/>
      <sz val="11"/>
      <color theme="3"/>
      <name val="Calibri"/>
      <family val="2"/>
      <scheme val="minor"/>
    </font>
    <font>
      <u/>
      <sz val="9"/>
      <color rgb="FF000000"/>
      <name val="Tahoma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</fills>
  <borders count="10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/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164" fontId="2" fillId="2" borderId="1" xfId="0" applyNumberFormat="1" applyFont="1" applyFill="1" applyBorder="1" applyAlignment="1" applyProtection="1">
      <alignment horizontal="right" wrapText="1"/>
    </xf>
    <xf numFmtId="3" fontId="2" fillId="0" borderId="1" xfId="0" applyNumberFormat="1" applyFont="1" applyFill="1" applyBorder="1" applyAlignment="1" applyProtection="1">
      <alignment horizontal="right" wrapText="1"/>
    </xf>
    <xf numFmtId="3" fontId="2" fillId="2" borderId="1" xfId="0" applyNumberFormat="1" applyFont="1" applyFill="1" applyBorder="1" applyAlignment="1" applyProtection="1">
      <alignment horizontal="right" wrapText="1"/>
    </xf>
    <xf numFmtId="164" fontId="2" fillId="2" borderId="1" xfId="0" applyNumberFormat="1" applyFont="1" applyFill="1" applyBorder="1" applyAlignment="1" applyProtection="1">
      <alignment horizontal="right"/>
    </xf>
    <xf numFmtId="3" fontId="2" fillId="2" borderId="1" xfId="0" applyNumberFormat="1" applyFont="1" applyFill="1" applyBorder="1" applyAlignment="1" applyProtection="1">
      <alignment horizontal="right"/>
    </xf>
    <xf numFmtId="164" fontId="2" fillId="2" borderId="1" xfId="0" applyNumberFormat="1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3" fillId="0" borderId="0" xfId="0" applyFont="1" applyFill="1" applyBorder="1"/>
    <xf numFmtId="0" fontId="2" fillId="0" borderId="1" xfId="0" quotePrefix="1" applyFont="1" applyFill="1" applyBorder="1" applyAlignment="1" applyProtection="1">
      <alignment horizontal="center" wrapText="1"/>
    </xf>
    <xf numFmtId="3" fontId="4" fillId="0" borderId="0" xfId="0" applyNumberFormat="1" applyFont="1" applyFill="1" applyBorder="1"/>
    <xf numFmtId="0" fontId="5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right"/>
    </xf>
    <xf numFmtId="0" fontId="6" fillId="0" borderId="0" xfId="0" applyFont="1"/>
    <xf numFmtId="0" fontId="5" fillId="0" borderId="0" xfId="0" applyFont="1" applyFill="1" applyBorder="1" applyAlignment="1">
      <alignment horizontal="left" vertical="top" wrapText="1"/>
    </xf>
    <xf numFmtId="0" fontId="7" fillId="0" borderId="0" xfId="0" applyFont="1"/>
    <xf numFmtId="0" fontId="5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vertical="center"/>
    </xf>
    <xf numFmtId="0" fontId="10" fillId="3" borderId="2" xfId="0" quotePrefix="1" applyFont="1" applyFill="1" applyBorder="1" applyAlignment="1" applyProtection="1"/>
    <xf numFmtId="0" fontId="11" fillId="4" borderId="0" xfId="1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right"/>
    </xf>
    <xf numFmtId="0" fontId="12" fillId="5" borderId="0" xfId="0" applyFont="1" applyFill="1" applyAlignment="1"/>
    <xf numFmtId="0" fontId="13" fillId="0" borderId="0" xfId="1" applyFont="1"/>
    <xf numFmtId="0" fontId="14" fillId="0" borderId="0" xfId="0" applyFont="1"/>
    <xf numFmtId="0" fontId="15" fillId="0" borderId="0" xfId="0" applyNumberFormat="1" applyFont="1" applyAlignment="1"/>
    <xf numFmtId="0" fontId="16" fillId="0" borderId="0" xfId="0" applyFont="1"/>
    <xf numFmtId="0" fontId="2" fillId="0" borderId="3" xfId="0" applyFont="1" applyBorder="1" applyAlignment="1" applyProtection="1">
      <alignment horizont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17" fillId="0" borderId="0" xfId="0" applyFont="1"/>
    <xf numFmtId="0" fontId="7" fillId="0" borderId="0" xfId="0" applyFont="1" applyAlignment="1">
      <alignment horizontal="right"/>
    </xf>
    <xf numFmtId="0" fontId="2" fillId="0" borderId="4" xfId="0" applyFont="1" applyBorder="1" applyAlignment="1" applyProtection="1">
      <alignment horizontal="right" wrapText="1"/>
    </xf>
    <xf numFmtId="0" fontId="2" fillId="0" borderId="3" xfId="0" applyFont="1" applyBorder="1" applyAlignment="1" applyProtection="1">
      <alignment horizontal="right" wrapText="1"/>
    </xf>
    <xf numFmtId="0" fontId="13" fillId="5" borderId="0" xfId="1" applyFont="1" applyFill="1"/>
    <xf numFmtId="0" fontId="2" fillId="0" borderId="3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vertical="center"/>
    </xf>
    <xf numFmtId="0" fontId="2" fillId="0" borderId="5" xfId="0" applyFont="1" applyBorder="1" applyAlignment="1" applyProtection="1">
      <alignment vertical="center"/>
    </xf>
    <xf numFmtId="3" fontId="15" fillId="6" borderId="0" xfId="0" applyNumberFormat="1" applyFont="1" applyFill="1" applyAlignment="1"/>
    <xf numFmtId="0" fontId="2" fillId="0" borderId="6" xfId="0" applyFont="1" applyBorder="1" applyAlignment="1" applyProtection="1">
      <alignment horizontal="center" wrapText="1"/>
    </xf>
    <xf numFmtId="0" fontId="2" fillId="7" borderId="5" xfId="0" applyFont="1" applyFill="1" applyBorder="1" applyAlignment="1" applyProtection="1">
      <alignment horizontal="right"/>
    </xf>
    <xf numFmtId="0" fontId="2" fillId="0" borderId="4" xfId="0" applyFont="1" applyBorder="1" applyAlignment="1" applyProtection="1">
      <alignment horizontal="center" wrapText="1"/>
    </xf>
    <xf numFmtId="3" fontId="17" fillId="0" borderId="7" xfId="0" applyNumberFormat="1" applyFont="1" applyFill="1" applyBorder="1" applyAlignment="1"/>
    <xf numFmtId="0" fontId="18" fillId="0" borderId="0" xfId="0" applyFont="1"/>
    <xf numFmtId="0" fontId="2" fillId="0" borderId="8" xfId="0" applyFont="1" applyBorder="1" applyAlignment="1" applyProtection="1">
      <alignment horizontal="center" wrapText="1"/>
    </xf>
    <xf numFmtId="0" fontId="15" fillId="0" borderId="0" xfId="0" quotePrefix="1" applyFont="1" applyFill="1"/>
    <xf numFmtId="0" fontId="15" fillId="0" borderId="0" xfId="0" applyFont="1" applyFill="1" applyBorder="1" applyAlignment="1">
      <alignment vertical="center"/>
    </xf>
    <xf numFmtId="0" fontId="13" fillId="8" borderId="0" xfId="1" applyFont="1" applyFill="1"/>
    <xf numFmtId="0" fontId="2" fillId="0" borderId="1" xfId="0" quotePrefix="1" applyFont="1" applyBorder="1" applyAlignment="1" applyProtection="1"/>
    <xf numFmtId="0" fontId="0" fillId="0" borderId="0" xfId="0" applyFill="1" applyBorder="1" applyAlignment="1"/>
    <xf numFmtId="0" fontId="19" fillId="0" borderId="0" xfId="0" quotePrefix="1" applyFont="1" applyFill="1" applyAlignment="1">
      <alignment vertical="top"/>
    </xf>
    <xf numFmtId="164" fontId="2" fillId="0" borderId="5" xfId="0" applyNumberFormat="1" applyFont="1" applyBorder="1" applyAlignment="1" applyProtection="1">
      <alignment vertical="center"/>
    </xf>
    <xf numFmtId="0" fontId="20" fillId="0" borderId="0" xfId="0" applyFont="1" applyFill="1" applyBorder="1" applyAlignment="1"/>
    <xf numFmtId="0" fontId="17" fillId="0" borderId="7" xfId="0" quotePrefix="1" applyFont="1" applyFill="1" applyBorder="1" applyAlignment="1"/>
    <xf numFmtId="0" fontId="21" fillId="0" borderId="0" xfId="0" applyFont="1"/>
    <xf numFmtId="0" fontId="17" fillId="0" borderId="7" xfId="0" quotePrefix="1" applyFont="1" applyFill="1" applyBorder="1" applyAlignment="1">
      <alignment horizontal="right"/>
    </xf>
    <xf numFmtId="0" fontId="15" fillId="0" borderId="0" xfId="0" applyNumberFormat="1" applyFont="1" applyFill="1" applyBorder="1" applyAlignment="1"/>
    <xf numFmtId="0" fontId="2" fillId="0" borderId="3" xfId="0" applyFont="1" applyBorder="1" applyAlignment="1" applyProtection="1">
      <alignment horizontal="right"/>
    </xf>
    <xf numFmtId="0" fontId="2" fillId="0" borderId="1" xfId="0" quotePrefix="1" applyFont="1" applyFill="1" applyBorder="1" applyAlignment="1" applyProtection="1">
      <alignment vertical="center"/>
    </xf>
    <xf numFmtId="0" fontId="16" fillId="0" borderId="0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vertical="center"/>
    </xf>
    <xf numFmtId="164" fontId="2" fillId="0" borderId="3" xfId="0" applyNumberFormat="1" applyFont="1" applyBorder="1" applyAlignment="1" applyProtection="1">
      <alignment vertical="center"/>
    </xf>
    <xf numFmtId="0" fontId="0" fillId="0" borderId="0" xfId="0" applyFont="1"/>
    <xf numFmtId="0" fontId="2" fillId="7" borderId="3" xfId="0" applyFont="1" applyFill="1" applyBorder="1" applyAlignment="1" applyProtection="1">
      <alignment horizontal="right"/>
    </xf>
    <xf numFmtId="0" fontId="20" fillId="0" borderId="0" xfId="0" applyFont="1"/>
    <xf numFmtId="3" fontId="6" fillId="0" borderId="0" xfId="0" applyNumberFormat="1" applyFont="1" applyFill="1" applyAlignment="1"/>
    <xf numFmtId="0" fontId="17" fillId="0" borderId="7" xfId="0" applyFont="1" applyFill="1" applyBorder="1" applyAlignment="1">
      <alignment vertical="center"/>
    </xf>
    <xf numFmtId="3" fontId="15" fillId="8" borderId="0" xfId="0" applyNumberFormat="1" applyFont="1" applyFill="1" applyAlignment="1"/>
    <xf numFmtId="0" fontId="2" fillId="0" borderId="6" xfId="0" applyFont="1" applyBorder="1" applyAlignment="1" applyProtection="1">
      <alignment horizontal="right" wrapText="1"/>
    </xf>
    <xf numFmtId="164" fontId="2" fillId="7" borderId="4" xfId="0" applyNumberFormat="1" applyFont="1" applyFill="1" applyBorder="1" applyAlignment="1" applyProtection="1">
      <alignment vertical="center"/>
    </xf>
    <xf numFmtId="164" fontId="2" fillId="7" borderId="1" xfId="0" applyNumberFormat="1" applyFont="1" applyFill="1" applyBorder="1" applyAlignment="1" applyProtection="1">
      <alignment vertical="center"/>
    </xf>
    <xf numFmtId="0" fontId="15" fillId="0" borderId="0" xfId="0" quotePrefix="1" applyFont="1"/>
    <xf numFmtId="0" fontId="11" fillId="4" borderId="9" xfId="1" applyFont="1" applyFill="1" applyBorder="1" applyAlignment="1">
      <alignment horizontal="center"/>
    </xf>
    <xf numFmtId="0" fontId="2" fillId="0" borderId="8" xfId="0" applyFont="1" applyBorder="1" applyAlignment="1" applyProtection="1">
      <alignment horizontal="right" wrapText="1"/>
    </xf>
    <xf numFmtId="165" fontId="15" fillId="0" borderId="0" xfId="0" applyNumberFormat="1" applyFont="1"/>
    <xf numFmtId="3" fontId="15" fillId="0" borderId="0" xfId="0" applyNumberFormat="1" applyFont="1" applyAlignment="1"/>
    <xf numFmtId="0" fontId="15" fillId="0" borderId="0" xfId="0" applyNumberFormat="1" applyFont="1"/>
    <xf numFmtId="0" fontId="15" fillId="8" borderId="0" xfId="0" applyNumberFormat="1" applyFont="1" applyFill="1" applyAlignment="1"/>
    <xf numFmtId="0" fontId="15" fillId="8" borderId="0" xfId="0" applyFont="1" applyFill="1"/>
    <xf numFmtId="3" fontId="15" fillId="9" borderId="0" xfId="0" applyNumberFormat="1" applyFont="1" applyFill="1" applyAlignment="1"/>
    <xf numFmtId="2" fontId="15" fillId="0" borderId="0" xfId="0" applyNumberFormat="1" applyFo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9</xdr:row>
      <xdr:rowOff>189865</xdr:rowOff>
    </xdr:from>
    <xdr:to>
      <xdr:col>5</xdr:col>
      <xdr:colOff>281153</xdr:colOff>
      <xdr:row>10</xdr:row>
      <xdr:rowOff>189865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0442" y="2282190"/>
          <a:ext cx="369697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189865</xdr:rowOff>
    </xdr:from>
    <xdr:to>
      <xdr:col>5</xdr:col>
      <xdr:colOff>281153</xdr:colOff>
      <xdr:row>12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0442" y="2472055"/>
          <a:ext cx="3696979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5</xdr:col>
      <xdr:colOff>281153</xdr:colOff>
      <xdr:row>13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0442" y="2661920"/>
          <a:ext cx="3696979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641"/>
  <sheetViews>
    <sheetView tabSelected="1" workbookViewId="0"/>
  </sheetViews>
  <sheetFormatPr defaultColWidth="11.42578125" defaultRowHeight="14.95"/>
  <cols>
    <col min="1" max="1" width="92.7109375" style="63" customWidth="1"/>
    <col min="2" max="2" width="20.7109375" customWidth="1"/>
    <col min="3" max="15" width="8.71093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8" t="s">
        <v>40</v>
      </c>
      <c s="18"/>
      <c s="18"/>
      <c s="18"/>
      <c s="18"/>
      <c s="49"/>
    </row>
    <row s="65" customFormat="1">
      <c s="17" t="s">
        <v>41</v>
      </c>
      <c s="17"/>
      <c s="17"/>
      <c s="17"/>
      <c s="17"/>
      <c s="52"/>
    </row>
    <row ht="15" customHeight="1" s="65" customFormat="1">
      <c s="11" t="s">
        <v>59</v>
      </c>
      <c s="11"/>
      <c s="11"/>
      <c s="11"/>
      <c s="11"/>
      <c s="11"/>
      <c s="11"/>
      <c s="11"/>
      <c s="11"/>
    </row>
    <row ht="15" customHeight="1" s="65" customFormat="1">
      <c s="11" t="s">
        <v>73</v>
      </c>
      <c s="11"/>
      <c s="11"/>
      <c s="11"/>
      <c s="11"/>
      <c s="11"/>
      <c s="11"/>
      <c s="11"/>
      <c s="11"/>
    </row>
    <row ht="15" customHeight="1" s="65" customFormat="1">
      <c s="11" t="s">
        <v>103</v>
      </c>
      <c s="11"/>
      <c s="11"/>
      <c s="11"/>
      <c s="11"/>
      <c s="11"/>
      <c s="11"/>
      <c s="11"/>
      <c s="11"/>
    </row>
    <row>
      <c s="11" t="s">
        <v>90</v>
      </c>
      <c s="11"/>
      <c s="11"/>
      <c s="11"/>
      <c s="11"/>
      <c s="11"/>
      <c s="26"/>
      <c s="26"/>
      <c s="26"/>
    </row>
    <row>
      <c s="50" t="s">
        <v>89</v>
      </c>
      <c s="16"/>
      <c s="16"/>
      <c s="16"/>
      <c s="16"/>
      <c s="11"/>
      <c s="26"/>
      <c s="26"/>
      <c s="26"/>
    </row>
    <row>
      <c s="50" t="s">
        <v>21</v>
      </c>
      <c s="16"/>
      <c s="16"/>
      <c s="16"/>
      <c s="16"/>
      <c s="59"/>
      <c s="26"/>
      <c s="26"/>
      <c s="26"/>
    </row>
    <row ht="45" customHeight="1">
      <c s="14" t="s">
        <v>23</v>
      </c>
      <c s="14"/>
      <c s="14"/>
      <c s="14"/>
      <c s="14"/>
      <c s="14"/>
      <c s="16"/>
      <c s="26"/>
      <c s="26"/>
    </row>
    <row r="11">
      <c s="19" t="s">
        <v>1</v>
      </c>
      <c s="48" t="s">
        <v>25</v>
      </c>
    </row>
    <row>
      <c s="19" t="s">
        <v>60</v>
      </c>
      <c s="48" t="s">
        <v>25</v>
      </c>
    </row>
    <row>
      <c s="19" t="s">
        <v>91</v>
      </c>
      <c s="48" t="s">
        <v>25</v>
      </c>
    </row>
    <row ht="15" hidden="1">
      <c s="19" t="s">
        <v>24</v>
      </c>
      <c s="48" t="s">
        <v>99</v>
      </c>
    </row>
    <row>
      <c/>
    </row>
    <row>
      <c/>
    </row>
    <row ht="15" hidden="1">
      <c/>
      <c r="C17" s="19" t="s">
        <v>0</v>
      </c>
      <c s="19" t="s">
        <v>111</v>
      </c>
    </row>
    <row ht="30" customHeight="1">
      <c/>
      <c r="C18" s="9" t="s">
        <v>116</v>
      </c>
      <c s="9"/>
      <c s="9"/>
      <c s="9" t="s">
        <v>51</v>
      </c>
      <c s="9"/>
      <c s="9"/>
      <c s="9" t="s">
        <v>104</v>
      </c>
      <c s="9"/>
      <c s="9"/>
      <c s="9" t="s">
        <v>39</v>
      </c>
      <c s="9"/>
      <c s="9"/>
    </row>
    <row>
      <c s="19" t="s">
        <v>72</v>
      </c>
      <c s="19" t="s">
        <v>46</v>
      </c>
      <c s="12" t="s">
        <v>8</v>
      </c>
      <c s="12" t="s">
        <v>42</v>
      </c>
      <c s="21" t="s">
        <v>25</v>
      </c>
      <c s="12" t="s">
        <v>8</v>
      </c>
      <c s="12" t="s">
        <v>42</v>
      </c>
      <c s="21" t="s">
        <v>25</v>
      </c>
      <c s="12" t="s">
        <v>8</v>
      </c>
      <c s="12" t="s">
        <v>42</v>
      </c>
      <c s="21" t="s">
        <v>25</v>
      </c>
      <c s="12" t="s">
        <v>8</v>
      </c>
      <c s="12" t="s">
        <v>42</v>
      </c>
      <c s="21" t="s">
        <v>25</v>
      </c>
    </row>
    <row>
      <c s="58" t="s">
        <v>84</v>
      </c>
      <c s="6" t="s">
        <v>83</v>
      </c>
      <c s="1">
        <v>686.29359999999997</v>
      </c>
      <c s="1">
        <v>1580.5559000000003</v>
      </c>
      <c s="1">
        <v>2266.8495000000003</v>
      </c>
      <c s="1">
        <v>656.18110000000001</v>
      </c>
      <c s="1">
        <v>1606.5699000000004</v>
      </c>
      <c s="1">
        <v>2262.7510000000002</v>
      </c>
      <c s="1">
        <v>610.18309999999997</v>
      </c>
      <c s="1">
        <v>1611.8861000000002</v>
      </c>
      <c s="1">
        <v>2222.0691999999999</v>
      </c>
      <c s="1">
        <v>607.73559999999998</v>
      </c>
      <c s="1">
        <v>1647.4924000000003</v>
      </c>
      <c s="4">
        <v>2255.2280000000001</v>
      </c>
    </row>
    <row>
      <c s="58"/>
      <c s="7" t="s">
        <v>82</v>
      </c>
      <c s="2">
        <v>719</v>
      </c>
      <c s="2">
        <v>1651</v>
      </c>
      <c s="3">
        <v>2370</v>
      </c>
      <c s="2">
        <v>689</v>
      </c>
      <c s="2">
        <v>1678</v>
      </c>
      <c s="3">
        <v>2367</v>
      </c>
      <c s="2">
        <v>641</v>
      </c>
      <c s="2">
        <v>1679</v>
      </c>
      <c s="3">
        <v>2320</v>
      </c>
      <c s="2">
        <v>632</v>
      </c>
      <c s="2">
        <v>1707</v>
      </c>
      <c s="5">
        <v>2339</v>
      </c>
    </row>
    <row>
      <c s="58" t="s">
        <v>7</v>
      </c>
      <c s="6" t="s">
        <v>83</v>
      </c>
      <c s="1">
        <v>60.184699999999992</v>
      </c>
      <c s="1">
        <v>100.75</v>
      </c>
      <c s="1">
        <v>160.93469999999999</v>
      </c>
      <c s="1">
        <v>66.319500000000005</v>
      </c>
      <c s="1">
        <v>100.4081</v>
      </c>
      <c s="1">
        <v>166.7276</v>
      </c>
      <c s="1">
        <v>77.069600000000008</v>
      </c>
      <c s="1">
        <v>101.72059999999999</v>
      </c>
      <c s="1">
        <v>178.7902</v>
      </c>
      <c s="1">
        <v>71.075000000000003</v>
      </c>
      <c s="1">
        <v>108.57500000000002</v>
      </c>
      <c s="4">
        <v>179.65000000000003</v>
      </c>
    </row>
    <row>
      <c s="58"/>
      <c s="7" t="s">
        <v>82</v>
      </c>
      <c s="2">
        <v>76</v>
      </c>
      <c s="2">
        <v>149</v>
      </c>
      <c s="3">
        <v>225</v>
      </c>
      <c s="2">
        <v>80</v>
      </c>
      <c s="2">
        <v>146</v>
      </c>
      <c s="3">
        <v>226</v>
      </c>
      <c s="2">
        <v>89</v>
      </c>
      <c s="2">
        <v>148</v>
      </c>
      <c s="3">
        <v>237</v>
      </c>
      <c s="2">
        <v>84</v>
      </c>
      <c s="2">
        <v>150</v>
      </c>
      <c s="5">
        <v>234</v>
      </c>
    </row>
    <row>
      <c s="58" t="s">
        <v>70</v>
      </c>
      <c s="6" t="s">
        <v>83</v>
      </c>
      <c s="1">
        <v>28.199999999999999</v>
      </c>
      <c s="1">
        <v>66.900000000000006</v>
      </c>
      <c s="1">
        <v>95.100000000000009</v>
      </c>
      <c s="1">
        <v>34.399999999999999</v>
      </c>
      <c s="1">
        <v>73.299999999999997</v>
      </c>
      <c s="1">
        <v>107.69999999999999</v>
      </c>
      <c s="1">
        <v>36</v>
      </c>
      <c s="1">
        <v>80.299999999999997</v>
      </c>
      <c s="1">
        <v>116.3</v>
      </c>
      <c s="1">
        <v>36.5</v>
      </c>
      <c s="1">
        <v>86.099999999999994</v>
      </c>
      <c s="4">
        <v>122.59999999999999</v>
      </c>
    </row>
    <row>
      <c s="58"/>
      <c s="7" t="s">
        <v>82</v>
      </c>
      <c s="2">
        <v>29</v>
      </c>
      <c s="2">
        <v>69</v>
      </c>
      <c s="3">
        <v>98</v>
      </c>
      <c s="2">
        <v>35</v>
      </c>
      <c s="2">
        <v>76</v>
      </c>
      <c s="3">
        <v>111</v>
      </c>
      <c s="2">
        <v>37</v>
      </c>
      <c s="2">
        <v>83</v>
      </c>
      <c s="3">
        <v>120</v>
      </c>
      <c s="2">
        <v>38</v>
      </c>
      <c s="2">
        <v>88</v>
      </c>
      <c s="5">
        <v>126</v>
      </c>
    </row>
    <row>
      <c s="58" t="s">
        <v>55</v>
      </c>
      <c s="6" t="s">
        <v>83</v>
      </c>
      <c s="1">
        <v>20</v>
      </c>
      <c s="1">
        <v>48.5</v>
      </c>
      <c s="1">
        <v>68.5</v>
      </c>
      <c s="1">
        <v>23</v>
      </c>
      <c s="1">
        <v>45</v>
      </c>
      <c s="1">
        <v>68</v>
      </c>
      <c s="1">
        <v>23</v>
      </c>
      <c s="1">
        <v>45</v>
      </c>
      <c s="1">
        <v>68</v>
      </c>
      <c s="1">
        <v>20.5</v>
      </c>
      <c s="1">
        <v>44.5</v>
      </c>
      <c s="4">
        <v>65</v>
      </c>
    </row>
    <row>
      <c s="58"/>
      <c s="7" t="s">
        <v>82</v>
      </c>
      <c s="2">
        <v>20</v>
      </c>
      <c s="2">
        <v>49</v>
      </c>
      <c s="3">
        <v>69</v>
      </c>
      <c s="2">
        <v>23</v>
      </c>
      <c s="2">
        <v>46</v>
      </c>
      <c s="3">
        <v>69</v>
      </c>
      <c s="2">
        <v>23</v>
      </c>
      <c s="2">
        <v>46</v>
      </c>
      <c s="3">
        <v>69</v>
      </c>
      <c s="2">
        <v>21</v>
      </c>
      <c s="2">
        <v>45</v>
      </c>
      <c s="5">
        <v>66</v>
      </c>
    </row>
    <row>
      <c s="58" t="s">
        <v>62</v>
      </c>
      <c s="6" t="s">
        <v>83</v>
      </c>
      <c s="1">
        <v>69.224999999999994</v>
      </c>
      <c s="1">
        <v>138.72499999999999</v>
      </c>
      <c s="1">
        <v>207.94999999999999</v>
      </c>
      <c s="1">
        <v>59.075000000000003</v>
      </c>
      <c s="1">
        <v>116.89999999999999</v>
      </c>
      <c s="1">
        <v>175.97499999999999</v>
      </c>
      <c s="1">
        <v>58.600000000000001</v>
      </c>
      <c s="1">
        <v>102.8</v>
      </c>
      <c s="1">
        <v>161.40000000000001</v>
      </c>
      <c s="1">
        <v>43.75</v>
      </c>
      <c s="1">
        <v>81.199999999999989</v>
      </c>
      <c s="4">
        <v>124.94999999999999</v>
      </c>
    </row>
    <row>
      <c s="58"/>
      <c s="7" t="s">
        <v>82</v>
      </c>
      <c s="2">
        <v>74</v>
      </c>
      <c s="2">
        <v>143</v>
      </c>
      <c s="3">
        <v>217</v>
      </c>
      <c s="2">
        <v>62</v>
      </c>
      <c s="2">
        <v>121</v>
      </c>
      <c s="3">
        <v>183</v>
      </c>
      <c s="2">
        <v>60</v>
      </c>
      <c s="2">
        <v>108</v>
      </c>
      <c s="3">
        <v>168</v>
      </c>
      <c s="2">
        <v>44</v>
      </c>
      <c s="2">
        <v>85</v>
      </c>
      <c s="5">
        <v>129</v>
      </c>
    </row>
    <row>
      <c s="58" t="s">
        <v>100</v>
      </c>
      <c s="6" t="s">
        <v>83</v>
      </c>
      <c s="1">
        <v>103.02499999999999</v>
      </c>
      <c s="1">
        <v>171.92500000000001</v>
      </c>
      <c s="1">
        <v>274.94999999999999</v>
      </c>
      <c s="1">
        <v>65.724999999999994</v>
      </c>
      <c s="1">
        <v>113.77500000000001</v>
      </c>
      <c s="1">
        <v>179.5</v>
      </c>
      <c s="1">
        <v>36.900000000000006</v>
      </c>
      <c s="1">
        <v>67.599999999999994</v>
      </c>
      <c s="1">
        <v>104.5</v>
      </c>
      <c s="1">
        <v>22.649999999999999</v>
      </c>
      <c s="1">
        <v>46.5</v>
      </c>
      <c s="4">
        <v>69.150000000000006</v>
      </c>
    </row>
    <row>
      <c s="58"/>
      <c s="7" t="s">
        <v>82</v>
      </c>
      <c s="2">
        <v>106</v>
      </c>
      <c s="2">
        <v>176</v>
      </c>
      <c s="3">
        <v>282</v>
      </c>
      <c s="2">
        <v>68</v>
      </c>
      <c s="2">
        <v>119</v>
      </c>
      <c s="3">
        <v>187</v>
      </c>
      <c s="2">
        <v>39</v>
      </c>
      <c s="2">
        <v>70</v>
      </c>
      <c s="3">
        <v>109</v>
      </c>
      <c s="2">
        <v>25</v>
      </c>
      <c s="2">
        <v>48</v>
      </c>
      <c s="5">
        <v>73</v>
      </c>
    </row>
    <row>
      <c s="58" t="s">
        <v>75</v>
      </c>
      <c s="6" t="s">
        <v>83</v>
      </c>
      <c s="1">
        <v>282.83120000000002</v>
      </c>
      <c s="1">
        <v>775.68520000000012</v>
      </c>
      <c s="1">
        <v>1058.5164000000002</v>
      </c>
      <c s="1">
        <v>309.3562</v>
      </c>
      <c s="1">
        <v>869.90689999999995</v>
      </c>
      <c s="1">
        <v>1179.2630999999999</v>
      </c>
      <c s="1">
        <v>344.91560000000004</v>
      </c>
      <c s="1">
        <v>975.35090000000002</v>
      </c>
      <c s="1">
        <v>1320.2665000000002</v>
      </c>
      <c s="1">
        <v>372.82040000000001</v>
      </c>
      <c s="1">
        <v>1069.2009</v>
      </c>
      <c s="4">
        <v>1442.0213000000001</v>
      </c>
    </row>
    <row>
      <c s="58"/>
      <c s="7" t="s">
        <v>82</v>
      </c>
      <c s="2">
        <v>296</v>
      </c>
      <c s="2">
        <v>804</v>
      </c>
      <c s="3">
        <v>1100</v>
      </c>
      <c s="2">
        <v>322</v>
      </c>
      <c s="2">
        <v>900</v>
      </c>
      <c s="3">
        <v>1222</v>
      </c>
      <c s="2">
        <v>356</v>
      </c>
      <c s="2">
        <v>1007</v>
      </c>
      <c s="3">
        <v>1363</v>
      </c>
      <c s="2">
        <v>387</v>
      </c>
      <c s="2">
        <v>1104</v>
      </c>
      <c s="5">
        <v>1491</v>
      </c>
    </row>
    <row>
      <c s="58" t="s">
        <v>33</v>
      </c>
      <c s="6" t="s">
        <v>83</v>
      </c>
      <c s="1">
        <v>319.64750000000004</v>
      </c>
      <c s="1">
        <v>587.73779999999999</v>
      </c>
      <c s="1">
        <v>907.38530000000003</v>
      </c>
      <c s="1">
        <v>328.1771</v>
      </c>
      <c s="1">
        <v>617.38029999999992</v>
      </c>
      <c s="1">
        <v>945.55739999999992</v>
      </c>
      <c s="1">
        <v>341.97409999999996</v>
      </c>
      <c s="1">
        <v>649.90499999999997</v>
      </c>
      <c s="1">
        <v>991.87909999999988</v>
      </c>
      <c s="1">
        <v>335.12909999999999</v>
      </c>
      <c s="1">
        <v>672.65999999999985</v>
      </c>
      <c s="4">
        <v>1007.7890999999998</v>
      </c>
    </row>
    <row>
      <c s="58"/>
      <c s="7" t="s">
        <v>82</v>
      </c>
      <c s="2">
        <v>353</v>
      </c>
      <c s="2">
        <v>615</v>
      </c>
      <c s="3">
        <v>968</v>
      </c>
      <c s="2">
        <v>359</v>
      </c>
      <c s="2">
        <v>645</v>
      </c>
      <c s="3">
        <v>1004</v>
      </c>
      <c s="2">
        <v>375</v>
      </c>
      <c s="2">
        <v>673</v>
      </c>
      <c s="3">
        <v>1048</v>
      </c>
      <c s="2">
        <v>367</v>
      </c>
      <c s="2">
        <v>693</v>
      </c>
      <c s="5">
        <v>1060</v>
      </c>
    </row>
    <row>
      <c s="58" t="s">
        <v>86</v>
      </c>
      <c s="6" t="s">
        <v>83</v>
      </c>
      <c s="1">
        <v>7.7371999999999996</v>
      </c>
      <c s="1">
        <v>7.5</v>
      </c>
      <c s="1">
        <v>15.2372</v>
      </c>
      <c s="1">
        <v>12.691199999999998</v>
      </c>
      <c s="1">
        <v>3.5</v>
      </c>
      <c s="1">
        <v>16.191199999999998</v>
      </c>
      <c s="1">
        <v>216.22379999999998</v>
      </c>
      <c s="1">
        <v>307.31200000000001</v>
      </c>
      <c s="1">
        <v>523.53579999999999</v>
      </c>
      <c s="1">
        <v>185.20060000000001</v>
      </c>
      <c s="1">
        <v>293.42439999999999</v>
      </c>
      <c s="4">
        <v>478.625</v>
      </c>
    </row>
    <row>
      <c s="58"/>
      <c s="7" t="s">
        <v>82</v>
      </c>
      <c s="2">
        <v>11</v>
      </c>
      <c s="2">
        <v>8</v>
      </c>
      <c s="3">
        <v>19</v>
      </c>
      <c s="2">
        <v>16</v>
      </c>
      <c s="2">
        <v>4</v>
      </c>
      <c s="3">
        <v>20</v>
      </c>
      <c s="2">
        <v>231</v>
      </c>
      <c s="2">
        <v>312</v>
      </c>
      <c s="3">
        <v>543</v>
      </c>
      <c s="2">
        <v>200</v>
      </c>
      <c s="2">
        <v>297</v>
      </c>
      <c s="5">
        <v>497</v>
      </c>
    </row>
    <row>
      <c s="58" t="s">
        <v>106</v>
      </c>
      <c s="6" t="s">
        <v>83</v>
      </c>
      <c s="1">
        <v>223.11750000000001</v>
      </c>
      <c s="1">
        <v>311.05000000000001</v>
      </c>
      <c s="1">
        <v>534.16750000000002</v>
      </c>
      <c s="1">
        <v>231.51250000000002</v>
      </c>
      <c s="1">
        <v>324.89999999999998</v>
      </c>
      <c s="1">
        <v>556.41250000000002</v>
      </c>
      <c s="1">
        <v>0</v>
      </c>
      <c s="1">
        <v>0</v>
      </c>
      <c s="1">
        <v>0</v>
      </c>
      <c s="1">
        <v>0</v>
      </c>
      <c s="1">
        <v>0</v>
      </c>
      <c s="4">
        <v>0</v>
      </c>
    </row>
    <row>
      <c s="58"/>
      <c s="7" t="s">
        <v>82</v>
      </c>
      <c s="2">
        <v>234</v>
      </c>
      <c s="2">
        <v>318</v>
      </c>
      <c s="3">
        <v>552</v>
      </c>
      <c s="2">
        <v>242</v>
      </c>
      <c s="2">
        <v>328</v>
      </c>
      <c s="3">
        <v>570</v>
      </c>
      <c s="2">
        <v>0</v>
      </c>
      <c s="2">
        <v>0</v>
      </c>
      <c s="3">
        <v>0</v>
      </c>
      <c s="2">
        <v>0</v>
      </c>
      <c s="2">
        <v>0</v>
      </c>
      <c s="5">
        <v>0</v>
      </c>
    </row>
    <row>
      <c s="58" t="s">
        <v>85</v>
      </c>
      <c s="6" t="s">
        <v>83</v>
      </c>
      <c s="1">
        <v>28.5</v>
      </c>
      <c s="1">
        <v>43.25</v>
      </c>
      <c s="1">
        <v>71.75</v>
      </c>
      <c s="1">
        <v>26</v>
      </c>
      <c s="1">
        <v>41.25</v>
      </c>
      <c s="1">
        <v>67.25</v>
      </c>
      <c s="1">
        <v>33.700000000000003</v>
      </c>
      <c s="1">
        <v>36</v>
      </c>
      <c s="1">
        <v>69.700000000000003</v>
      </c>
      <c s="1">
        <v>42.675000000000004</v>
      </c>
      <c s="1">
        <v>45.950000000000003</v>
      </c>
      <c s="4">
        <v>88.625</v>
      </c>
    </row>
    <row>
      <c s="58"/>
      <c s="7" t="s">
        <v>82</v>
      </c>
      <c s="2">
        <v>29</v>
      </c>
      <c s="2">
        <v>44</v>
      </c>
      <c s="3">
        <v>73</v>
      </c>
      <c s="2">
        <v>26</v>
      </c>
      <c s="2">
        <v>42</v>
      </c>
      <c s="3">
        <v>68</v>
      </c>
      <c s="2">
        <v>35</v>
      </c>
      <c s="2">
        <v>36</v>
      </c>
      <c s="3">
        <v>71</v>
      </c>
      <c s="2">
        <v>44</v>
      </c>
      <c s="2">
        <v>47</v>
      </c>
      <c s="5">
        <v>91</v>
      </c>
    </row>
    <row>
      <c s="58" t="s">
        <v>54</v>
      </c>
      <c s="6" t="s">
        <v>83</v>
      </c>
      <c s="1">
        <v>210.09930000000003</v>
      </c>
      <c s="1">
        <v>270.01709999999997</v>
      </c>
      <c s="1">
        <v>480.1164</v>
      </c>
      <c s="1">
        <v>233.35069999999999</v>
      </c>
      <c s="1">
        <v>303.81589999999994</v>
      </c>
      <c s="1">
        <v>537.1665999999999</v>
      </c>
      <c s="1">
        <v>262.16390000000001</v>
      </c>
      <c s="1">
        <v>345.2038</v>
      </c>
      <c s="1">
        <v>607.36770000000001</v>
      </c>
      <c s="1">
        <v>302.4778</v>
      </c>
      <c s="1">
        <v>392.31079999999997</v>
      </c>
      <c s="4">
        <v>694.78859999999997</v>
      </c>
    </row>
    <row>
      <c s="58"/>
      <c s="7" t="s">
        <v>82</v>
      </c>
      <c s="2">
        <v>233</v>
      </c>
      <c s="2">
        <v>288</v>
      </c>
      <c s="3">
        <v>521</v>
      </c>
      <c s="2">
        <v>258</v>
      </c>
      <c s="2">
        <v>321</v>
      </c>
      <c s="3">
        <v>579</v>
      </c>
      <c s="2">
        <v>291</v>
      </c>
      <c s="2">
        <v>361</v>
      </c>
      <c s="3">
        <v>652</v>
      </c>
      <c s="2">
        <v>345</v>
      </c>
      <c s="2">
        <v>416</v>
      </c>
      <c s="5">
        <v>761</v>
      </c>
    </row>
    <row>
      <c s="58" t="s">
        <v>105</v>
      </c>
      <c s="6" t="s">
        <v>83</v>
      </c>
      <c s="1">
        <v>137.28739999999999</v>
      </c>
      <c s="1">
        <v>124.20770000000002</v>
      </c>
      <c s="1">
        <v>261.49509999999998</v>
      </c>
      <c s="1">
        <v>158.78859999999992</v>
      </c>
      <c s="1">
        <v>134.31289999999996</v>
      </c>
      <c s="1">
        <v>293.10149999999987</v>
      </c>
      <c s="1">
        <v>162.90289999999999</v>
      </c>
      <c s="1">
        <v>145.14580000000004</v>
      </c>
      <c s="1">
        <v>308.04870000000005</v>
      </c>
      <c s="1">
        <v>220.64210000000003</v>
      </c>
      <c s="1">
        <v>182.29150000000004</v>
      </c>
      <c s="4">
        <v>402.93360000000007</v>
      </c>
    </row>
    <row>
      <c s="58"/>
      <c s="7" t="s">
        <v>82</v>
      </c>
      <c s="2">
        <v>202</v>
      </c>
      <c s="2">
        <v>177</v>
      </c>
      <c s="3">
        <v>379</v>
      </c>
      <c s="2">
        <v>225</v>
      </c>
      <c s="2">
        <v>192</v>
      </c>
      <c s="3">
        <v>417</v>
      </c>
      <c s="2">
        <v>241</v>
      </c>
      <c s="2">
        <v>208</v>
      </c>
      <c s="3">
        <v>449</v>
      </c>
      <c s="2">
        <v>466</v>
      </c>
      <c s="2">
        <v>361</v>
      </c>
      <c s="5">
        <v>827</v>
      </c>
    </row>
    <row>
      <c s="58" t="s">
        <v>15</v>
      </c>
      <c s="6" t="s">
        <v>83</v>
      </c>
      <c s="1">
        <v>504.69830000000002</v>
      </c>
      <c s="1">
        <v>478.84230000000002</v>
      </c>
      <c s="1">
        <v>983.54060000000004</v>
      </c>
      <c s="1">
        <v>499.72450000000009</v>
      </c>
      <c s="1">
        <v>476.35100000000011</v>
      </c>
      <c s="1">
        <v>976.07550000000015</v>
      </c>
      <c s="1">
        <v>486.53300000000002</v>
      </c>
      <c s="1">
        <v>466.44420000000002</v>
      </c>
      <c s="1">
        <v>952.97720000000004</v>
      </c>
      <c s="1">
        <v>444.01929999999999</v>
      </c>
      <c s="1">
        <v>435.67400000000009</v>
      </c>
      <c s="4">
        <v>879.69330000000014</v>
      </c>
    </row>
    <row>
      <c s="58"/>
      <c s="7" t="s">
        <v>82</v>
      </c>
      <c s="2">
        <v>715</v>
      </c>
      <c s="2">
        <v>648</v>
      </c>
      <c s="3">
        <v>1363</v>
      </c>
      <c s="2">
        <v>714</v>
      </c>
      <c s="2">
        <v>643</v>
      </c>
      <c s="3">
        <v>1357</v>
      </c>
      <c s="2">
        <v>703</v>
      </c>
      <c s="2">
        <v>632</v>
      </c>
      <c s="3">
        <v>1335</v>
      </c>
      <c s="2">
        <v>649</v>
      </c>
      <c s="2">
        <v>604</v>
      </c>
      <c s="5">
        <v>1253</v>
      </c>
    </row>
    <row>
      <c s="58" t="s">
        <v>6</v>
      </c>
      <c s="6" t="s">
        <v>83</v>
      </c>
      <c s="1">
        <v>668.6434999999999</v>
      </c>
      <c s="1">
        <v>942.07589999999959</v>
      </c>
      <c s="1">
        <v>1610.7193999999995</v>
      </c>
      <c s="1">
        <v>591.64730000000009</v>
      </c>
      <c s="1">
        <v>859.56359999999995</v>
      </c>
      <c s="1">
        <v>1451.2109</v>
      </c>
      <c s="1">
        <v>542.60759999999993</v>
      </c>
      <c s="1">
        <v>792.14510000000007</v>
      </c>
      <c s="1">
        <v>1334.7527</v>
      </c>
      <c s="1">
        <v>488.67940000000004</v>
      </c>
      <c s="1">
        <v>729.8171000000001</v>
      </c>
      <c s="4">
        <v>1218.4965000000002</v>
      </c>
    </row>
    <row>
      <c s="58"/>
      <c s="7" t="s">
        <v>82</v>
      </c>
      <c s="2">
        <v>821</v>
      </c>
      <c s="2">
        <v>1083</v>
      </c>
      <c s="3">
        <v>1904</v>
      </c>
      <c s="2">
        <v>730</v>
      </c>
      <c s="2">
        <v>980</v>
      </c>
      <c s="3">
        <v>1710</v>
      </c>
      <c s="2">
        <v>668</v>
      </c>
      <c s="2">
        <v>906</v>
      </c>
      <c s="3">
        <v>1574</v>
      </c>
      <c s="2">
        <v>599</v>
      </c>
      <c s="2">
        <v>844</v>
      </c>
      <c s="5">
        <v>1443</v>
      </c>
    </row>
    <row>
      <c s="58" t="s">
        <v>92</v>
      </c>
      <c s="6" t="s">
        <v>83</v>
      </c>
      <c s="1">
        <v>2786.4414999999976</v>
      </c>
      <c s="1">
        <v>3176.0324999999993</v>
      </c>
      <c s="1">
        <v>5962.4739999999965</v>
      </c>
      <c s="1">
        <v>2723.8074999999985</v>
      </c>
      <c s="1">
        <v>3132.9775000000009</v>
      </c>
      <c s="1">
        <v>5856.7849999999999</v>
      </c>
      <c s="1">
        <v>2569.4784999999993</v>
      </c>
      <c s="1">
        <v>3040.4753999999994</v>
      </c>
      <c s="1">
        <v>5609.9538999999986</v>
      </c>
      <c s="1">
        <v>2472.4699999999993</v>
      </c>
      <c s="1">
        <v>3040.9851000000008</v>
      </c>
      <c s="4">
        <v>5513.4551000000001</v>
      </c>
    </row>
    <row>
      <c s="58"/>
      <c s="7" t="s">
        <v>82</v>
      </c>
      <c s="2">
        <v>3447</v>
      </c>
      <c s="2">
        <v>3710</v>
      </c>
      <c s="3">
        <v>7157</v>
      </c>
      <c s="2">
        <v>3377</v>
      </c>
      <c s="2">
        <v>3660</v>
      </c>
      <c s="3">
        <v>7037</v>
      </c>
      <c s="2">
        <v>3197</v>
      </c>
      <c s="2">
        <v>3540</v>
      </c>
      <c s="3">
        <v>6737</v>
      </c>
      <c s="2">
        <v>3094</v>
      </c>
      <c s="2">
        <v>3545</v>
      </c>
      <c s="5">
        <v>6639</v>
      </c>
    </row>
    <row>
      <c s="58" t="s">
        <v>48</v>
      </c>
      <c s="6" t="s">
        <v>83</v>
      </c>
      <c s="1">
        <v>508.64499999999998</v>
      </c>
      <c s="1">
        <v>522.20000000000005</v>
      </c>
      <c s="1">
        <v>1030.845</v>
      </c>
      <c s="1">
        <v>482.0150000000001</v>
      </c>
      <c s="1">
        <v>519.61000000000001</v>
      </c>
      <c s="1">
        <v>1001.6250000000001</v>
      </c>
      <c s="1">
        <v>460.56500000000011</v>
      </c>
      <c s="1">
        <v>535.68000000000006</v>
      </c>
      <c s="1">
        <v>996.24500000000012</v>
      </c>
      <c s="1">
        <v>459.58999999999998</v>
      </c>
      <c s="1">
        <v>536.96000000000004</v>
      </c>
      <c s="4">
        <v>996.54999999999995</v>
      </c>
    </row>
    <row>
      <c s="58"/>
      <c s="7" t="s">
        <v>82</v>
      </c>
      <c s="2">
        <v>528</v>
      </c>
      <c s="2">
        <v>525</v>
      </c>
      <c s="3">
        <v>1053</v>
      </c>
      <c s="2">
        <v>503</v>
      </c>
      <c s="2">
        <v>524</v>
      </c>
      <c s="3">
        <v>1027</v>
      </c>
      <c s="2">
        <v>477</v>
      </c>
      <c s="2">
        <v>539</v>
      </c>
      <c s="3">
        <v>1016</v>
      </c>
      <c s="2">
        <v>478</v>
      </c>
      <c s="2">
        <v>542</v>
      </c>
      <c s="5">
        <v>1020</v>
      </c>
    </row>
    <row>
      <c s="58" t="s">
        <v>28</v>
      </c>
      <c s="6" t="s">
        <v>83</v>
      </c>
      <c s="1">
        <v>102.01209999999976</v>
      </c>
      <c s="1">
        <v>175.62889999999913</v>
      </c>
      <c s="1">
        <v>277.64099999999888</v>
      </c>
      <c s="1">
        <v>100.95470000000003</v>
      </c>
      <c s="1">
        <v>174.35350000000079</v>
      </c>
      <c s="1">
        <v>275.30820000000085</v>
      </c>
      <c s="1">
        <v>97.573099999999826</v>
      </c>
      <c s="1">
        <v>180.1571999999997</v>
      </c>
      <c s="1">
        <v>277.73029999999954</v>
      </c>
      <c s="1">
        <v>105.82759999999966</v>
      </c>
      <c s="1">
        <v>189.48360000000056</v>
      </c>
      <c s="4">
        <v>295.31120000000021</v>
      </c>
    </row>
    <row>
      <c s="58"/>
      <c s="7" t="s">
        <v>82</v>
      </c>
      <c s="2">
        <v>1176</v>
      </c>
      <c s="2">
        <v>1951</v>
      </c>
      <c s="3">
        <v>3126</v>
      </c>
      <c s="2">
        <v>1177</v>
      </c>
      <c s="2">
        <v>2010</v>
      </c>
      <c s="3">
        <v>3187</v>
      </c>
      <c s="2">
        <v>1137</v>
      </c>
      <c s="2">
        <v>2059</v>
      </c>
      <c s="3">
        <v>3196</v>
      </c>
      <c s="2">
        <v>1182</v>
      </c>
      <c s="2">
        <v>2141</v>
      </c>
      <c s="5">
        <v>3323</v>
      </c>
    </row>
    <row>
      <c s="58" t="s">
        <v>27</v>
      </c>
      <c s="6" t="s">
        <v>83</v>
      </c>
      <c s="1">
        <v>498.11660000000086</v>
      </c>
      <c s="1">
        <v>523.6776999999995</v>
      </c>
      <c s="1">
        <v>1021.7943000000004</v>
      </c>
      <c s="1">
        <v>491.28889999999819</v>
      </c>
      <c s="1">
        <v>529.29779999999607</v>
      </c>
      <c s="1">
        <v>1020.5866999999943</v>
      </c>
      <c s="1">
        <v>501.12119999999823</v>
      </c>
      <c s="1">
        <v>522.04189999999755</v>
      </c>
      <c s="1">
        <v>1023.1630999999958</v>
      </c>
      <c s="1">
        <v>529.12149999999951</v>
      </c>
      <c s="1">
        <v>556.62980000000198</v>
      </c>
      <c s="4">
        <v>1085.7513000000015</v>
      </c>
    </row>
    <row>
      <c s="58"/>
      <c s="7" t="s">
        <v>82</v>
      </c>
      <c s="2">
        <v>3060</v>
      </c>
      <c s="2">
        <v>3714</v>
      </c>
      <c s="3">
        <v>6774</v>
      </c>
      <c s="2">
        <v>3042</v>
      </c>
      <c s="2">
        <v>3723</v>
      </c>
      <c s="3">
        <v>6764</v>
      </c>
      <c s="2">
        <v>3020</v>
      </c>
      <c s="2">
        <v>3727</v>
      </c>
      <c s="3">
        <v>6747</v>
      </c>
      <c s="2">
        <v>3056</v>
      </c>
      <c s="2">
        <v>3778</v>
      </c>
      <c s="5">
        <v>6834</v>
      </c>
    </row>
    <row>
      <c s="58" t="s">
        <v>110</v>
      </c>
      <c s="6" t="s">
        <v>83</v>
      </c>
      <c s="1">
        <v>848.49750000000017</v>
      </c>
      <c s="1">
        <v>1024.4125000000001</v>
      </c>
      <c s="1">
        <v>1872.9100000000003</v>
      </c>
      <c s="1">
        <v>944.25999999999954</v>
      </c>
      <c s="1">
        <v>1146.3699999999999</v>
      </c>
      <c s="1">
        <v>2090.6299999999992</v>
      </c>
      <c s="1">
        <v>997.24910000000011</v>
      </c>
      <c s="1">
        <v>1186.9583999999995</v>
      </c>
      <c s="1">
        <v>2184.2074999999995</v>
      </c>
      <c s="1">
        <v>939.75029999999947</v>
      </c>
      <c s="1">
        <v>1146.1156000000005</v>
      </c>
      <c s="4">
        <v>2085.8658999999998</v>
      </c>
    </row>
    <row>
      <c s="58"/>
      <c s="7" t="s">
        <v>82</v>
      </c>
      <c s="2">
        <v>1337</v>
      </c>
      <c s="2">
        <v>1483</v>
      </c>
      <c s="3">
        <v>2820</v>
      </c>
      <c s="2">
        <v>1458</v>
      </c>
      <c s="2">
        <v>1673</v>
      </c>
      <c s="3">
        <v>3131</v>
      </c>
      <c s="2">
        <v>1552</v>
      </c>
      <c s="2">
        <v>1692</v>
      </c>
      <c s="3">
        <v>3244</v>
      </c>
      <c s="2">
        <v>1441</v>
      </c>
      <c s="2">
        <v>1630</v>
      </c>
      <c s="5">
        <v>3071</v>
      </c>
    </row>
    <row>
      <c s="58" t="s">
        <v>74</v>
      </c>
      <c s="6" t="s">
        <v>83</v>
      </c>
      <c s="1">
        <v>2281.7496999999985</v>
      </c>
      <c s="1">
        <v>3369.0526000000036</v>
      </c>
      <c s="1">
        <v>5650.8023000000021</v>
      </c>
      <c s="1">
        <v>2070.481500000004</v>
      </c>
      <c s="1">
        <v>3155.1633000000165</v>
      </c>
      <c s="1">
        <v>5225.64480000002</v>
      </c>
      <c s="1">
        <v>1947.9566000000004</v>
      </c>
      <c s="1">
        <v>3070.0046000000075</v>
      </c>
      <c s="1">
        <v>5017.9612000000079</v>
      </c>
      <c s="1">
        <v>1832.1638000000007</v>
      </c>
      <c s="1">
        <v>3064.0985000000146</v>
      </c>
      <c s="4">
        <v>4896.2623000000149</v>
      </c>
    </row>
    <row>
      <c s="58"/>
      <c s="7" t="s">
        <v>82</v>
      </c>
      <c s="2">
        <v>3839</v>
      </c>
      <c s="2">
        <v>5337</v>
      </c>
      <c s="3">
        <v>9176</v>
      </c>
      <c s="2">
        <v>3528</v>
      </c>
      <c s="2">
        <v>5044</v>
      </c>
      <c s="3">
        <v>8572</v>
      </c>
      <c s="2">
        <v>3291</v>
      </c>
      <c s="2">
        <v>4921</v>
      </c>
      <c s="3">
        <v>8212</v>
      </c>
      <c s="2">
        <v>3131</v>
      </c>
      <c s="2">
        <v>4862</v>
      </c>
      <c s="5">
        <v>7993</v>
      </c>
    </row>
    <row>
      <c s="58" t="s">
        <v>14</v>
      </c>
      <c s="6" t="s">
        <v>83</v>
      </c>
      <c s="1">
        <v>830.81180000000131</v>
      </c>
      <c s="1">
        <v>740.47239999999351</v>
      </c>
      <c s="1">
        <v>1571.2841999999948</v>
      </c>
      <c s="1">
        <v>803.59130000000619</v>
      </c>
      <c s="1">
        <v>689.24640000000124</v>
      </c>
      <c s="1">
        <v>1492.8377000000073</v>
      </c>
      <c s="1">
        <v>777.15760000000228</v>
      </c>
      <c s="1">
        <v>700.08829999999841</v>
      </c>
      <c s="1">
        <v>1477.2459000000008</v>
      </c>
      <c s="1">
        <v>756.34819999999547</v>
      </c>
      <c s="1">
        <v>697.57159999999715</v>
      </c>
      <c s="4">
        <v>1453.9197999999926</v>
      </c>
    </row>
    <row>
      <c s="58"/>
      <c s="7" t="s">
        <v>82</v>
      </c>
      <c s="2">
        <v>4291</v>
      </c>
      <c s="2">
        <v>3577</v>
      </c>
      <c s="3">
        <v>7868</v>
      </c>
      <c s="2">
        <v>4101</v>
      </c>
      <c s="2">
        <v>3405</v>
      </c>
      <c s="3">
        <v>7506</v>
      </c>
      <c s="2">
        <v>4048</v>
      </c>
      <c s="2">
        <v>3459</v>
      </c>
      <c s="3">
        <v>7506</v>
      </c>
      <c s="2">
        <v>3818</v>
      </c>
      <c s="2">
        <v>3388</v>
      </c>
      <c s="5">
        <v>7206</v>
      </c>
    </row>
    <row>
      <c s="58" t="s">
        <v>5</v>
      </c>
      <c s="6" t="s">
        <v>83</v>
      </c>
      <c s="1">
        <v>80.945500000000123</v>
      </c>
      <c s="1">
        <v>143.79690000000005</v>
      </c>
      <c s="1">
        <v>224.74240000000017</v>
      </c>
      <c s="1">
        <v>102.11150000000002</v>
      </c>
      <c s="1">
        <v>159.94279999999998</v>
      </c>
      <c s="1">
        <v>262.05430000000001</v>
      </c>
      <c s="1">
        <v>81.818300000000107</v>
      </c>
      <c s="1">
        <v>124.86450000000005</v>
      </c>
      <c s="1">
        <v>206.68280000000016</v>
      </c>
      <c s="1">
        <v>64.82500000000006</v>
      </c>
      <c s="1">
        <v>92.932100000000034</v>
      </c>
      <c s="4">
        <v>157.75710000000009</v>
      </c>
    </row>
    <row>
      <c s="58"/>
      <c s="7" t="s">
        <v>82</v>
      </c>
      <c s="2">
        <v>421</v>
      </c>
      <c s="2">
        <v>585</v>
      </c>
      <c s="3">
        <v>1006</v>
      </c>
      <c s="2">
        <v>411</v>
      </c>
      <c s="2">
        <v>554</v>
      </c>
      <c s="3">
        <v>965</v>
      </c>
      <c s="2">
        <v>370</v>
      </c>
      <c s="2">
        <v>530</v>
      </c>
      <c s="3">
        <v>900</v>
      </c>
      <c s="2">
        <v>342</v>
      </c>
      <c s="2">
        <v>462</v>
      </c>
      <c s="5">
        <v>804</v>
      </c>
    </row>
    <row>
      <c s="58" t="s">
        <v>53</v>
      </c>
      <c s="6" t="s">
        <v>83</v>
      </c>
      <c s="1">
        <v>50.439499999999995</v>
      </c>
      <c s="1">
        <v>56.466800000000006</v>
      </c>
      <c s="1">
        <v>106.9063</v>
      </c>
      <c s="1">
        <v>51.932300000000005</v>
      </c>
      <c s="1">
        <v>56.263999999999989</v>
      </c>
      <c s="1">
        <v>108.19629999999999</v>
      </c>
      <c s="1">
        <v>50.1541</v>
      </c>
      <c s="1">
        <v>55.773700000000005</v>
      </c>
      <c s="1">
        <v>105.9278</v>
      </c>
      <c s="1">
        <v>51.188800000000001</v>
      </c>
      <c s="1">
        <v>56.189400000000006</v>
      </c>
      <c s="4">
        <v>107.37820000000001</v>
      </c>
    </row>
    <row>
      <c s="58"/>
      <c s="7" t="s">
        <v>82</v>
      </c>
      <c s="2">
        <v>67</v>
      </c>
      <c s="2">
        <v>75</v>
      </c>
      <c s="3">
        <v>142</v>
      </c>
      <c s="2">
        <v>73</v>
      </c>
      <c s="2">
        <v>77</v>
      </c>
      <c s="3">
        <v>150</v>
      </c>
      <c s="2">
        <v>67</v>
      </c>
      <c s="2">
        <v>74</v>
      </c>
      <c s="3">
        <v>141</v>
      </c>
      <c s="2">
        <v>64</v>
      </c>
      <c s="2">
        <v>70</v>
      </c>
      <c s="5">
        <v>134</v>
      </c>
    </row>
    <row>
      <c s="58" t="s">
        <v>32</v>
      </c>
      <c s="6" t="s">
        <v>83</v>
      </c>
      <c s="1">
        <v>6395.0841000000037</v>
      </c>
      <c s="1">
        <v>1878.9548999999956</v>
      </c>
      <c s="1">
        <v>8274.0389999999989</v>
      </c>
      <c s="1">
        <v>6149.7203000000227</v>
      </c>
      <c s="1">
        <v>1787.7035999999955</v>
      </c>
      <c s="1">
        <v>7937.423900000018</v>
      </c>
      <c s="1">
        <v>5973.1465000000408</v>
      </c>
      <c s="1">
        <v>1693.4137999999975</v>
      </c>
      <c s="1">
        <v>7666.5603000000383</v>
      </c>
      <c s="1">
        <v>5849.6606000000138</v>
      </c>
      <c s="1">
        <v>1607.1529999999987</v>
      </c>
      <c s="4">
        <v>7456.8136000000122</v>
      </c>
    </row>
    <row>
      <c s="58"/>
      <c s="7" t="s">
        <v>82</v>
      </c>
      <c s="2">
        <v>8196</v>
      </c>
      <c s="2">
        <v>2349</v>
      </c>
      <c s="3">
        <v>10545</v>
      </c>
      <c s="2">
        <v>7942</v>
      </c>
      <c s="2">
        <v>2276</v>
      </c>
      <c s="3">
        <v>10218</v>
      </c>
      <c s="2">
        <v>7735</v>
      </c>
      <c s="2">
        <v>2175</v>
      </c>
      <c s="3">
        <v>9910</v>
      </c>
      <c s="2">
        <v>7550</v>
      </c>
      <c s="2">
        <v>2069</v>
      </c>
      <c s="5">
        <v>9619</v>
      </c>
    </row>
    <row>
      <c s="58" t="s">
        <v>4</v>
      </c>
      <c s="6" t="s">
        <v>83</v>
      </c>
      <c s="1">
        <v>1004.3899999999996</v>
      </c>
      <c s="1">
        <v>461.6599999999998</v>
      </c>
      <c s="1">
        <v>1466.0499999999995</v>
      </c>
      <c s="1">
        <v>963.42759999999964</v>
      </c>
      <c s="1">
        <v>453.3024999999999</v>
      </c>
      <c s="1">
        <v>1416.7300999999995</v>
      </c>
      <c s="1">
        <v>979.6566999999992</v>
      </c>
      <c s="1">
        <v>475.92159999999984</v>
      </c>
      <c s="1">
        <v>1455.578299999999</v>
      </c>
      <c s="1">
        <v>1045.7956999999997</v>
      </c>
      <c s="1">
        <v>541.5628999999999</v>
      </c>
      <c s="4">
        <v>1587.3585999999996</v>
      </c>
    </row>
    <row>
      <c s="58"/>
      <c s="7" t="s">
        <v>82</v>
      </c>
      <c s="2">
        <v>1546</v>
      </c>
      <c s="2">
        <v>689</v>
      </c>
      <c s="3">
        <v>2235</v>
      </c>
      <c s="2">
        <v>1512</v>
      </c>
      <c s="2">
        <v>683</v>
      </c>
      <c s="3">
        <v>2195</v>
      </c>
      <c s="2">
        <v>1499</v>
      </c>
      <c s="2">
        <v>705</v>
      </c>
      <c s="3">
        <v>2204</v>
      </c>
      <c s="2">
        <v>1593</v>
      </c>
      <c s="2">
        <v>796</v>
      </c>
      <c s="5">
        <v>2389</v>
      </c>
    </row>
    <row>
      <c s="58" t="s">
        <v>61</v>
      </c>
      <c s="6" t="s">
        <v>83</v>
      </c>
      <c s="1">
        <v>1048.0912000000003</v>
      </c>
      <c s="1">
        <v>2252.4348999999997</v>
      </c>
      <c s="1">
        <v>3300.5261</v>
      </c>
      <c s="1">
        <v>1005.2111000000003</v>
      </c>
      <c s="1">
        <v>2171.1500000000005</v>
      </c>
      <c s="1">
        <v>3176.361100000001</v>
      </c>
      <c s="1">
        <v>979.70830000000001</v>
      </c>
      <c s="1">
        <v>2136.190099999998</v>
      </c>
      <c s="1">
        <v>3115.8983999999982</v>
      </c>
      <c s="1">
        <v>927.17870000000016</v>
      </c>
      <c s="1">
        <v>2086.4775999999997</v>
      </c>
      <c s="4">
        <v>3013.6562999999996</v>
      </c>
    </row>
    <row>
      <c s="58"/>
      <c s="7" t="s">
        <v>82</v>
      </c>
      <c s="2">
        <v>1294</v>
      </c>
      <c s="2">
        <v>2537</v>
      </c>
      <c s="3">
        <v>3831</v>
      </c>
      <c s="2">
        <v>1245</v>
      </c>
      <c s="2">
        <v>2453</v>
      </c>
      <c s="3">
        <v>3698</v>
      </c>
      <c s="2">
        <v>1221</v>
      </c>
      <c s="2">
        <v>2405</v>
      </c>
      <c s="3">
        <v>3626</v>
      </c>
      <c s="2">
        <v>1145</v>
      </c>
      <c s="2">
        <v>2324</v>
      </c>
      <c s="5">
        <v>3469</v>
      </c>
    </row>
    <row>
      <c s="58" t="s">
        <v>112</v>
      </c>
      <c s="6" t="s">
        <v>83</v>
      </c>
      <c s="1">
        <v>573.30520000000001</v>
      </c>
      <c s="1">
        <v>310.00959999999998</v>
      </c>
      <c s="1">
        <v>883.31479999999999</v>
      </c>
      <c s="1">
        <v>571.85739999999987</v>
      </c>
      <c s="1">
        <v>325.6096</v>
      </c>
      <c s="1">
        <v>897.46699999999987</v>
      </c>
      <c s="1">
        <v>583.33120000000008</v>
      </c>
      <c s="1">
        <v>329.70390000000009</v>
      </c>
      <c s="1">
        <v>913.03510000000017</v>
      </c>
      <c s="1">
        <v>556.78210000000013</v>
      </c>
      <c s="1">
        <v>331.3039</v>
      </c>
      <c s="4">
        <v>888.08600000000013</v>
      </c>
    </row>
    <row>
      <c s="58"/>
      <c s="7" t="s">
        <v>82</v>
      </c>
      <c s="2">
        <v>693</v>
      </c>
      <c s="2">
        <v>351</v>
      </c>
      <c s="3">
        <v>1044</v>
      </c>
      <c s="2">
        <v>692</v>
      </c>
      <c s="2">
        <v>371</v>
      </c>
      <c s="3">
        <v>1063</v>
      </c>
      <c s="2">
        <v>702</v>
      </c>
      <c s="2">
        <v>370</v>
      </c>
      <c s="3">
        <v>1072</v>
      </c>
      <c s="2">
        <v>674</v>
      </c>
      <c s="2">
        <v>369</v>
      </c>
      <c s="5">
        <v>1043</v>
      </c>
    </row>
    <row>
      <c s="58" t="s">
        <v>47</v>
      </c>
      <c s="6" t="s">
        <v>83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1">
        <v>0</v>
      </c>
      <c s="4">
        <v>0</v>
      </c>
    </row>
    <row>
      <c s="58"/>
      <c s="7" t="s">
        <v>82</v>
      </c>
      <c s="2">
        <v>0</v>
      </c>
      <c s="2">
        <v>0</v>
      </c>
      <c s="3">
        <v>0</v>
      </c>
      <c s="2">
        <v>0</v>
      </c>
      <c s="2">
        <v>0</v>
      </c>
      <c s="3">
        <v>0</v>
      </c>
      <c s="2">
        <v>0</v>
      </c>
      <c s="2">
        <v>0</v>
      </c>
      <c s="3">
        <v>0</v>
      </c>
      <c s="2">
        <v>0</v>
      </c>
      <c s="2">
        <v>0</v>
      </c>
      <c s="5">
        <v>0</v>
      </c>
    </row>
    <row>
      <c s="58" t="s">
        <v>26</v>
      </c>
      <c s="6" t="s">
        <v>83</v>
      </c>
      <c s="1">
        <v>545.76750000000015</v>
      </c>
      <c s="1">
        <v>141.47999999999996</v>
      </c>
      <c s="1">
        <v>687.24750000000017</v>
      </c>
      <c s="1">
        <v>496.81500000000017</v>
      </c>
      <c s="1">
        <v>130.34</v>
      </c>
      <c s="1">
        <v>627.1550000000002</v>
      </c>
      <c s="1">
        <v>509.69</v>
      </c>
      <c s="1">
        <v>130.97999999999999</v>
      </c>
      <c s="1">
        <v>640.66999999999996</v>
      </c>
      <c s="1">
        <v>526.10500000000002</v>
      </c>
      <c s="1">
        <v>130.29499999999999</v>
      </c>
      <c s="4">
        <v>656.39999999999998</v>
      </c>
    </row>
    <row>
      <c s="58"/>
      <c s="7" t="s">
        <v>82</v>
      </c>
      <c s="2">
        <v>664</v>
      </c>
      <c s="2">
        <v>151</v>
      </c>
      <c s="3">
        <v>815</v>
      </c>
      <c s="2">
        <v>605</v>
      </c>
      <c s="2">
        <v>142</v>
      </c>
      <c s="3">
        <v>747</v>
      </c>
      <c s="2">
        <v>608</v>
      </c>
      <c s="2">
        <v>137</v>
      </c>
      <c s="3">
        <v>745</v>
      </c>
      <c s="2">
        <v>626</v>
      </c>
      <c s="2">
        <v>139</v>
      </c>
      <c s="5">
        <v>765</v>
      </c>
    </row>
    <row>
      <c s="58" t="s">
        <v>3</v>
      </c>
      <c s="6" t="s">
        <v>83</v>
      </c>
      <c s="1">
        <v>396.33669999999984</v>
      </c>
      <c s="1">
        <v>626.87219999999968</v>
      </c>
      <c s="1">
        <v>1023.2088999999995</v>
      </c>
      <c s="1">
        <v>403.98720000000014</v>
      </c>
      <c s="1">
        <v>657.21259999999972</v>
      </c>
      <c s="1">
        <v>1061.1997999999999</v>
      </c>
      <c s="1">
        <v>417.10199999999975</v>
      </c>
      <c s="1">
        <v>661.38759999999991</v>
      </c>
      <c s="1">
        <v>1078.4895999999997</v>
      </c>
      <c s="1">
        <v>418.42879999999991</v>
      </c>
      <c s="1">
        <v>700.50849999999991</v>
      </c>
      <c s="4">
        <v>1118.9372999999998</v>
      </c>
    </row>
    <row>
      <c s="58"/>
      <c s="7" t="s">
        <v>82</v>
      </c>
      <c s="2">
        <v>632</v>
      </c>
      <c s="2">
        <v>728</v>
      </c>
      <c s="3">
        <v>1360</v>
      </c>
      <c s="2">
        <v>633</v>
      </c>
      <c s="2">
        <v>752</v>
      </c>
      <c s="3">
        <v>1385</v>
      </c>
      <c s="2">
        <v>639</v>
      </c>
      <c s="2">
        <v>752</v>
      </c>
      <c s="3">
        <v>1391</v>
      </c>
      <c s="2">
        <v>620</v>
      </c>
      <c s="2">
        <v>798</v>
      </c>
      <c s="5">
        <v>1418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8"/>
      <c s="8"/>
      <c s="8"/>
      <c s="8"/>
      <c s="8"/>
      <c s="8"/>
      <c s="8"/>
      <c s="8"/>
      <c s="8"/>
      <c s="8"/>
      <c s="8"/>
    </row>
    <row>
      <c s="8"/>
      <c s="8"/>
      <c s="8"/>
      <c s="8"/>
      <c s="8"/>
      <c s="8"/>
      <c s="8"/>
      <c s="8"/>
      <c s="8"/>
      <c s="8"/>
      <c s="8"/>
    </row>
    <row>
      <c s="8"/>
      <c s="8"/>
      <c s="8"/>
      <c s="8"/>
      <c s="8"/>
      <c s="8"/>
      <c s="8"/>
      <c s="8"/>
      <c s="8"/>
      <c s="8"/>
      <c s="8"/>
    </row>
    <row>
      <c s="61"/>
      <c s="10"/>
      <c s="10"/>
      <c s="10"/>
      <c s="10"/>
      <c s="10"/>
      <c s="10"/>
      <c s="10"/>
      <c s="10"/>
      <c s="10"/>
      <c s="8"/>
    </row>
    <row>
      <c s="8"/>
      <c s="8"/>
      <c s="8"/>
      <c s="8"/>
      <c s="8"/>
      <c s="8"/>
      <c s="8"/>
      <c s="8"/>
      <c s="8"/>
      <c s="8"/>
      <c s="8"/>
    </row>
    <row>
      <c s="8"/>
      <c s="8"/>
      <c s="8"/>
      <c s="8"/>
      <c s="8"/>
      <c s="8"/>
      <c s="8"/>
      <c s="8"/>
      <c s="8"/>
      <c s="8"/>
      <c s="8"/>
    </row>
    <row>
      <c s="8"/>
      <c s="8"/>
      <c s="8"/>
      <c s="8"/>
      <c s="8"/>
      <c s="8"/>
      <c s="8"/>
      <c s="8"/>
      <c s="8"/>
      <c s="8"/>
      <c s="8"/>
    </row>
    <row>
      <c s="8"/>
      <c s="8"/>
      <c s="8"/>
      <c s="8"/>
      <c s="8"/>
      <c s="8"/>
      <c s="8"/>
      <c s="8"/>
      <c s="8"/>
      <c s="8"/>
      <c s="8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40">
    <mergeCell ref="A3:I3"/>
    <mergeCell ref="A4:I4"/>
    <mergeCell ref="A5:I5"/>
    <mergeCell ref="A6:F6"/>
    <mergeCell ref="A9:F9"/>
    <mergeCell ref="C18:E18"/>
    <mergeCell ref="F18:H18"/>
    <mergeCell ref="I18:K18"/>
    <mergeCell ref="L18:N18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</mergeCells>
  <pageMargins left="0.70866141732283472" right="0.70866141732283472" top="0.78740157480314965" bottom="0.78740157480314965" header="0.31496062992125984" footer="0.31496062992125984"/>
  <pageSetup paperSize="9" scale="60" fitToHeight="0" orientation="landscape"/>
  <headerFooter>
    <oddHeader>&amp;L&amp;"Tahoma,Standard"&amp;10unidata.gv.at&amp;R&amp;"Tahoma,Standard"&amp;10&amp;D</oddHeader>
    <oddFooter>&amp;R&amp;"Tahoma,Standard"&amp;10&amp;P/&amp;N</oddFooter>
  </headerFooter>
  <rowBreaks count="1" manualBreakCount="1">
    <brk id="53" max="13" man="1"/>
  </row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46"/>
  <sheetViews>
    <sheetView topLeftCell="A38" workbookViewId="0">
      <selection activeCell="D46" sqref="D46"/>
    </sheetView>
  </sheetViews>
  <sheetFormatPr defaultColWidth="9.140625" defaultRowHeight="13.6"/>
  <cols>
    <col min="1" max="1" width="13.5703125" style="28" customWidth="1"/>
    <col min="2" max="2" width="40.85546875" style="28" customWidth="1"/>
    <col min="3" max="3" width="28.140625" style="28" customWidth="1"/>
    <col min="4" max="4" width="16.28515625" style="28" customWidth="1"/>
    <col min="5" max="5" width="19.42578125" style="28" customWidth="1"/>
    <col min="6" max="6" width="11.140625" style="28" customWidth="1"/>
    <col min="7" max="7" width="9.140625" style="28" customWidth="1"/>
    <col min="8" max="8" width="17.28515625" style="28" customWidth="1"/>
    <col min="9" max="9" width="19.5703125" style="28" customWidth="1"/>
    <col min="10" max="12" width="12.42578125" style="28" customWidth="1"/>
    <col min="13" max="13" width="16" style="28" customWidth="1"/>
    <col min="14" max="14" width="14.28515625" style="28" customWidth="1"/>
    <col min="15" max="15" width="18.28515625" style="28" customWidth="1"/>
    <col min="16" max="25" width="9.140625" style="28" customWidth="1"/>
    <col min="26" max="26" width="9.140625" style="28" hidden="1" customWidth="1"/>
    <col min="27" max="27" width="9.140625" style="28" customWidth="1"/>
    <col min="28" max="16384" width="9.140625" style="28"/>
  </cols>
  <sheetData>
    <row>
      <c s="77"/>
      <c r="H1" s="75">
        <v>129806172700000000</v>
      </c>
      <c r="Z1" s="81" t="b">
        <f>0=1</f>
        <v>0</v>
      </c>
    </row>
    <row>
      <c r="Z2" s="81" t="b">
        <f>1=1</f>
        <v>1</v>
      </c>
    </row>
    <row>
      <c r="Z3" s="81"/>
    </row>
    <row>
      <c r="I4" s="28" t="s">
        <v>43</v>
      </c>
      <c s="73" t="s">
        <v>87</v>
      </c>
      <c s="20"/>
      <c s="20"/>
      <c s="20"/>
      <c s="20"/>
      <c s="20"/>
    </row>
    <row>
      <c r="J5" s="34" t="s">
        <v>34</v>
      </c>
      <c s="23" t="s">
        <v>63</v>
      </c>
      <c s="23" t="s">
        <v>76</v>
      </c>
      <c s="34" t="s">
        <v>113</v>
      </c>
      <c s="47" t="s">
        <v>93</v>
      </c>
      <c s="23" t="s">
        <v>9</v>
      </c>
    </row>
    <row>
      <c r="B6" s="31" t="s">
        <v>94</v>
      </c>
      <c s="22" t="s">
        <v>101</v>
      </c>
      <c s="53" t="s">
        <v>16</v>
      </c>
      <c s="15" t="s">
        <v>64</v>
      </c>
    </row>
    <row>
      <c r="C7" s="24"/>
      <c s="30" t="s">
        <v>17</v>
      </c>
      <c s="15" t="s">
        <v>71</v>
      </c>
    </row>
    <row>
      <c r="C8" s="30" t="s">
        <v>10</v>
      </c>
      <c s="24"/>
    </row>
    <row>
      <c r="C9" s="24"/>
      <c s="22" t="s">
        <v>35</v>
      </c>
      <c s="43"/>
    </row>
    <row>
      <c r="C10" s="22" t="s">
        <v>56</v>
      </c>
      <c s="55" t="s">
        <v>77</v>
      </c>
      <c s="15" t="s">
        <v>22</v>
      </c>
    </row>
    <row>
      <c r="B11" s="31" t="s">
        <v>65</v>
      </c>
      <c s="67" t="s">
        <v>57</v>
      </c>
      <c s="42">
        <v>60398</v>
      </c>
      <c s="15" t="s">
        <v>36</v>
      </c>
    </row>
    <row>
      <c r="B12" s="31"/>
      <c s="46"/>
      <c s="56"/>
      <c s="60" t="s">
        <v>88</v>
      </c>
    </row>
    <row>
      <c r="B13" s="31" t="s">
        <v>58</v>
      </c>
      <c s="79" t="s">
        <v>29</v>
      </c>
      <c s="68">
        <v>1212</v>
      </c>
      <c s="28" t="b">
        <v>0</v>
      </c>
      <c s="15" t="s">
        <v>78</v>
      </c>
    </row>
    <row ht="12.75" hidden="1">
      <c r="B14" s="31"/>
      <c s="79"/>
      <c s="78"/>
      <c s="28" t="b">
        <v>0</v>
      </c>
    </row>
    <row>
      <c r="B15" s="31" t="s">
        <v>102</v>
      </c>
      <c s="28" t="s">
        <v>107</v>
      </c>
      <c s="76">
        <v>1212</v>
      </c>
      <c s="28" t="b">
        <v>0</v>
      </c>
      <c s="15" t="s">
        <v>30</v>
      </c>
    </row>
    <row ht="12.75" hidden="1">
      <c r="B16" s="31"/>
      <c r="D16" s="25"/>
      <c s="28" t="b">
        <v>0</v>
      </c>
      <c s="15"/>
    </row>
    <row>
      <c r="B17" s="31"/>
      <c s="28" t="s">
        <v>37</v>
      </c>
      <c s="38">
        <v>3434</v>
      </c>
      <c s="28" t="b">
        <v>0</v>
      </c>
      <c s="15" t="s">
        <v>79</v>
      </c>
    </row>
    <row>
      <c r="B18" s="31"/>
      <c r="D18" s="25"/>
      <c s="28" t="b">
        <v>0</v>
      </c>
      <c s="15"/>
    </row>
    <row>
      <c r="B19" s="31"/>
      <c s="28" t="s">
        <v>11</v>
      </c>
      <c s="80">
        <v>3434</v>
      </c>
      <c s="28" t="b">
        <v>0</v>
      </c>
      <c s="15" t="s">
        <v>95</v>
      </c>
    </row>
    <row>
      <c r="B20" s="31"/>
      <c r="D20" s="25"/>
      <c s="28" t="b">
        <v>0</v>
      </c>
      <c s="15"/>
    </row>
    <row>
      <c r="B21" s="31"/>
      <c s="28" t="s">
        <v>96</v>
      </c>
      <c s="66">
        <v>5656</v>
      </c>
      <c s="28" t="b">
        <v>0</v>
      </c>
      <c s="15" t="s">
        <v>114</v>
      </c>
    </row>
    <row>
      <c r="B22" s="31"/>
      <c r="E22" s="15"/>
      <c r="I22" s="54"/>
    </row>
    <row>
      <c r="B23" s="29" t="s">
        <v>12</v>
      </c>
      <c s="29"/>
    </row>
    <row>
      <c r="B24" s="13" t="s">
        <v>66</v>
      </c>
      <c s="13" t="s">
        <v>38</v>
      </c>
      <c s="13" t="s">
        <v>18</v>
      </c>
      <c s="13" t="s">
        <v>97</v>
      </c>
      <c s="13"/>
      <c s="13"/>
      <c s="13" t="s">
        <v>115</v>
      </c>
    </row>
    <row>
      <c r="C25" s="45" t="s">
        <v>67</v>
      </c>
      <c s="36" t="s">
        <v>108</v>
      </c>
      <c s="37">
        <v>1234.5599999999999</v>
      </c>
      <c s="15"/>
    </row>
    <row>
      <c r="C26" s="45" t="s">
        <v>67</v>
      </c>
      <c s="36" t="s">
        <v>108</v>
      </c>
      <c s="37">
        <v>1234.5599999999999</v>
      </c>
      <c s="15"/>
    </row>
    <row>
      <c r="C27" s="45" t="s">
        <v>67</v>
      </c>
      <c s="62" t="s">
        <v>108</v>
      </c>
      <c s="51">
        <v>1234.5599999999999</v>
      </c>
    </row>
    <row>
      <c r="C28" s="72" t="s">
        <v>67</v>
      </c>
      <c s="70" t="s">
        <v>83</v>
      </c>
      <c s="71">
        <v>1234.5599999999999</v>
      </c>
    </row>
    <row ht="37.45">
      <c r="C29" s="72" t="s">
        <v>44</v>
      </c>
      <c s="44" t="s">
        <v>80</v>
      </c>
      <c s="74">
        <v>1234.5599999999999</v>
      </c>
    </row>
    <row ht="37.45">
      <c r="C30" s="72" t="s">
        <v>44</v>
      </c>
      <c s="44" t="s">
        <v>19</v>
      </c>
      <c s="74">
        <v>1234.5599999999999</v>
      </c>
    </row>
    <row ht="37.45">
      <c r="C31" s="72" t="s">
        <v>44</v>
      </c>
      <c s="39" t="s">
        <v>68</v>
      </c>
      <c s="69">
        <v>1234.5599999999999</v>
      </c>
    </row>
    <row ht="37.45">
      <c r="C32" s="72" t="s">
        <v>44</v>
      </c>
      <c s="39" t="s">
        <v>31</v>
      </c>
      <c s="69">
        <v>1234.5599999999999</v>
      </c>
    </row>
    <row ht="37.45">
      <c r="C33" s="72" t="s">
        <v>44</v>
      </c>
      <c s="27" t="s">
        <v>49</v>
      </c>
      <c s="33">
        <v>1234.5599999999999</v>
      </c>
    </row>
    <row ht="37.45">
      <c r="C34" s="72" t="s">
        <v>44</v>
      </c>
      <c s="27" t="s">
        <v>98</v>
      </c>
      <c s="33">
        <v>1234.5599999999999</v>
      </c>
    </row>
    <row ht="37.45">
      <c r="C35" s="72" t="s">
        <v>44</v>
      </c>
      <c s="27" t="s">
        <v>45</v>
      </c>
      <c s="33">
        <v>1234.5599999999999</v>
      </c>
    </row>
    <row ht="37.45">
      <c r="C36" s="72" t="s">
        <v>44</v>
      </c>
      <c s="27" t="s">
        <v>109</v>
      </c>
      <c s="33">
        <v>1234.5599999999999</v>
      </c>
    </row>
    <row ht="37.45">
      <c r="C37" s="72" t="s">
        <v>44</v>
      </c>
      <c s="27" t="s">
        <v>52</v>
      </c>
      <c s="33">
        <v>1234.5599999999999</v>
      </c>
    </row>
    <row ht="37.45">
      <c r="C38" s="72" t="s">
        <v>44</v>
      </c>
      <c s="27" t="s">
        <v>2</v>
      </c>
      <c s="33">
        <v>1234.5599999999999</v>
      </c>
    </row>
    <row ht="37.45">
      <c r="C39" s="72" t="s">
        <v>44</v>
      </c>
      <c s="27" t="s">
        <v>69</v>
      </c>
      <c s="33">
        <v>1234.5599999999999</v>
      </c>
    </row>
    <row ht="37.45">
      <c r="C40" s="72" t="s">
        <v>44</v>
      </c>
      <c s="27" t="s">
        <v>81</v>
      </c>
      <c s="33">
        <v>1234.5599999999999</v>
      </c>
    </row>
    <row ht="37.45">
      <c r="C41" s="72" t="s">
        <v>44</v>
      </c>
      <c s="27" t="s">
        <v>39</v>
      </c>
      <c s="33">
        <v>1235.5599999999999</v>
      </c>
    </row>
    <row>
      <c r="C42" s="72" t="s">
        <v>13</v>
      </c>
      <c s="35" t="s">
        <v>20</v>
      </c>
      <c s="57">
        <v>1234.5599999999999</v>
      </c>
    </row>
    <row>
      <c r="C43" s="72" t="s">
        <v>50</v>
      </c>
      <c s="64" t="s">
        <v>25</v>
      </c>
      <c s="40">
        <v>1234.5599999999999</v>
      </c>
    </row>
    <row ht="37.45">
      <c r="C44" s="72" t="s">
        <v>44</v>
      </c>
      <c s="41" t="s">
        <v>104</v>
      </c>
      <c s="32">
        <v>1234.5599999999999</v>
      </c>
    </row>
    <row ht="37.45">
      <c r="C45" s="72" t="s">
        <v>44</v>
      </c>
      <c s="27" t="s">
        <v>51</v>
      </c>
      <c s="33">
        <v>1234.5599999999999</v>
      </c>
    </row>
    <row ht="37.45">
      <c r="C46" s="72" t="s">
        <v>44</v>
      </c>
      <c s="27" t="s">
        <v>116</v>
      </c>
      <c s="32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
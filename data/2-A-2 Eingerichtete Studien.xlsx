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260"/>
  </bookViews>
  <sheets>
    <sheet name="Tab" sheetId="1" r:id="rId1"/>
    <sheet name="XLCubedFormats" sheetId="2" state="hidden" r:id="rId2"/>
  </sheets>
  <definedNames>
    <definedName name="_xlnm.Print_Area" localSheetId="0">Tab!$A$1:$I$42</definedName>
    <definedName name="XL3DisableCameraObjects" hidden="1">XLCubedFormats!A1</definedName>
    <definedName name="XL3ObjLocation39a9a393_5ba7_423f_964a_aea6e9c168e3">Tab!$A$10</definedName>
  </definedNames>
  <calcPr calcId="40001"/>
</workbook>
</file>

<file path=xl/sharedStrings.xml><?xml version="1.0" encoding="utf-8"?>
<sst xmlns="http://schemas.openxmlformats.org/spreadsheetml/2006/main" uniqueCount="132">
  <si>
    <t>Slicer Button Background</t>
  </si>
  <si>
    <t>Grid Title</t>
  </si>
  <si>
    <t>Oth Written Member</t>
  </si>
  <si>
    <t>Fill in Grid Name, Dimension or Both</t>
  </si>
  <si>
    <t xml:space="preserve">      UR</t>
  </si>
  <si>
    <t xml:space="preserve">      UV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</si>
  <si>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</si>
  <si>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</si>
  <si>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</si>
  <si>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</si>
  <si>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</si>
  <si>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</si>
  <si>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Präsenzstudien</t>
  </si>
  <si>
    <t>Datenaufbereitung: bmfwf, Abt. I/10</t>
  </si>
  <si>
    <t>&lt;-- default Column Member Format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</si>
  <si>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</si>
  <si>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</si>
  <si>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</si>
  <si>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</si>
  <si>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 xml:space="preserve">      UG</t>
  </si>
  <si>
    <t xml:space="preserve">      UC</t>
  </si>
  <si>
    <t>Alternate Rows</t>
  </si>
  <si>
    <t>&lt;--  writeable cell format</t>
  </si>
  <si>
    <t>Gesamt</t>
  </si>
  <si>
    <t>2022</t>
  </si>
  <si>
    <t xml:space="preserve">      UO</t>
  </si>
  <si>
    <t xml:space="preserve">      Universität für Musik und darstellende Kunst Graz</t>
  </si>
  <si>
    <t>Anzahl der eingerichteten Studien</t>
  </si>
  <si>
    <t xml:space="preserve">      Universität für angewandte Kunst Wien</t>
  </si>
  <si>
    <t xml:space="preserve">      Universität Wien</t>
  </si>
  <si>
    <t xml:space="preserve">      UK</t>
  </si>
  <si>
    <t>Slicer Title</t>
  </si>
  <si>
    <t>Calendar Period</t>
  </si>
  <si>
    <t>&lt;-- default cell format</t>
  </si>
  <si>
    <t>Written Member</t>
  </si>
  <si>
    <t>Dimension/Column</t>
  </si>
  <si>
    <t>Quelle: Datenmeldungen der Universiäten auf Basis WBV</t>
  </si>
  <si>
    <t xml:space="preserve">      Universität für Weiterbildung Krems</t>
  </si>
  <si>
    <t>2022/23</t>
  </si>
  <si>
    <t xml:space="preserve">      Medizinische Univ.Graz</t>
  </si>
  <si>
    <t xml:space="preserve">      UW</t>
  </si>
  <si>
    <t xml:space="preserve">      US</t>
  </si>
  <si>
    <t xml:space="preserve">      Akad.d.bild.Künste Wien</t>
  </si>
  <si>
    <t xml:space="preserve"> </t>
  </si>
  <si>
    <t>Slice Name (Optional)</t>
  </si>
  <si>
    <t xml:space="preserve">      Veterinärmed.Univ.Wien</t>
  </si>
  <si>
    <t xml:space="preserve">      Universität Mozarteum Salzburg</t>
  </si>
  <si>
    <t>DQ-Status</t>
  </si>
  <si>
    <t>Kennzahl 2.A.2 - Gesamtübersicht</t>
  </si>
  <si>
    <t>Ordentliche Studien insgesamt</t>
  </si>
  <si>
    <t xml:space="preserve">      Akademie der bildenden Künste Wien</t>
  </si>
  <si>
    <t xml:space="preserve">      Universität Innsbruck</t>
  </si>
  <si>
    <t xml:space="preserve">      Univ.f.Mus.u.darst.K.Graz</t>
  </si>
  <si>
    <t>Measures</t>
  </si>
  <si>
    <t xml:space="preserve">      UD</t>
  </si>
  <si>
    <t>Customer</t>
  </si>
  <si>
    <t>-All Customer</t>
  </si>
  <si>
    <t>Default Alternate Row Member Format --&gt;</t>
  </si>
  <si>
    <t xml:space="preserve">      UH</t>
  </si>
  <si>
    <t xml:space="preserve">      Veterinärmedizinische Universität Wien</t>
  </si>
  <si>
    <t xml:space="preserve">      Technische Universität Wien</t>
  </si>
  <si>
    <t>Studienjahr (Kurzbezeichnung)</t>
  </si>
  <si>
    <t>2023</t>
  </si>
  <si>
    <t xml:space="preserve">      Medizinische Universität Wien</t>
  </si>
  <si>
    <t>2023/24</t>
  </si>
  <si>
    <t xml:space="preserve">      Univ.f.Weiterbild.Krems</t>
  </si>
  <si>
    <t xml:space="preserve">      UL</t>
  </si>
  <si>
    <t>Slicer Item</t>
  </si>
  <si>
    <t>&lt;-- default Slicer Member Format</t>
  </si>
  <si>
    <t>Default Row Member Format --&gt;</t>
  </si>
  <si>
    <t>Grid/Table Name</t>
  </si>
  <si>
    <t xml:space="preserve">      Univ.künst.u.i.Gest.Linz</t>
  </si>
  <si>
    <t>[Measures]</t>
  </si>
  <si>
    <t xml:space="preserve">      Universität für Musik und darstellende Kunst Wien</t>
  </si>
  <si>
    <t>Studienform 2</t>
  </si>
  <si>
    <t xml:space="preserve">      UT</t>
  </si>
  <si>
    <t>&lt;-- writeable Slicer Member Format</t>
  </si>
  <si>
    <t>Jahr</t>
  </si>
  <si>
    <t xml:space="preserve">      Medizinische Univ.Wien</t>
  </si>
  <si>
    <t xml:space="preserve">      Universität für Bodenkultur Wien</t>
  </si>
  <si>
    <t>Slicer Button</t>
  </si>
  <si>
    <t>+2009</t>
  </si>
  <si>
    <t>&lt;-- default alternate row cell format</t>
  </si>
  <si>
    <t>&lt;--  written cell format</t>
  </si>
  <si>
    <t xml:space="preserve">      UA</t>
  </si>
  <si>
    <t xml:space="preserve">      Wirtschaftsuniversität Wien</t>
  </si>
  <si>
    <t>2024/25</t>
  </si>
  <si>
    <t xml:space="preserve">      UE</t>
  </si>
  <si>
    <t>Display Formats For:</t>
  </si>
  <si>
    <t>Enabled?</t>
  </si>
  <si>
    <t xml:space="preserve">      UM</t>
  </si>
  <si>
    <t>2024</t>
  </si>
  <si>
    <t xml:space="preserve">      UI</t>
  </si>
  <si>
    <t xml:space="preserve">      Universität für künstlerische und industrielle Gestaltung Linz</t>
  </si>
  <si>
    <t>Datenprüfung: bmfwf, Abt. I/6</t>
  </si>
  <si>
    <t xml:space="preserve">      Univ.f.Mus.u.darst.K.Wien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</si>
  <si>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</si>
  <si>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</si>
  <si>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</si>
  <si>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</si>
  <si>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</si>
  <si>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Universität-Ausrichtung</t>
  </si>
  <si>
    <t xml:space="preserve">      UQ</t>
  </si>
  <si>
    <t>Studienart 2</t>
  </si>
  <si>
    <t>Universität (Langtext)</t>
  </si>
  <si>
    <t xml:space="preserve">      Techn.Universität Graz</t>
  </si>
  <si>
    <t xml:space="preserve">      UU</t>
  </si>
  <si>
    <t>Marital Status</t>
  </si>
  <si>
    <t>Default Writeable Member Format --&gt;</t>
  </si>
  <si>
    <t>[ALLG Zeit].[Jahr]</t>
  </si>
  <si>
    <t>Universität (Codex)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</si>
  <si>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</si>
  <si>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</si>
  <si>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</si>
  <si>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</si>
  <si>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</si>
  <si>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</si>
  <si>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 xml:space="preserve">      Univ.f.Bodenkultur Wien</t>
  </si>
  <si>
    <t xml:space="preserve">      UF</t>
  </si>
  <si>
    <t>Slicer Button Selected</t>
  </si>
  <si>
    <t>&lt;--  summary written cell</t>
  </si>
  <si>
    <t>Formatierungsrichtlinien</t>
  </si>
  <si>
    <t>Nähere Informationen zu den Kennzahlen bzw. deren Definition finden sich in der aktuellen Ausgabe des Arbeitsbehelfs zur Wissensbilanz-Verordnung.</t>
  </si>
  <si>
    <t xml:space="preserve">      Univ.Mozarteum Salzburg</t>
  </si>
  <si>
    <t xml:space="preserve">      UJ</t>
  </si>
  <si>
    <t xml:space="preserve">      UN</t>
  </si>
  <si>
    <t xml:space="preserve">      Medizinische Universität Innsbruck</t>
  </si>
  <si>
    <t>Interpretation</t>
  </si>
  <si>
    <t>Anmerkung: Aufgrund der geänderten Definition sind die Indikatorwerte im zeitlichen Verlauf nicht immer direkt vergleichbar.</t>
  </si>
  <si>
    <t xml:space="preserve">      Wirtschaftsuniv.Wien</t>
  </si>
  <si>
    <t xml:space="preserve">      Medizin.Univ.Innsbruck</t>
  </si>
  <si>
    <t>(Members of DQ-Status) - (Unknown)</t>
  </si>
</sst>
</file>

<file path=xl/styles.xml><?xml version="1.0" encoding="utf-8"?>
<styleSheet xmlns="http://schemas.openxmlformats.org/spreadsheetml/2006/main">
  <numFmts count="1">
    <numFmt numFmtId="164" formatCode=";;;"/>
  </numFmts>
  <fonts count="3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sz val="10"/>
      <color rgb="FF595959"/>
      <name val="Tahoma"/>
      <family val="2"/>
    </font>
    <font>
      <b/>
      <sz val="10"/>
      <name val="Tahoma"/>
      <family val="2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8"/>
      <color indexed="23"/>
      <name val="Tahoma"/>
      <family val="2"/>
    </font>
    <font>
      <b/>
      <sz val="11"/>
      <color theme="1"/>
      <name val="Calibri"/>
      <family val="2"/>
      <scheme val="minor"/>
    </font>
    <font>
      <sz val="9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149998474074526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6">
    <xf numFmtId="0" fontId="0" fillId="0" borderId="0" xfId="0"/>
    <xf numFmtId="0" fontId="3" fillId="0" borderId="0" xfId="0" applyFont="1" applyFill="1" applyBorder="1"/>
    <xf numFmtId="0" fontId="0" fillId="0" borderId="0" xfId="0" applyFill="1" applyBorder="1" applyAlignment="1"/>
    <xf numFmtId="0" fontId="4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/>
    <xf numFmtId="0" fontId="6" fillId="2" borderId="1" xfId="0" quotePrefix="1" applyFont="1" applyFill="1" applyBorder="1" applyAlignment="1" applyProtection="1"/>
    <xf numFmtId="0" fontId="7" fillId="0" borderId="0" xfId="0" applyFont="1"/>
    <xf numFmtId="0" fontId="4" fillId="0" borderId="0" xfId="0" applyFont="1" applyFill="1" applyBorder="1" applyAlignment="1">
      <alignment vertical="center"/>
    </xf>
    <xf numFmtId="0" fontId="8" fillId="0" borderId="2" xfId="0" quotePrefix="1" applyFont="1" applyFill="1" applyBorder="1" applyAlignment="1" applyProtection="1">
      <alignment horizontal="right"/>
    </xf>
    <xf numFmtId="0" fontId="9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center"/>
    </xf>
    <xf numFmtId="0" fontId="11" fillId="0" borderId="0" xfId="0" applyFont="1"/>
    <xf numFmtId="0" fontId="12" fillId="0" borderId="0" xfId="0" applyFont="1" applyFill="1" applyBorder="1" applyAlignment="1"/>
    <xf numFmtId="0" fontId="13" fillId="3" borderId="0" xfId="2" applyFont="1" applyFill="1" applyBorder="1" applyAlignment="1">
      <alignment horizontal="center"/>
    </xf>
    <xf numFmtId="0" fontId="10" fillId="0" borderId="0" xfId="0" applyFont="1" applyFill="1" applyBorder="1" applyAlignment="1">
      <alignment horizontal="left" vertical="center"/>
    </xf>
    <xf numFmtId="0" fontId="14" fillId="4" borderId="0" xfId="0" applyFont="1" applyFill="1" applyAlignment="1"/>
    <xf numFmtId="3" fontId="8" fillId="0" borderId="2" xfId="0" quotePrefix="1" applyNumberFormat="1" applyFont="1" applyFill="1" applyBorder="1" applyAlignment="1" applyProtection="1">
      <alignment horizontal="right"/>
    </xf>
    <xf numFmtId="0" fontId="15" fillId="0" borderId="0" xfId="0" applyNumberFormat="1" applyFont="1" applyAlignment="1"/>
    <xf numFmtId="0" fontId="8" fillId="5" borderId="2" xfId="0" applyFont="1" applyFill="1" applyBorder="1" applyAlignment="1" applyProtection="1">
      <alignment horizontal="right"/>
    </xf>
    <xf numFmtId="0" fontId="8" fillId="0" borderId="2" xfId="0" quotePrefix="1" applyFont="1" applyFill="1" applyBorder="1" applyAlignment="1" applyProtection="1">
      <alignment horizontal="center"/>
    </xf>
    <xf numFmtId="0" fontId="16" fillId="0" borderId="0" xfId="2" applyFont="1"/>
    <xf numFmtId="3" fontId="8" fillId="5" borderId="2" xfId="0" applyNumberFormat="1" applyFont="1" applyFill="1" applyBorder="1" applyAlignment="1" applyProtection="1">
      <alignment horizontal="right"/>
    </xf>
    <xf numFmtId="0" fontId="17" fillId="0" borderId="0" xfId="0" applyFont="1"/>
    <xf numFmtId="0" fontId="8" fillId="0" borderId="2" xfId="0" applyFont="1" applyFill="1" applyBorder="1" applyAlignment="1" applyProtection="1">
      <alignment horizontal="right"/>
    </xf>
    <xf numFmtId="0" fontId="8" fillId="0" borderId="2" xfId="0" applyFont="1" applyFill="1" applyBorder="1" applyAlignment="1" applyProtection="1">
      <alignment vertic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5" fillId="0" borderId="0" xfId="0" applyFont="1"/>
    <xf numFmtId="0" fontId="16" fillId="4" borderId="0" xfId="2" applyFont="1" applyFill="1"/>
    <xf numFmtId="0" fontId="18" fillId="0" borderId="0" xfId="0" applyFont="1"/>
    <xf numFmtId="0" fontId="8" fillId="6" borderId="3" xfId="0" applyFont="1" applyFill="1" applyBorder="1" applyAlignment="1" applyProtection="1">
      <alignment horizontal="right"/>
    </xf>
    <xf numFmtId="0" fontId="15" fillId="0" borderId="0" xfId="0" quotePrefix="1" applyFont="1" applyFill="1"/>
    <xf numFmtId="0" fontId="12" fillId="0" borderId="0" xfId="0" applyFont="1"/>
    <xf numFmtId="164" fontId="15" fillId="0" borderId="0" xfId="0" applyNumberFormat="1" applyFont="1"/>
    <xf numFmtId="3" fontId="15" fillId="0" borderId="0" xfId="0" applyNumberFormat="1" applyFont="1" applyAlignment="1"/>
    <xf numFmtId="0" fontId="0" fillId="0" borderId="0" xfId="0" applyFont="1"/>
    <xf numFmtId="0" fontId="8" fillId="6" borderId="4" xfId="0" applyFont="1" applyFill="1" applyBorder="1" applyAlignment="1" applyProtection="1">
      <alignment horizontal="right"/>
    </xf>
    <xf numFmtId="0" fontId="15" fillId="0" borderId="0" xfId="0" applyFont="1" applyFill="1" applyBorder="1" applyAlignment="1">
      <alignment vertical="center"/>
    </xf>
    <xf numFmtId="0" fontId="19" fillId="0" borderId="0" xfId="0" applyFont="1"/>
    <xf numFmtId="0" fontId="1" fillId="0" borderId="0" xfId="1"/>
    <xf numFmtId="0" fontId="8" fillId="0" borderId="5" xfId="0" applyFont="1" applyBorder="1" applyAlignment="1" applyProtection="1">
      <alignment horizontal="right"/>
    </xf>
    <xf numFmtId="3" fontId="15" fillId="7" borderId="0" xfId="0" applyNumberFormat="1" applyFont="1" applyFill="1" applyAlignment="1"/>
    <xf numFmtId="0" fontId="8" fillId="0" borderId="4" xfId="0" applyFont="1" applyBorder="1" applyAlignment="1" applyProtection="1">
      <alignment horizontal="center"/>
    </xf>
    <xf numFmtId="3" fontId="15" fillId="8" borderId="0" xfId="0" applyNumberFormat="1" applyFont="1" applyFill="1" applyAlignment="1"/>
    <xf numFmtId="0" fontId="0" fillId="0" borderId="0" xfId="0" applyFill="1" applyBorder="1" applyAlignment="1">
      <alignment vertical="center"/>
    </xf>
    <xf numFmtId="3" fontId="7" fillId="0" borderId="0" xfId="0" applyNumberFormat="1" applyFont="1" applyFill="1" applyAlignment="1"/>
    <xf numFmtId="0" fontId="15" fillId="0" borderId="0" xfId="0" applyNumberFormat="1" applyFont="1"/>
    <xf numFmtId="0" fontId="8" fillId="0" borderId="3" xfId="0" applyFont="1" applyBorder="1" applyAlignment="1" applyProtection="1">
      <alignment horizontal="right"/>
    </xf>
    <xf numFmtId="3" fontId="15" fillId="9" borderId="0" xfId="0" applyNumberFormat="1" applyFont="1" applyFill="1" applyAlignment="1"/>
    <xf numFmtId="0" fontId="18" fillId="0" borderId="6" xfId="0" quotePrefix="1" applyFont="1" applyFill="1" applyBorder="1" applyAlignment="1">
      <alignment horizontal="right"/>
    </xf>
    <xf numFmtId="0" fontId="0" fillId="0" borderId="0" xfId="0" applyFont="1" applyFill="1" applyBorder="1" applyAlignment="1"/>
    <xf numFmtId="0" fontId="18" fillId="0" borderId="6" xfId="0" quotePrefix="1" applyFont="1" applyFill="1" applyBorder="1" applyAlignment="1"/>
    <xf numFmtId="0" fontId="18" fillId="0" borderId="6" xfId="0" applyFont="1" applyFill="1" applyBorder="1" applyAlignment="1">
      <alignment vertical="center"/>
    </xf>
    <xf numFmtId="0" fontId="15" fillId="9" borderId="0" xfId="0" applyNumberFormat="1" applyFont="1" applyFill="1" applyAlignment="1"/>
    <xf numFmtId="0" fontId="8" fillId="0" borderId="2" xfId="0" applyFont="1" applyBorder="1" applyAlignment="1" applyProtection="1">
      <alignment horizontal="right"/>
    </xf>
    <xf numFmtId="0" fontId="11" fillId="0" borderId="0" xfId="0" applyFont="1" applyAlignment="1">
      <alignment horizontal="center"/>
    </xf>
    <xf numFmtId="0" fontId="16" fillId="9" borderId="0" xfId="2" applyFont="1" applyFill="1"/>
    <xf numFmtId="0" fontId="8" fillId="0" borderId="2" xfId="0" quotePrefix="1" applyFont="1" applyBorder="1" applyAlignment="1" applyProtection="1"/>
    <xf numFmtId="0" fontId="15" fillId="0" borderId="0" xfId="0" quotePrefix="1" applyFont="1"/>
    <xf numFmtId="0" fontId="13" fillId="3" borderId="7" xfId="2" applyFont="1" applyFill="1" applyBorder="1" applyAlignment="1">
      <alignment horizontal="center"/>
    </xf>
    <xf numFmtId="3" fontId="18" fillId="0" borderId="6" xfId="0" applyNumberFormat="1" applyFont="1" applyFill="1" applyBorder="1" applyAlignment="1"/>
    <xf numFmtId="0" fontId="15" fillId="0" borderId="0" xfId="0" applyNumberFormat="1" applyFont="1" applyFill="1" applyBorder="1" applyAlignment="1"/>
    <xf numFmtId="2" fontId="15" fillId="0" borderId="0" xfId="0" applyNumberFormat="1" applyFont="1"/>
    <xf numFmtId="0" fontId="7" fillId="0" borderId="0" xfId="0" applyFont="1" applyFill="1" applyBorder="1" applyAlignment="1">
      <alignment vertical="center"/>
    </xf>
    <xf numFmtId="0" fontId="20" fillId="0" borderId="0" xfId="0" applyFont="1"/>
    <xf numFmtId="0" fontId="15" fillId="9" borderId="0" xfId="0" applyFont="1" applyFill="1"/>
  </cellXfs>
  <cellStyles count="3">
    <cellStyle name="Hyperlink" xfId="1" builtinId="8"/>
    <cellStyle name="Normal" xfId="0" builtinId="0"/>
    <cellStyle name="Normal_Sheet1" xfId="2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Relationship Id="rId3" Type="http://schemas.openxmlformats.org/officeDocument/2006/relationships/image" Target="../media/image3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8</xdr:row>
      <xdr:rowOff>190500</xdr:rowOff>
    </xdr:from>
    <xdr:to>
      <xdr:col>7</xdr:col>
      <xdr:colOff>0</xdr:colOff>
      <xdr:row>10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814830"/>
          <a:ext cx="341639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3659" y="2194560"/>
          <a:ext cx="341639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7</xdr:col>
      <xdr:colOff>0</xdr:colOff>
      <xdr:row>10</xdr:row>
      <xdr:rowOff>189865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43659" y="2004695"/>
          <a:ext cx="3416396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40"/>
  <sheetViews>
    <sheetView tabSelected="1" workbookViewId="0"/>
  </sheetViews>
  <sheetFormatPr defaultColWidth="11.42578125" defaultRowHeight="14.95" outlineLevelRow="1" outlineLevelCol="1"/>
  <cols>
    <col min="1" max="1" width="52.7109375" style="35" customWidth="1"/>
    <col min="2" max="2" width="7.7109375" hidden="1" customWidth="1" outlineLevel="1"/>
    <col min="3" max="3" width="8.85546875" hidden="1" customWidth="1" outlineLevel="1"/>
    <col min="4" max="4" width="8.7109375" customWidth="1" collapsed="1"/>
    <col min="5" max="5" width="13" customWidth="1"/>
    <col min="6" max="6" width="12.140625" bestFit="1" customWidth="1"/>
    <col min="7" max="7" width="13" customWidth="1"/>
    <col min="8" max="8" width="12.140625" bestFit="1" customWidth="1"/>
    <col min="9" max="9" width="12.85546875" customWidth="1"/>
    <col min="10" max="10" width="7.85546875" bestFit="1" customWidth="1"/>
    <col min="11" max="11" width="11.28515625" bestFit="1" customWidth="1"/>
    <col min="12" max="12" width="9.85546875" bestFit="1" customWidth="1"/>
    <col min="13" max="13" width="7.28515625" bestFit="1" customWidth="1"/>
    <col min="14" max="14" width="11.28515625" bestFit="1" customWidth="1"/>
    <col min="15" max="15" width="9.85546875" bestFit="1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0" t="s">
        <v>112</v>
      </c>
      <c s="10"/>
      <c s="10"/>
      <c s="10"/>
      <c s="10"/>
      <c s="2"/>
      <c s="2"/>
      <c s="2"/>
      <c s="2"/>
      <c s="2"/>
    </row>
    <row>
      <c s="14" t="s">
        <v>48</v>
      </c>
      <c s="14"/>
      <c s="14"/>
      <c s="14"/>
      <c s="14"/>
      <c s="2"/>
      <c s="2"/>
      <c s="2"/>
      <c s="2"/>
      <c s="2"/>
    </row>
    <row ht="23.25" customHeight="1" s="32" customFormat="1">
      <c s="9" t="s">
        <v>27</v>
      </c>
      <c s="9"/>
      <c s="9"/>
      <c s="9"/>
      <c s="9"/>
      <c s="12"/>
      <c s="12"/>
      <c s="12"/>
      <c s="12"/>
      <c s="12"/>
    </row>
    <row>
      <c s="7" t="s">
        <v>36</v>
      </c>
      <c s="7"/>
      <c s="7"/>
      <c s="7"/>
      <c s="7"/>
      <c s="7"/>
      <c s="2"/>
      <c s="2"/>
      <c s="2"/>
      <c s="2"/>
    </row>
    <row>
      <c s="7" t="s">
        <v>94</v>
      </c>
      <c s="7"/>
      <c s="7"/>
      <c s="7"/>
      <c s="7"/>
      <c s="3"/>
      <c s="2"/>
      <c s="2"/>
      <c s="2"/>
      <c s="2"/>
    </row>
    <row>
      <c s="7" t="s">
        <v>13</v>
      </c>
      <c s="7"/>
      <c s="7"/>
      <c s="7"/>
      <c s="7"/>
      <c s="44"/>
      <c s="2"/>
      <c s="2"/>
      <c s="2"/>
      <c s="2"/>
    </row>
    <row>
      <c s="3" t="s">
        <v>128</v>
      </c>
      <c s="3"/>
      <c s="3"/>
      <c s="3"/>
      <c s="3"/>
      <c s="3"/>
      <c s="3"/>
      <c s="3"/>
      <c s="2"/>
      <c s="2"/>
    </row>
    <row>
      <c s="3" t="s">
        <v>122</v>
      </c>
      <c s="3"/>
      <c s="3"/>
      <c s="3"/>
      <c s="3"/>
      <c s="3"/>
      <c s="3"/>
      <c s="3"/>
      <c s="3"/>
      <c s="3"/>
    </row>
    <row ht="15" customHeight="1">
      <c s="50"/>
      <c s="2"/>
      <c s="2"/>
      <c s="2"/>
      <c s="2"/>
      <c s="2"/>
      <c s="2"/>
      <c s="2"/>
      <c s="2"/>
      <c s="2"/>
    </row>
    <row>
      <c s="5" t="s">
        <v>103</v>
      </c>
      <c s="57" t="s">
        <v>49</v>
      </c>
    </row>
    <row>
      <c s="5" t="s">
        <v>74</v>
      </c>
      <c s="57" t="s">
        <v>12</v>
      </c>
    </row>
    <row>
      <c s="5" t="s">
        <v>101</v>
      </c>
      <c s="57" t="s">
        <v>23</v>
      </c>
    </row>
    <row ht="15" hidden="1" outlineLevel="1">
      <c s="5" t="s">
        <v>47</v>
      </c>
      <c s="57" t="s">
        <v>131</v>
      </c>
    </row>
    <row collapsed="1">
      <c/>
    </row>
    <row>
      <c/>
    </row>
    <row ht="15" hidden="1" outlineLevel="1">
      <c/>
      <c r="D16" s="5" t="s">
        <v>77</v>
      </c>
      <c s="5" t="s">
        <v>61</v>
      </c>
      <c s="5" t="s">
        <v>53</v>
      </c>
    </row>
    <row ht="15" customHeight="1" collapsed="1">
      <c/>
      <c r="D17" s="19" t="s">
        <v>91</v>
      </c>
      <c s="8"/>
      <c s="19" t="s">
        <v>62</v>
      </c>
      <c s="8"/>
      <c s="19" t="s">
        <v>24</v>
      </c>
      <c s="8"/>
    </row>
    <row ht="15" hidden="1" customHeight="1" outlineLevel="1">
      <c/>
      <c r="D18" s="8" t="s">
        <v>86</v>
      </c>
      <c s="8"/>
      <c s="8" t="s">
        <v>64</v>
      </c>
      <c s="8"/>
      <c s="8" t="s">
        <v>38</v>
      </c>
      <c s="8"/>
    </row>
    <row ht="15" customHeight="1" collapsed="1">
      <c s="5" t="s">
        <v>6</v>
      </c>
      <c s="5" t="s">
        <v>110</v>
      </c>
      <c s="5" t="s">
        <v>104</v>
      </c>
      <c s="18" t="s">
        <v>23</v>
      </c>
      <c s="23" t="s">
        <v>127</v>
      </c>
      <c s="18" t="s">
        <v>23</v>
      </c>
      <c s="23" t="s">
        <v>127</v>
      </c>
      <c s="18" t="s">
        <v>23</v>
      </c>
      <c s="23" t="s">
        <v>127</v>
      </c>
    </row>
    <row>
      <c s="24" t="s">
        <v>29</v>
      </c>
      <c s="24" t="s">
        <v>84</v>
      </c>
      <c s="24" t="s">
        <v>29</v>
      </c>
      <c s="21">
        <v>185</v>
      </c>
      <c s="16" t="s">
        <v>127</v>
      </c>
      <c s="21">
        <v>187</v>
      </c>
      <c s="16" t="s">
        <v>127</v>
      </c>
      <c s="21">
        <v>186</v>
      </c>
      <c s="16" t="s">
        <v>127</v>
      </c>
    </row>
    <row>
      <c s="24" t="s">
        <v>115</v>
      </c>
      <c s="24" t="s">
        <v>113</v>
      </c>
      <c s="24" t="s">
        <v>115</v>
      </c>
      <c s="21">
        <v>120</v>
      </c>
      <c s="16" t="s">
        <v>127</v>
      </c>
      <c s="21">
        <v>120</v>
      </c>
      <c s="16" t="s">
        <v>127</v>
      </c>
      <c s="21">
        <v>119</v>
      </c>
      <c s="16" t="s">
        <v>127</v>
      </c>
      <c r="O21" s="39"/>
    </row>
    <row>
      <c s="24" t="s">
        <v>51</v>
      </c>
      <c s="24" t="s">
        <v>20</v>
      </c>
      <c s="24" t="s">
        <v>51</v>
      </c>
      <c s="21">
        <v>132</v>
      </c>
      <c s="16" t="s">
        <v>127</v>
      </c>
      <c s="21">
        <v>134</v>
      </c>
      <c s="16" t="s">
        <v>127</v>
      </c>
      <c s="21">
        <v>133</v>
      </c>
      <c s="16" t="s">
        <v>127</v>
      </c>
    </row>
    <row>
      <c s="24" t="s">
        <v>63</v>
      </c>
      <c s="24" t="s">
        <v>125</v>
      </c>
      <c s="24" t="s">
        <v>78</v>
      </c>
      <c s="21">
        <v>8</v>
      </c>
      <c s="16" t="s">
        <v>127</v>
      </c>
      <c s="21">
        <v>8</v>
      </c>
      <c s="16" t="s">
        <v>127</v>
      </c>
      <c s="21">
        <v>8</v>
      </c>
      <c s="16" t="s">
        <v>127</v>
      </c>
    </row>
    <row>
      <c s="24" t="s">
        <v>11</v>
      </c>
      <c s="24" t="s">
        <v>25</v>
      </c>
      <c s="24" t="s">
        <v>39</v>
      </c>
      <c s="21">
        <v>8</v>
      </c>
      <c s="16" t="s">
        <v>127</v>
      </c>
      <c s="21">
        <v>8</v>
      </c>
      <c s="16" t="s">
        <v>127</v>
      </c>
      <c s="21">
        <v>8</v>
      </c>
      <c s="16" t="s">
        <v>127</v>
      </c>
    </row>
    <row>
      <c s="24" t="s">
        <v>126</v>
      </c>
      <c s="24" t="s">
        <v>102</v>
      </c>
      <c s="24" t="s">
        <v>130</v>
      </c>
      <c s="21">
        <v>7</v>
      </c>
      <c s="16" t="s">
        <v>127</v>
      </c>
      <c s="21">
        <v>7</v>
      </c>
      <c s="16" t="s">
        <v>127</v>
      </c>
      <c s="21">
        <v>7</v>
      </c>
      <c s="16" t="s">
        <v>127</v>
      </c>
    </row>
    <row>
      <c s="24" t="s">
        <v>18</v>
      </c>
      <c s="24" t="s">
        <v>54</v>
      </c>
      <c s="24" t="s">
        <v>18</v>
      </c>
      <c s="21">
        <v>89</v>
      </c>
      <c s="16" t="s">
        <v>127</v>
      </c>
      <c s="21">
        <v>89</v>
      </c>
      <c s="16" t="s">
        <v>127</v>
      </c>
      <c s="21">
        <v>89</v>
      </c>
      <c s="16" t="s">
        <v>127</v>
      </c>
    </row>
    <row>
      <c s="24" t="s">
        <v>60</v>
      </c>
      <c s="24" t="s">
        <v>87</v>
      </c>
      <c s="24" t="s">
        <v>10</v>
      </c>
      <c s="21">
        <v>59</v>
      </c>
      <c s="16" t="s">
        <v>127</v>
      </c>
      <c s="21">
        <v>58</v>
      </c>
      <c s="16" t="s">
        <v>127</v>
      </c>
      <c s="21">
        <v>60</v>
      </c>
      <c s="16" t="s">
        <v>127</v>
      </c>
    </row>
    <row>
      <c s="24" t="s">
        <v>17</v>
      </c>
      <c s="24" t="s">
        <v>118</v>
      </c>
      <c s="24" t="s">
        <v>105</v>
      </c>
      <c s="21">
        <v>59</v>
      </c>
      <c s="16" t="s">
        <v>127</v>
      </c>
      <c s="21">
        <v>58</v>
      </c>
      <c s="16" t="s">
        <v>127</v>
      </c>
      <c s="21">
        <v>58</v>
      </c>
      <c s="16" t="s">
        <v>127</v>
      </c>
    </row>
    <row>
      <c s="24" t="s">
        <v>15</v>
      </c>
      <c s="24" t="s">
        <v>19</v>
      </c>
      <c s="24" t="s">
        <v>15</v>
      </c>
      <c s="21">
        <v>40</v>
      </c>
      <c s="16" t="s">
        <v>127</v>
      </c>
      <c s="21">
        <v>39</v>
      </c>
      <c s="16" t="s">
        <v>127</v>
      </c>
      <c s="21">
        <v>38</v>
      </c>
      <c s="16" t="s">
        <v>127</v>
      </c>
    </row>
    <row>
      <c s="24" t="s">
        <v>79</v>
      </c>
      <c s="24" t="s">
        <v>58</v>
      </c>
      <c s="24" t="s">
        <v>117</v>
      </c>
      <c s="21">
        <v>51</v>
      </c>
      <c s="16" t="s">
        <v>127</v>
      </c>
      <c s="21">
        <v>51</v>
      </c>
      <c s="16" t="s">
        <v>127</v>
      </c>
      <c s="21">
        <v>49</v>
      </c>
      <c s="16" t="s">
        <v>127</v>
      </c>
    </row>
    <row>
      <c s="24" t="s">
        <v>59</v>
      </c>
      <c s="24" t="s">
        <v>92</v>
      </c>
      <c s="24" t="s">
        <v>45</v>
      </c>
      <c s="21">
        <v>9</v>
      </c>
      <c s="16" t="s">
        <v>127</v>
      </c>
      <c s="21">
        <v>9</v>
      </c>
      <c s="16" t="s">
        <v>127</v>
      </c>
      <c s="21">
        <v>9</v>
      </c>
      <c s="16" t="s">
        <v>127</v>
      </c>
    </row>
    <row>
      <c s="24" t="s">
        <v>85</v>
      </c>
      <c s="24" t="s">
        <v>124</v>
      </c>
      <c s="24" t="s">
        <v>129</v>
      </c>
      <c s="21">
        <v>24</v>
      </c>
      <c s="16" t="s">
        <v>127</v>
      </c>
      <c s="21">
        <v>24</v>
      </c>
      <c s="16" t="s">
        <v>127</v>
      </c>
      <c s="21">
        <v>24</v>
      </c>
      <c s="16" t="s">
        <v>127</v>
      </c>
    </row>
    <row>
      <c s="24" t="s">
        <v>114</v>
      </c>
      <c s="24" t="s">
        <v>30</v>
      </c>
      <c s="24" t="s">
        <v>114</v>
      </c>
      <c s="21">
        <v>78</v>
      </c>
      <c s="16" t="s">
        <v>127</v>
      </c>
      <c s="21">
        <v>78</v>
      </c>
      <c s="16" t="s">
        <v>127</v>
      </c>
      <c s="21">
        <v>77</v>
      </c>
      <c s="16" t="s">
        <v>127</v>
      </c>
    </row>
    <row>
      <c s="24" t="s">
        <v>116</v>
      </c>
      <c s="24" t="s">
        <v>66</v>
      </c>
      <c s="24" t="s">
        <v>116</v>
      </c>
      <c s="21">
        <v>56</v>
      </c>
      <c s="16" t="s">
        <v>127</v>
      </c>
      <c s="21">
        <v>54</v>
      </c>
      <c s="16" t="s">
        <v>127</v>
      </c>
      <c s="21">
        <v>53</v>
      </c>
      <c s="16" t="s">
        <v>127</v>
      </c>
    </row>
    <row>
      <c s="24" t="s">
        <v>28</v>
      </c>
      <c s="24" t="s">
        <v>41</v>
      </c>
      <c s="24" t="s">
        <v>16</v>
      </c>
      <c s="21">
        <v>28</v>
      </c>
      <c s="16" t="s">
        <v>127</v>
      </c>
      <c s="21">
        <v>27</v>
      </c>
      <c s="16" t="s">
        <v>127</v>
      </c>
      <c s="21">
        <v>26</v>
      </c>
      <c s="16" t="s">
        <v>127</v>
      </c>
    </row>
    <row>
      <c s="24" t="s">
        <v>73</v>
      </c>
      <c s="24" t="s">
        <v>75</v>
      </c>
      <c s="24" t="s">
        <v>95</v>
      </c>
      <c s="21">
        <v>54</v>
      </c>
      <c s="16" t="s">
        <v>127</v>
      </c>
      <c s="21">
        <v>52</v>
      </c>
      <c s="16" t="s">
        <v>127</v>
      </c>
      <c s="21">
        <v>51</v>
      </c>
      <c s="16" t="s">
        <v>127</v>
      </c>
    </row>
    <row>
      <c s="24" t="s">
        <v>46</v>
      </c>
      <c s="24" t="s">
        <v>106</v>
      </c>
      <c s="24" t="s">
        <v>123</v>
      </c>
      <c s="21">
        <v>84</v>
      </c>
      <c s="16" t="s">
        <v>127</v>
      </c>
      <c s="21">
        <v>84</v>
      </c>
      <c s="16" t="s">
        <v>127</v>
      </c>
      <c s="21">
        <v>83</v>
      </c>
      <c s="16" t="s">
        <v>127</v>
      </c>
    </row>
    <row>
      <c s="24" t="s">
        <v>26</v>
      </c>
      <c s="24" t="s">
        <v>5</v>
      </c>
      <c s="24" t="s">
        <v>52</v>
      </c>
      <c s="21">
        <v>101</v>
      </c>
      <c s="16" t="s">
        <v>127</v>
      </c>
      <c s="21">
        <v>97</v>
      </c>
      <c s="16" t="s">
        <v>127</v>
      </c>
      <c s="21">
        <v>95</v>
      </c>
      <c s="16" t="s">
        <v>127</v>
      </c>
    </row>
    <row>
      <c s="24" t="s">
        <v>93</v>
      </c>
      <c s="24" t="s">
        <v>40</v>
      </c>
      <c s="24" t="s">
        <v>71</v>
      </c>
      <c s="21">
        <v>24</v>
      </c>
      <c s="16" t="s">
        <v>127</v>
      </c>
      <c s="21">
        <v>24</v>
      </c>
      <c s="16" t="s">
        <v>127</v>
      </c>
      <c s="21">
        <v>24</v>
      </c>
      <c s="16" t="s">
        <v>127</v>
      </c>
    </row>
    <row>
      <c s="24" t="s">
        <v>50</v>
      </c>
      <c s="24" t="s">
        <v>4</v>
      </c>
      <c s="24" t="s">
        <v>42</v>
      </c>
      <c s="21">
        <v>12</v>
      </c>
      <c s="16" t="s">
        <v>127</v>
      </c>
      <c s="21">
        <v>12</v>
      </c>
      <c s="16" t="s">
        <v>127</v>
      </c>
      <c s="21">
        <v>12</v>
      </c>
      <c s="16" t="s">
        <v>127</v>
      </c>
    </row>
    <row>
      <c s="24" t="s">
        <v>37</v>
      </c>
      <c s="24" t="s">
        <v>90</v>
      </c>
      <c s="24" t="s">
        <v>65</v>
      </c>
      <c s="21">
        <v>4</v>
      </c>
      <c s="16" t="s">
        <v>127</v>
      </c>
      <c s="21">
        <v>4</v>
      </c>
      <c s="16" t="s">
        <v>127</v>
      </c>
      <c s="21">
        <v>3</v>
      </c>
      <c s="16" t="s">
        <v>127</v>
      </c>
    </row>
    <row>
      <c s="24" t="s">
        <v>23</v>
      </c>
      <c s="24" t="s">
        <v>23</v>
      </c>
      <c s="24" t="s">
        <v>23</v>
      </c>
      <c s="21">
        <v>1232</v>
      </c>
      <c s="16" t="s">
        <v>43</v>
      </c>
      <c s="21">
        <v>1224</v>
      </c>
      <c s="16" t="s">
        <v>43</v>
      </c>
      <c s="21">
        <v>1212</v>
      </c>
      <c s="16" t="s">
        <v>43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3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8">
    <mergeCell ref="A7:H7"/>
    <mergeCell ref="A8:J8"/>
    <mergeCell ref="D17:E17"/>
    <mergeCell ref="F17:G17"/>
    <mergeCell ref="H17:I17"/>
    <mergeCell ref="D18:E18"/>
    <mergeCell ref="F18:G18"/>
    <mergeCell ref="H18:I18"/>
  </mergeCells>
  <pageMargins left="0.70866141732283472" right="0.70866141732283472" top="0.78740157480314965" bottom="0.78740157480314965" header="0.31496062992125984" footer="0.31496062992125984"/>
  <pageSetup paperSize="9" scale="83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42"/>
  <sheetViews>
    <sheetView topLeftCell="A29" workbookViewId="0">
      <selection activeCell="C43" sqref="C43"/>
    </sheetView>
  </sheetViews>
  <sheetFormatPr defaultColWidth="9.140625" defaultRowHeight="13.6"/>
  <cols>
    <col min="1" max="1" width="13.7109375" style="27" customWidth="1"/>
    <col min="2" max="2" width="40.85546875" style="27" customWidth="1"/>
    <col min="3" max="3" width="28.140625" style="27" customWidth="1"/>
    <col min="4" max="4" width="16.28515625" style="27" customWidth="1"/>
    <col min="5" max="5" width="19.28515625" style="27" customWidth="1"/>
    <col min="6" max="6" width="11.140625" style="27" customWidth="1"/>
    <col min="7" max="7" width="9.140625" style="27"/>
    <col min="8" max="8" width="17.28515625" style="27" customWidth="1"/>
    <col min="9" max="9" width="19.7109375" style="27" customWidth="1"/>
    <col min="10" max="12" width="12.28515625" style="27" customWidth="1"/>
    <col min="13" max="13" width="16" style="27" bestFit="1" customWidth="1"/>
    <col min="14" max="14" width="14.28515625" style="27" bestFit="1" customWidth="1"/>
    <col min="15" max="15" width="18.28515625" style="27" bestFit="1" customWidth="1"/>
    <col min="16" max="25" width="9.140625" style="27"/>
    <col min="26" max="26" width="9.140625" style="27" hidden="1" customWidth="1"/>
    <col min="27" max="16384" width="9.140625" style="27"/>
  </cols>
  <sheetData>
    <row>
      <c s="46"/>
      <c r="H1" s="33">
        <v>129806172700000000</v>
      </c>
      <c r="Z1" s="62" t="b">
        <f>0=1</f>
        <v>0</v>
      </c>
    </row>
    <row>
      <c r="Z2" s="62" t="b">
        <f>1=1</f>
        <v>1</v>
      </c>
    </row>
    <row>
      <c r="Z3" s="62"/>
    </row>
    <row>
      <c r="I4" s="27" t="s">
        <v>44</v>
      </c>
      <c s="59" t="s">
        <v>88</v>
      </c>
      <c s="13"/>
      <c s="13"/>
      <c s="13"/>
      <c s="13"/>
      <c s="13"/>
    </row>
    <row>
      <c r="J5" s="28" t="s">
        <v>31</v>
      </c>
      <c s="20" t="s">
        <v>67</v>
      </c>
      <c s="20" t="s">
        <v>80</v>
      </c>
      <c s="28" t="s">
        <v>119</v>
      </c>
      <c s="56" t="s">
        <v>96</v>
      </c>
      <c s="20" t="s">
        <v>0</v>
      </c>
    </row>
    <row>
      <c r="B6" s="26" t="s">
        <v>97</v>
      </c>
      <c s="15" t="s">
        <v>107</v>
      </c>
      <c s="51" t="s">
        <v>7</v>
      </c>
      <c s="11" t="s">
        <v>68</v>
      </c>
    </row>
    <row>
      <c r="C7" s="22"/>
      <c s="29" t="s">
        <v>8</v>
      </c>
      <c s="11" t="s">
        <v>76</v>
      </c>
    </row>
    <row>
      <c r="C8" s="29" t="s">
        <v>1</v>
      </c>
      <c s="22"/>
    </row>
    <row>
      <c r="C9" s="22"/>
      <c s="15" t="s">
        <v>32</v>
      </c>
      <c s="64"/>
    </row>
    <row>
      <c r="C10" s="15" t="s">
        <v>55</v>
      </c>
      <c s="49" t="s">
        <v>81</v>
      </c>
      <c s="11" t="s">
        <v>14</v>
      </c>
    </row>
    <row>
      <c r="B11" s="26" t="s">
        <v>69</v>
      </c>
      <c s="52" t="s">
        <v>56</v>
      </c>
      <c s="60">
        <v>60398</v>
      </c>
      <c s="11" t="s">
        <v>33</v>
      </c>
    </row>
    <row>
      <c r="B12" s="26"/>
      <c s="37"/>
      <c s="61"/>
      <c s="55" t="s">
        <v>89</v>
      </c>
    </row>
    <row>
      <c r="B13" s="26" t="s">
        <v>57</v>
      </c>
      <c s="65" t="s">
        <v>21</v>
      </c>
      <c s="48">
        <v>1212</v>
      </c>
      <c s="27" t="b">
        <v>0</v>
      </c>
      <c s="11" t="s">
        <v>82</v>
      </c>
    </row>
    <row ht="12.75" hidden="1">
      <c r="B14" s="26"/>
      <c s="65"/>
      <c s="53"/>
      <c s="27" t="b">
        <v>0</v>
      </c>
    </row>
    <row>
      <c r="B15" s="26" t="s">
        <v>108</v>
      </c>
      <c s="27" t="s">
        <v>111</v>
      </c>
      <c s="34">
        <v>1212</v>
      </c>
      <c s="27" t="b">
        <v>0</v>
      </c>
      <c s="11" t="s">
        <v>22</v>
      </c>
    </row>
    <row ht="12.75" hidden="1">
      <c r="B16" s="26"/>
      <c r="D16" s="17"/>
      <c s="27" t="b">
        <v>0</v>
      </c>
      <c s="11"/>
    </row>
    <row>
      <c r="B17" s="26"/>
      <c s="27" t="s">
        <v>34</v>
      </c>
      <c s="41">
        <v>3434</v>
      </c>
      <c s="27" t="b">
        <v>0</v>
      </c>
      <c s="11" t="s">
        <v>83</v>
      </c>
    </row>
    <row>
      <c r="B18" s="26"/>
      <c r="D18" s="17"/>
      <c s="27" t="b">
        <v>0</v>
      </c>
      <c s="11"/>
    </row>
    <row>
      <c r="B19" s="26"/>
      <c s="27" t="s">
        <v>2</v>
      </c>
      <c s="43">
        <v>3434</v>
      </c>
      <c s="27" t="b">
        <v>0</v>
      </c>
      <c s="11" t="s">
        <v>98</v>
      </c>
    </row>
    <row>
      <c r="B20" s="26"/>
      <c r="D20" s="17"/>
      <c s="27" t="b">
        <v>0</v>
      </c>
      <c s="11"/>
    </row>
    <row>
      <c r="B21" s="26"/>
      <c s="27" t="s">
        <v>99</v>
      </c>
      <c s="45">
        <v>5656</v>
      </c>
      <c s="27" t="b">
        <v>0</v>
      </c>
      <c s="11" t="s">
        <v>120</v>
      </c>
    </row>
    <row>
      <c r="B22" s="26"/>
      <c r="E22" s="11"/>
      <c r="I22" s="38"/>
    </row>
    <row>
      <c r="B23" s="25" t="s">
        <v>3</v>
      </c>
      <c s="25"/>
    </row>
    <row>
      <c r="B24" s="6" t="s">
        <v>70</v>
      </c>
      <c s="6" t="s">
        <v>35</v>
      </c>
      <c s="6" t="s">
        <v>9</v>
      </c>
      <c s="6" t="s">
        <v>100</v>
      </c>
      <c s="6"/>
      <c s="6"/>
      <c s="6" t="s">
        <v>121</v>
      </c>
    </row>
    <row>
      <c r="C25" s="31" t="s">
        <v>109</v>
      </c>
      <c s="42">
        <v>2009</v>
      </c>
      <c s="47">
        <v>1234.5599999999999</v>
      </c>
    </row>
    <row>
      <c r="C26" s="58" t="s">
        <v>109</v>
      </c>
      <c s="42">
        <v>2010</v>
      </c>
      <c s="47">
        <v>1234.5599999999999</v>
      </c>
    </row>
    <row>
      <c r="C27" s="58" t="s">
        <v>109</v>
      </c>
      <c s="42">
        <v>2011</v>
      </c>
      <c s="47">
        <v>1234.5599999999999</v>
      </c>
    </row>
    <row>
      <c r="C28" s="58" t="s">
        <v>109</v>
      </c>
      <c s="42">
        <v>2012</v>
      </c>
      <c s="47">
        <v>1234.5599999999999</v>
      </c>
    </row>
    <row>
      <c r="C29" s="58" t="s">
        <v>109</v>
      </c>
      <c s="42">
        <v>2013</v>
      </c>
      <c s="47">
        <v>1234.5599999999999</v>
      </c>
    </row>
    <row>
      <c r="C30" s="58" t="s">
        <v>109</v>
      </c>
      <c s="42">
        <v>2014</v>
      </c>
      <c s="47">
        <v>1234.5599999999999</v>
      </c>
    </row>
    <row>
      <c r="C31" s="58" t="s">
        <v>109</v>
      </c>
      <c s="42">
        <v>2015</v>
      </c>
      <c s="47">
        <v>1234.5599999999999</v>
      </c>
    </row>
    <row>
      <c r="C32" s="58" t="s">
        <v>109</v>
      </c>
      <c s="42">
        <v>2016</v>
      </c>
      <c s="47">
        <v>1234.5599999999999</v>
      </c>
    </row>
    <row>
      <c r="C33" s="58" t="s">
        <v>109</v>
      </c>
      <c s="42">
        <v>2017</v>
      </c>
      <c s="47">
        <v>1234.5599999999999</v>
      </c>
    </row>
    <row>
      <c r="C34" s="58" t="s">
        <v>109</v>
      </c>
      <c s="42">
        <v>2018</v>
      </c>
      <c s="47">
        <v>1234.5599999999999</v>
      </c>
    </row>
    <row>
      <c r="C35" s="58" t="s">
        <v>109</v>
      </c>
      <c s="42">
        <v>2019</v>
      </c>
      <c s="47">
        <v>1234.5599999999999</v>
      </c>
    </row>
    <row>
      <c r="C36" s="58" t="s">
        <v>109</v>
      </c>
      <c s="42">
        <v>2020</v>
      </c>
      <c s="47">
        <v>1234.5599999999999</v>
      </c>
    </row>
    <row>
      <c r="C37" s="58" t="s">
        <v>109</v>
      </c>
      <c s="42">
        <v>2021</v>
      </c>
      <c s="47">
        <v>1234.5599999999999</v>
      </c>
    </row>
    <row>
      <c r="C38" s="58" t="s">
        <v>109</v>
      </c>
      <c s="42">
        <v>2022</v>
      </c>
      <c s="47">
        <v>1234.5599999999999</v>
      </c>
    </row>
    <row>
      <c r="C39" s="58" t="s">
        <v>109</v>
      </c>
      <c s="42">
        <v>2023</v>
      </c>
      <c s="47">
        <v>1234.5599999999999</v>
      </c>
    </row>
    <row>
      <c r="C40" s="58" t="s">
        <v>109</v>
      </c>
      <c s="42">
        <v>2024</v>
      </c>
      <c s="47">
        <v>1234.5599999999999</v>
      </c>
    </row>
    <row>
      <c r="C41" s="58" t="s">
        <v>72</v>
      </c>
      <c s="36" t="s">
        <v>23</v>
      </c>
      <c s="30">
        <v>1234.5599999999999</v>
      </c>
    </row>
    <row>
      <c r="C42" s="58" t="s">
        <v>72</v>
      </c>
      <c s="40" t="s">
        <v>127</v>
      </c>
      <c s="5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
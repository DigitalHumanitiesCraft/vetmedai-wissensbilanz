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0065"/>
  </bookViews>
  <sheets>
    <sheet name="Tab" sheetId="1" r:id="rId1"/>
    <sheet name="Tabelle1" sheetId="2" state="hidden" r:id="rId2"/>
    <sheet name="XLCubedFormats" sheetId="3" state="hidden" r:id="rId3"/>
  </sheets>
  <definedNames>
    <definedName name="_xlnm.Print_Area" localSheetId="0">Tab!$A$1:$Q$33</definedName>
    <definedName name="XL3DisableCameraObjects" hidden="1">XLCubedFormats!A1</definedName>
    <definedName name="XL3ObjLocation89d8c2db_c154_426f_9ad5_e4ef78dc413b">Tabelle1!$A$8</definedName>
    <definedName name="XL3ObjLocationc219849e_a20c_4ba7_94f4_7bfb2e540f0c">Tab!$A$8</definedName>
  </definedNames>
  <calcPr calcId="40001"/>
</workbook>
</file>

<file path=xl/sharedStrings.xml><?xml version="1.0" encoding="utf-8"?>
<sst xmlns="http://schemas.openxmlformats.org/spreadsheetml/2006/main" uniqueCount="84">
  <si>
    <t>Semester und Datenstichtag</t>
  </si>
  <si>
    <t>Universität</t>
  </si>
  <si>
    <t>Altersklasse Erstzugelassene</t>
  </si>
  <si>
    <t>Frauen</t>
  </si>
  <si>
    <t>Slicer Button Background</t>
  </si>
  <si>
    <t>Grid Title</t>
  </si>
  <si>
    <t>Oth Written Member</t>
  </si>
  <si>
    <t>Fill in Grid Name, Dimension or Both</t>
  </si>
  <si>
    <t>[ALLG Wertart].[Wertart]</t>
  </si>
  <si>
    <t>Staatengruppe (Ö, EU, andere)</t>
  </si>
  <si>
    <t>Absolutwert</t>
  </si>
  <si>
    <t>All Marital Status</t>
  </si>
  <si>
    <t>Male</t>
  </si>
  <si>
    <t>Member1 Name</t>
  </si>
  <si>
    <t>Anmerkung: Ab dem WS 2016 erfolgt die zähltechnische Abbildung der Studierenden auf Basis des Verteilungsschlüssels gemäß § 22 Abs. 2 UHSBV.</t>
  </si>
  <si>
    <t>19 Jahre</t>
  </si>
  <si>
    <t>&lt;-- default Column Member Format</t>
  </si>
  <si>
    <t>Gesamt</t>
  </si>
  <si>
    <t>Alternate Rows</t>
  </si>
  <si>
    <t>&lt;--  writeable cell format</t>
  </si>
  <si>
    <t>Ordentliche Erstzugelassene</t>
  </si>
  <si>
    <t xml:space="preserve"> </t>
  </si>
  <si>
    <t>Slicer Title</t>
  </si>
  <si>
    <t>Calendar Period</t>
  </si>
  <si>
    <t>&lt;-- default cell format</t>
  </si>
  <si>
    <t>Written Member</t>
  </si>
  <si>
    <t>Dimension/Column</t>
  </si>
  <si>
    <t>4) Prozentangaben werden standardmäßig mit einer Kommastelle angezeigt</t>
  </si>
  <si>
    <t>[SU Studierende].[Altersklasse Erstzugelassene]</t>
  </si>
  <si>
    <t>Männer</t>
  </si>
  <si>
    <t>Slice Name (Optional)</t>
  </si>
  <si>
    <t>Measures</t>
  </si>
  <si>
    <t>Studienjahr 2024/25</t>
  </si>
  <si>
    <t>ALLG Semester.Studienjahr (Langbezeichnung)</t>
  </si>
  <si>
    <t>20 Jahre</t>
  </si>
  <si>
    <t>26 bis 30 Jahre</t>
  </si>
  <si>
    <t>Customer</t>
  </si>
  <si>
    <t>-All Customer</t>
  </si>
  <si>
    <t>Default Alternate Row Member Format --&gt;</t>
  </si>
  <si>
    <t>Bundesland Universität</t>
  </si>
  <si>
    <t>31 Jahre und älter</t>
  </si>
  <si>
    <t>Slicer Item</t>
  </si>
  <si>
    <t>&lt;-- default Slicer Member Format</t>
  </si>
  <si>
    <t>Default Row Member Format --&gt;</t>
  </si>
  <si>
    <t>Grid/Table Name</t>
  </si>
  <si>
    <t>[Measures]</t>
  </si>
  <si>
    <t>Studierende Universitäten</t>
  </si>
  <si>
    <t>ord. Neuzugelassene (PN)</t>
  </si>
  <si>
    <t>&lt;-- writeable Slicer Member Format</t>
  </si>
  <si>
    <t>Slice Format 1</t>
  </si>
  <si>
    <t>&lt;-- Gesamtzeile</t>
  </si>
  <si>
    <t>3) Formatierung der Gesamtspalte und -zeile (siehe E25:E26)</t>
  </si>
  <si>
    <t>Frauen-/Männeranteil in %</t>
  </si>
  <si>
    <t>bis 18 Jahre</t>
  </si>
  <si>
    <t>Slicer Button</t>
  </si>
  <si>
    <t>+2009</t>
  </si>
  <si>
    <t>&lt;-- default alternate row cell format</t>
  </si>
  <si>
    <t>&lt;--  written cell format</t>
  </si>
  <si>
    <t>Ordentliche Neuzugelassene an Universitäten nach Altersklassen</t>
  </si>
  <si>
    <t>Display Formats For:</t>
  </si>
  <si>
    <t>Enabled?</t>
  </si>
  <si>
    <t>&lt;-- Gesamtspalte</t>
  </si>
  <si>
    <t>Datenprüfung und -aufbereitung: bmfwf, Abt. I/10</t>
  </si>
  <si>
    <t>Bundesland</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</si>
  <si>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</si>
  <si>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</si>
  <si>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</si>
  <si>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</si>
  <si>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</si>
  <si>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</si>
  <si>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</si>
  <si>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</si>
  <si>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</si>
  <si>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</si>
  <si>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</si>
  <si>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</si>
  <si>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Writeable Member</t>
  </si>
  <si>
    <t>Geschlecht</t>
  </si>
  <si>
    <t>21 bis 25 Jahre</t>
  </si>
  <si>
    <t>Slicer Button Selected</t>
  </si>
  <si>
    <t>&lt;--  summary written cell</t>
  </si>
  <si>
    <t>Formatierungsrichtlinien</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</si>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</sst>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4">
    <numFmt numFmtId="164" formatCode="0.0%"/>
    <numFmt numFmtId="165" formatCode=";;;"/>
    <numFmt numFmtId="166" formatCode="0.0%;0.0%"/>
    <numFmt numFmtId="167" formatCode="0%;0%"/>
  </numFmts>
  <fonts count="40">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sz val="10"/>
      <color rgb="FF262626"/>
      <name val="Tahoma"/>
      <family val="2"/>
    </font>
    <font>
      <b/>
      <sz val="10"/>
      <name val="Tahoma"/>
      <family val="2"/>
    </font>
    <font>
      <b/>
      <sz val="8"/>
      <color indexed="23"/>
      <name val="Tahoma"/>
      <family val="2"/>
    </font>
    <font>
      <sz val="10"/>
      <color rgb="FF595959"/>
      <name val="Tahoma"/>
      <family val="2"/>
    </font>
    <font>
      <sz val="9"/>
      <name val="Tahoma"/>
      <family val="2"/>
    </font>
    <font>
      <b/>
      <sz val="11"/>
      <color rgb="FF000000"/>
      <name val="Tahoma"/>
      <family val="2"/>
    </font>
    <font>
      <sz val="11"/>
      <color rgb="FF000000"/>
      <name val="Tahoma"/>
      <family val="2"/>
    </font>
    <font>
      <sz val="8"/>
      <name val="Tahoma"/>
      <family val="2"/>
    </font>
    <font>
      <sz val="10"/>
      <name val="Tahoma"/>
      <family val="2"/>
    </font>
    <font>
      <sz val="10"/>
      <color theme="1" tint="0.34998626667073579"/>
      <name val="Tahoma"/>
      <family val="2"/>
    </font>
    <font>
      <sz val="10"/>
      <color theme="1" tint="0.0499893185216834"/>
      <name val="Tahoma"/>
      <family val="2"/>
    </font>
    <font>
      <sz val="10"/>
      <color theme="1" tint="0.14996795556505021"/>
      <name val="Tahoma"/>
      <family val="2"/>
    </font>
    <font>
      <b/>
      <sz val="11"/>
      <color theme="1"/>
      <name val="Calibri"/>
      <family val="2"/>
      <scheme val="minor"/>
    </font>
    <font>
      <sz val="10"/>
      <color rgb="FFFF0000"/>
      <name val="Tahoma"/>
      <family val="2"/>
    </font>
    <font>
      <b/>
      <sz val="8"/>
      <color rgb="FFFF0000"/>
      <name val="Tahoma"/>
      <family val="2"/>
    </font>
    <font>
      <sz val="11"/>
      <color theme="0"/>
      <name val="Calibri"/>
      <family val="2"/>
      <scheme val="minor"/>
    </font>
    <font>
      <sz val="9"/>
      <color theme="1" tint="0.250007629627369"/>
      <name val="+mn-lt"/>
    </font>
    <font>
      <sz val="9"/>
      <color theme="1" tint="0.34998626667073579"/>
      <name val="+mn-lt"/>
    </font>
    <font>
      <b/>
      <sz val="11"/>
      <color theme="3"/>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0"/>
      <color theme="1"/>
      <name val="Calibri"/>
      <family val="2"/>
      <scheme val="minor"/>
    </font>
    <font>
      <i/>
      <sz val="11"/>
      <color rgb="FF7F7F7F"/>
      <name val="Calibri"/>
      <family val="2"/>
      <scheme val="minor"/>
    </font>
    <font>
      <b/>
      <sz val="18"/>
      <color theme="3"/>
      <name val="Cambria"/>
      <family val="2"/>
      <scheme val="major"/>
    </font>
    <font>
      <sz val="11"/>
      <color rgb="FFFA7D00"/>
      <name val="Calibri"/>
      <family val="2"/>
      <scheme val="minor"/>
    </font>
    <font>
      <b/>
      <sz val="14"/>
      <color theme="1" tint="0.34998626667073579"/>
      <name val="+mn-lt"/>
    </font>
    <font>
      <sz val="11"/>
      <color rgb="FF9C0006"/>
      <name val="Calibri"/>
      <family val="2"/>
      <scheme val="minor"/>
    </font>
    <font>
      <sz val="10"/>
      <color theme="1" tint="0.34998626667073579"/>
      <name val="+mn-lt"/>
    </font>
    <font>
      <b/>
      <sz val="13"/>
      <color theme="3"/>
      <name val="Calibri"/>
      <family val="2"/>
      <scheme val="minor"/>
    </font>
    <font>
      <sz val="11"/>
      <color rgb="FF006100"/>
      <name val="Calibri"/>
      <family val="2"/>
      <scheme val="min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s>
  <fills count="14">
    <fill>
      <patternFill patternType="none"/>
    </fill>
    <fill>
      <patternFill patternType="gray125"/>
    </fill>
    <fill>
      <patternFill patternType="solid">
        <fgColor rgb="FFC6D9F1"/>
        <bgColor rgb="FFFFFFFF"/>
      </patternFill>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0C0C0"/>
        <bgColor rgb="FFFFFFFF"/>
      </patternFill>
    </fill>
    <fill>
      <patternFill patternType="solid">
        <fgColor indexed="43"/>
        <bgColor indexed="64"/>
      </patternFill>
    </fill>
    <fill>
      <patternFill patternType="solid">
        <fgColor indexed="40"/>
        <bgColor indexed="64"/>
      </patternFill>
    </fill>
    <fill>
      <patternFill patternType="solid">
        <fgColor rgb="FFC0C0C0"/>
        <bgColor indexed="64"/>
      </patternFill>
    </fill>
    <fill>
      <patternFill patternType="solid">
        <fgColor rgb="FFDDDDDD"/>
        <bgColor indexed="64"/>
      </patternFill>
    </fill>
    <fill>
      <patternFill patternType="solid">
        <fgColor rgb="FFD9D9D9"/>
        <bgColor indexed="64"/>
      </patternFill>
    </fill>
    <fill>
      <patternFill patternType="solid">
        <fgColor indexed="42"/>
        <bgColor indexed="64"/>
      </patternFill>
    </fill>
    <fill>
      <patternFill patternType="solid">
        <fgColor rgb="FFDDDDDD"/>
        <bgColor rgb="FFFFFFFF"/>
      </patternFill>
    </fill>
  </fills>
  <borders count="9">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rgb="FFC0C0C0"/>
      </left>
      <right/>
      <top style="hair">
        <color rgb="FFC0C0C0"/>
      </top>
      <bottom/>
      <diagonal/>
    </border>
    <border>
      <left style="hair">
        <color indexed="22"/>
      </left>
      <right style="hair">
        <color indexed="22"/>
      </right>
      <top style="hair">
        <color indexed="22"/>
      </top>
      <bottom style="hair">
        <color indexed="22"/>
      </bottom>
      <diagonal/>
    </border>
    <border>
      <left style="thin">
        <color indexed="23"/>
      </left>
      <right/>
      <top/>
      <bottom/>
      <diagonal/>
    </border>
    <border>
      <left style="hair">
        <color rgb="FFC0C0C0"/>
      </left>
      <right/>
      <top style="hair">
        <color rgb="FFC0C0C0"/>
      </top>
      <bottom style="hair">
        <color rgb="FFC0C0C0"/>
      </bottom>
      <diagonal/>
    </border>
    <border>
      <left style="hair">
        <color rgb="FFC0C0C0"/>
      </left>
      <right style="hair">
        <color rgb="FFC0C0C0"/>
      </right>
      <top style="hair">
        <color rgb="FFC0C0C0"/>
      </top>
      <bottom/>
      <diagonal/>
    </border>
    <border>
      <left/>
      <right style="hair">
        <color rgb="FFC0C0C0"/>
      </right>
      <top style="hair">
        <color rgb="FFC0C0C0"/>
      </top>
      <bottom/>
      <diagonal/>
    </border>
  </borders>
  <cellStyleXfs count="3">
    <xf numFmtId="0" fontId="0" fillId="0" borderId="0"/>
    <xf numFmtId="0" fontId="1" fillId="0" borderId="0"/>
    <xf numFmtId="9" fontId="0" fillId="0" borderId="0" applyFont="0" applyFill="0" applyBorder="0" applyAlignment="0" applyProtection="0"/>
  </cellStyleXfs>
  <cellXfs count="81">
    <xf numFmtId="0" fontId="0" fillId="0" borderId="0" xfId="0"/>
    <xf numFmtId="0" fontId="2" fillId="0" borderId="0" xfId="0" applyFont="1" applyFill="1" applyBorder="1"/>
    <xf numFmtId="3" fontId="3" fillId="0" borderId="0" xfId="0" applyNumberFormat="1" applyFont="1" applyFill="1" applyBorder="1"/>
    <xf numFmtId="0" fontId="4" fillId="0" borderId="0" xfId="0" applyFont="1" applyFill="1" applyAlignment="1">
      <alignment vertical="top"/>
    </xf>
    <xf numFmtId="0" fontId="5" fillId="0" borderId="1" xfId="0" quotePrefix="1" applyFont="1" applyFill="1" applyBorder="1" applyAlignment="1" applyProtection="1">
      <alignment horizontal="right"/>
    </xf>
    <xf numFmtId="0" fontId="6" fillId="0" borderId="0" xfId="0" applyFont="1"/>
    <xf numFmtId="0" fontId="7" fillId="0" borderId="0" xfId="0" applyFont="1"/>
    <xf numFmtId="0" fontId="4" fillId="0" borderId="0" xfId="0" quotePrefix="1" applyFont="1" applyFill="1" applyAlignment="1">
      <alignment horizontal="left" vertical="top" wrapText="1"/>
    </xf>
    <xf numFmtId="0" fontId="0" fillId="0" borderId="0" xfId="0" applyFill="1"/>
    <xf numFmtId="0" fontId="5" fillId="0" borderId="1" xfId="0" applyFont="1" applyFill="1" applyBorder="1" applyAlignment="1" applyProtection="1">
      <alignment horizontal="right"/>
    </xf>
    <xf numFmtId="0" fontId="8" fillId="2" borderId="2" xfId="0" quotePrefix="1" applyFont="1" applyFill="1" applyBorder="1" applyAlignment="1" applyProtection="1"/>
    <xf numFmtId="0" fontId="9" fillId="3" borderId="0" xfId="1" applyFont="1" applyFill="1" applyBorder="1" applyAlignment="1">
      <alignment horizontal="center"/>
    </xf>
    <xf numFmtId="0" fontId="10" fillId="0" borderId="0" xfId="0" applyFont="1" applyFill="1" applyAlignment="1">
      <alignment vertical="top"/>
    </xf>
    <xf numFmtId="0" fontId="0" fillId="0" borderId="0" xfId="0" applyFill="1" applyAlignment="1"/>
    <xf numFmtId="0" fontId="4" fillId="0" borderId="0" xfId="0" applyFont="1" applyFill="1" applyAlignment="1"/>
    <xf numFmtId="0" fontId="11" fillId="0" borderId="0" xfId="0" applyFont="1" applyFill="1" applyAlignment="1">
      <alignment vertical="center"/>
    </xf>
    <xf numFmtId="0" fontId="4" fillId="0" borderId="0" xfId="0" applyFont="1" applyFill="1" applyAlignment="1">
      <alignment vertical="top" wrapText="1"/>
    </xf>
    <xf numFmtId="0" fontId="12" fillId="0" borderId="0" xfId="1" applyFont="1"/>
    <xf numFmtId="0" fontId="13" fillId="0" borderId="0" xfId="0" applyNumberFormat="1" applyFont="1" applyAlignment="1"/>
    <xf numFmtId="3" fontId="5" fillId="4" borderId="1" xfId="0" applyNumberFormat="1" applyFont="1" applyFill="1" applyBorder="1" applyAlignment="1" applyProtection="1">
      <alignment horizontal="right" vertical="center"/>
    </xf>
    <xf numFmtId="0" fontId="14" fillId="5" borderId="0" xfId="0" applyFont="1" applyFill="1" applyAlignment="1"/>
    <xf numFmtId="0" fontId="5" fillId="0" borderId="1" xfId="0" quotePrefix="1" applyFont="1" applyFill="1" applyBorder="1" applyAlignment="1" applyProtection="1">
      <alignment horizontal="center"/>
    </xf>
    <xf numFmtId="0" fontId="15" fillId="0" borderId="0" xfId="0" applyFont="1"/>
    <xf numFmtId="3" fontId="5" fillId="0" borderId="1" xfId="0" applyNumberFormat="1" applyFont="1" applyFill="1" applyBorder="1" applyAlignment="1" applyProtection="1"/>
    <xf numFmtId="0" fontId="0" fillId="0" borderId="0" xfId="0" applyBorder="1"/>
    <xf numFmtId="0" fontId="5" fillId="4" borderId="1" xfId="0" applyFont="1" applyFill="1" applyBorder="1" applyAlignment="1" applyProtection="1">
      <alignment vertical="center"/>
    </xf>
    <xf numFmtId="0" fontId="12" fillId="5" borderId="0" xfId="1" applyFont="1" applyFill="1"/>
    <xf numFmtId="3" fontId="5" fillId="4" borderId="1" xfId="0" applyNumberFormat="1" applyFont="1" applyFill="1" applyBorder="1" applyAlignment="1" applyProtection="1">
      <alignment vertical="center"/>
    </xf>
    <xf numFmtId="0" fontId="5" fillId="0" borderId="3" xfId="0" applyFont="1" applyBorder="1" applyAlignment="1" applyProtection="1">
      <alignment horizontal="right"/>
    </xf>
    <xf numFmtId="0" fontId="13" fillId="0" borderId="0" xfId="0" applyFont="1"/>
    <xf numFmtId="164" fontId="0" fillId="0" borderId="0" xfId="2" applyNumberFormat="1" applyFont="1"/>
    <xf numFmtId="0" fontId="5" fillId="0" borderId="1" xfId="0" quotePrefix="1" applyFont="1" applyBorder="1" applyAlignment="1" applyProtection="1"/>
    <xf numFmtId="164" fontId="5" fillId="6" borderId="1" xfId="0" applyNumberFormat="1" applyFont="1" applyFill="1" applyBorder="1" applyAlignment="1" applyProtection="1">
      <alignment horizontal="right"/>
    </xf>
    <xf numFmtId="164" fontId="5" fillId="4" borderId="1" xfId="0" applyNumberFormat="1" applyFont="1" applyFill="1" applyBorder="1" applyAlignment="1" applyProtection="1">
      <alignment horizontal="right" vertical="center"/>
    </xf>
    <xf numFmtId="0" fontId="13" fillId="0" borderId="0" xfId="0" applyFont="1" applyAlignment="1">
      <alignment horizontal="center"/>
    </xf>
    <xf numFmtId="164" fontId="5" fillId="6" borderId="1" xfId="0" quotePrefix="1" applyNumberFormat="1" applyFont="1" applyFill="1" applyBorder="1" applyAlignment="1" applyProtection="1">
      <alignment horizontal="center"/>
    </xf>
    <xf numFmtId="0" fontId="7" fillId="0" borderId="0" xfId="0" applyFont="1" applyAlignment="1">
      <alignment horizontal="right"/>
    </xf>
    <xf numFmtId="0" fontId="16" fillId="0" borderId="0" xfId="0" applyFont="1"/>
    <xf numFmtId="3" fontId="5" fillId="0" borderId="1" xfId="0" applyNumberFormat="1" applyFont="1" applyFill="1" applyBorder="1" applyAlignment="1" applyProtection="1">
      <alignment horizontal="right"/>
    </xf>
    <xf numFmtId="0" fontId="5" fillId="0" borderId="1" xfId="0" applyFont="1" applyFill="1" applyBorder="1" applyAlignment="1" applyProtection="1">
      <alignment vertical="center"/>
    </xf>
    <xf numFmtId="0" fontId="16" fillId="0" borderId="4" xfId="0" quotePrefix="1" applyFont="1" applyFill="1" applyBorder="1" applyAlignment="1"/>
    <xf numFmtId="0" fontId="13" fillId="7" borderId="0" xfId="0" applyNumberFormat="1" applyFont="1" applyFill="1" applyAlignment="1"/>
    <xf numFmtId="0" fontId="13" fillId="0" borderId="0" xfId="0" applyNumberFormat="1" applyFont="1"/>
    <xf numFmtId="3" fontId="13" fillId="8" borderId="0" xfId="0" applyNumberFormat="1" applyFont="1" applyFill="1" applyAlignment="1"/>
    <xf numFmtId="0" fontId="7" fillId="0" borderId="0" xfId="0" applyFont="1" applyAlignment="1">
      <alignment horizontal="center"/>
    </xf>
    <xf numFmtId="0" fontId="17" fillId="0" borderId="0" xfId="0" applyFont="1"/>
    <xf numFmtId="0" fontId="0" fillId="0" borderId="0" xfId="0" applyFont="1"/>
    <xf numFmtId="164" fontId="5" fillId="9" borderId="3" xfId="0" applyNumberFormat="1" applyFont="1" applyFill="1" applyBorder="1" applyAlignment="1" applyProtection="1">
      <alignment horizontal="center"/>
    </xf>
    <xf numFmtId="3" fontId="16" fillId="0" borderId="4" xfId="0" applyNumberFormat="1" applyFont="1" applyFill="1" applyBorder="1" applyAlignment="1"/>
    <xf numFmtId="0" fontId="5" fillId="0" borderId="3" xfId="0" applyFont="1" applyBorder="1" applyAlignment="1" applyProtection="1">
      <alignment horizontal="center"/>
    </xf>
    <xf numFmtId="0" fontId="4" fillId="0" borderId="0" xfId="0" quotePrefix="1" applyFont="1" applyFill="1" applyAlignment="1">
      <alignment vertical="top"/>
    </xf>
    <xf numFmtId="3" fontId="13" fillId="0" borderId="0" xfId="0" applyNumberFormat="1" applyFont="1" applyAlignment="1"/>
    <xf numFmtId="164" fontId="5" fillId="9" borderId="3" xfId="0" applyNumberFormat="1" applyFont="1" applyFill="1" applyBorder="1" applyAlignment="1" applyProtection="1">
      <alignment horizontal="right"/>
    </xf>
    <xf numFmtId="0" fontId="18" fillId="0" borderId="0" xfId="0" applyFont="1"/>
    <xf numFmtId="0" fontId="9" fillId="3" borderId="5" xfId="1" applyFont="1" applyFill="1" applyBorder="1" applyAlignment="1">
      <alignment horizontal="center"/>
    </xf>
    <xf numFmtId="0" fontId="5" fillId="10" borderId="3" xfId="0" applyFont="1" applyFill="1" applyBorder="1" applyAlignment="1" applyProtection="1">
      <alignment horizontal="right"/>
    </xf>
    <xf numFmtId="0" fontId="5" fillId="11" borderId="6" xfId="0" applyFont="1" applyFill="1" applyBorder="1" applyAlignment="1" applyProtection="1">
      <alignment vertical="center"/>
    </xf>
    <xf numFmtId="2" fontId="13" fillId="0" borderId="0" xfId="0" applyNumberFormat="1" applyFont="1"/>
    <xf numFmtId="0" fontId="4" fillId="0" borderId="0" xfId="0" quotePrefix="1" applyFont="1" applyFill="1" applyAlignment="1"/>
    <xf numFmtId="0" fontId="5" fillId="10" borderId="7" xfId="0" applyFont="1" applyFill="1" applyBorder="1" applyAlignment="1" applyProtection="1">
      <alignment horizontal="right"/>
    </xf>
    <xf numFmtId="0" fontId="13" fillId="0" borderId="0" xfId="0" quotePrefix="1" applyFont="1" applyFill="1"/>
    <xf numFmtId="0" fontId="13" fillId="0" borderId="0" xfId="0" quotePrefix="1" applyFont="1"/>
    <xf numFmtId="0" fontId="19" fillId="0" borderId="0" xfId="0" applyFont="1"/>
    <xf numFmtId="0" fontId="13" fillId="0" borderId="0" xfId="0" applyFont="1" applyFill="1" applyBorder="1" applyAlignment="1">
      <alignment vertical="center"/>
    </xf>
    <xf numFmtId="3" fontId="13" fillId="12" borderId="0" xfId="0" applyNumberFormat="1" applyFont="1" applyFill="1" applyAlignment="1"/>
    <xf numFmtId="3" fontId="5" fillId="13" borderId="1" xfId="0" applyNumberFormat="1" applyFont="1" applyFill="1" applyBorder="1" applyAlignment="1" applyProtection="1">
      <alignment horizontal="right"/>
    </xf>
    <xf numFmtId="165" fontId="13" fillId="0" borderId="0" xfId="0" applyNumberFormat="1" applyFont="1"/>
    <xf numFmtId="0" fontId="13" fillId="0" borderId="0" xfId="0" applyNumberFormat="1" applyFont="1" applyFill="1" applyBorder="1" applyAlignment="1"/>
    <xf numFmtId="0" fontId="13" fillId="7" borderId="0" xfId="0" applyFont="1" applyFill="1"/>
    <xf numFmtId="0" fontId="5" fillId="13" borderId="1" xfId="0" applyFont="1" applyFill="1" applyBorder="1" applyAlignment="1" applyProtection="1">
      <alignment horizontal="right"/>
    </xf>
    <xf numFmtId="0" fontId="5" fillId="11" borderId="1" xfId="0" applyFont="1" applyFill="1" applyBorder="1" applyAlignment="1" applyProtection="1">
      <alignment vertical="center"/>
    </xf>
    <xf numFmtId="0" fontId="16" fillId="0" borderId="4" xfId="0" applyFont="1" applyFill="1" applyBorder="1" applyAlignment="1">
      <alignment vertical="center"/>
    </xf>
    <xf numFmtId="3" fontId="6" fillId="0" borderId="0" xfId="0" applyNumberFormat="1" applyFont="1" applyFill="1" applyAlignment="1"/>
    <xf numFmtId="0" fontId="12" fillId="7" borderId="0" xfId="1" applyFont="1" applyFill="1"/>
    <xf numFmtId="0" fontId="5" fillId="0" borderId="7" xfId="0" quotePrefix="1" applyFont="1" applyBorder="1" applyAlignment="1" applyProtection="1">
      <alignment horizontal="right"/>
    </xf>
    <xf numFmtId="0" fontId="16" fillId="0" borderId="4" xfId="0" quotePrefix="1" applyFont="1" applyFill="1" applyBorder="1" applyAlignment="1">
      <alignment horizontal="right"/>
    </xf>
    <xf numFmtId="0" fontId="5" fillId="0" borderId="8" xfId="0" quotePrefix="1" applyFont="1" applyBorder="1" applyAlignment="1" applyProtection="1">
      <alignment horizontal="right"/>
    </xf>
    <xf numFmtId="0" fontId="5" fillId="0" borderId="0" xfId="0" applyFont="1" applyFill="1" applyBorder="1" applyAlignment="1">
      <alignment vertical="center"/>
    </xf>
    <xf numFmtId="3" fontId="13" fillId="7" borderId="0" xfId="0" applyNumberFormat="1" applyFont="1" applyFill="1" applyAlignment="1"/>
    <xf numFmtId="0" fontId="6" fillId="0" borderId="0" xfId="0" applyFont="1" applyFill="1" applyBorder="1" applyAlignment="1">
      <alignment vertical="center"/>
    </xf>
    <xf numFmtId="0" fontId="17" fillId="0" borderId="0" xfId="0" applyFont="1" applyFill="1" applyAlignment="1"/>
  </cellXfs>
  <cellStyles count="3">
    <cellStyle name="Normal" xfId="0" builtinId="0"/>
    <cellStyle name="Normal_Sheet1" xfId="1"/>
    <cellStyle name="Percent" xfId="2" builtinId="5"/>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strRef>
          <c:f>Tab!$A$2</c:f>
          <c:strCache/>
        </c:strRef>
      </c:tx>
      <c:overlay val="0"/>
      <c:spPr>
        <a:noFill/>
        <a:ln>
          <a:noFill/>
        </a:ln>
      </c:spPr>
      <c:txPr>
        <a:bodyPr/>
        <a:lstStyle/>
        <a:p>
          <a:pPr>
            <a:defRPr sz="1400" b="1">
              <a:solidFill>
                <a:schemeClr val="dk1">
                  <a:lumMod val="65001"/>
                  <a:lumOff val="34999"/>
                </a:schemeClr>
              </a:solidFill>
              <a:latin typeface="+mn-lt"/>
            </a:defRPr>
          </a:pPr>
          <a:endParaRPr sz="1400" b="1">
            <a:solidFill>
              <a:schemeClr val="dk1">
                <a:lumMod val="65001"/>
                <a:lumOff val="34999"/>
              </a:schemeClr>
            </a:solidFill>
            <a:latin typeface="+mn-lt"/>
          </a:endParaRPr>
        </a:p>
      </c:txPr>
    </c:title>
    <c:plotArea>
      <c:barChart>
        <c:barDir val="bar"/>
        <c:grouping val="clustered"/>
        <c:varyColors val="0"/>
        <c:ser>
          <c:idx val="1"/>
          <c:order val="0"/>
          <c:tx>
            <c:strRef>
              <c:f>Tabelle1!$F$18</c:f>
              <c:strCache/>
            </c:strRef>
          </c:tx>
          <c:spPr>
            <a:solidFill>
              <a:srgbClr val="1B39BB">
                <a:alpha val="80000"/>
              </a:srgbClr>
            </a:solidFill>
            <a:ln>
              <a:noFill/>
            </a:ln>
          </c:spPr>
          <c:invertIfNegative val="0"/>
          <c:dLbls>
            <c:numFmt formatCode="0.0%;0.0%" sourceLinked="0"/>
            <c:spPr>
              <a:noFill/>
              <a:ln>
                <a:noFill/>
              </a:ln>
            </c:spPr>
            <c:txPr>
              <a:bodyPr/>
              <a:lstStyle/>
              <a:p>
                <a:pPr>
                  <a:defRPr sz="900">
                    <a:solidFill>
                      <a:schemeClr val="dk1">
                        <a:lumMod val="74999"/>
                        <a:lumOff val="25001"/>
                      </a:schemeClr>
                    </a:solidFill>
                    <a:latin typeface="+mn-lt"/>
                  </a:defRPr>
                </a:pPr>
                <a:endParaRPr sz="900">
                  <a:solidFill>
                    <a:schemeClr val="dk1">
                      <a:lumMod val="74999"/>
                      <a:lumOff val="25001"/>
                    </a:schemeClr>
                  </a:solidFill>
                  <a:latin typeface="+mn-lt"/>
                </a:endParaRPr>
              </a:p>
            </c:txPr>
            <c:dLblPos val="outEnd"/>
            <c:showLegendKey val="0"/>
            <c:showVal val="1"/>
            <c:showCatName val="0"/>
            <c:showSerName val="0"/>
            <c:showPercent val="0"/>
            <c:showBubbleSize val="0"/>
            <c:showLeaderLines val="0"/>
          </c:dLbls>
          <c:cat>
            <c:strRef>
              <c:f>Tabelle1!$A$19:$A$24</c:f>
              <c:strCache/>
            </c:strRef>
          </c:cat>
          <c:val>
            <c:numRef>
              <c:f>Tabelle1!$F$19:$F$24</c:f>
              <c:numCache/>
            </c:numRef>
          </c:val>
        </c:ser>
        <c:ser>
          <c:idx val="0"/>
          <c:order val="1"/>
          <c:tx>
            <c:strRef>
              <c:f>Tabelle1!$E$18</c:f>
              <c:strCache/>
            </c:strRef>
          </c:tx>
          <c:spPr>
            <a:solidFill>
              <a:srgbClr val="DD2327">
                <a:alpha val="80000"/>
              </a:srgbClr>
            </a:solidFill>
            <a:ln>
              <a:noFill/>
            </a:ln>
          </c:spPr>
          <c:invertIfNegative val="0"/>
          <c:dLbls>
            <c:numFmt formatCode="0.0%;0.0%" sourceLinked="0"/>
            <c:spPr>
              <a:noFill/>
              <a:ln>
                <a:noFill/>
              </a:ln>
            </c:spPr>
            <c:txPr>
              <a:bodyPr/>
              <a:lstStyle/>
              <a:p>
                <a:pPr>
                  <a:defRPr sz="900">
                    <a:solidFill>
                      <a:schemeClr val="dk1">
                        <a:lumMod val="74999"/>
                        <a:lumOff val="25001"/>
                      </a:schemeClr>
                    </a:solidFill>
                    <a:latin typeface="+mn-lt"/>
                  </a:defRPr>
                </a:pPr>
                <a:endParaRPr sz="900">
                  <a:solidFill>
                    <a:schemeClr val="dk1">
                      <a:lumMod val="74999"/>
                      <a:lumOff val="25001"/>
                    </a:schemeClr>
                  </a:solidFill>
                  <a:latin typeface="+mn-lt"/>
                </a:endParaRPr>
              </a:p>
            </c:txPr>
            <c:dLblPos val="outEnd"/>
            <c:showLegendKey val="0"/>
            <c:showVal val="1"/>
            <c:showCatName val="0"/>
            <c:showSerName val="0"/>
            <c:showPercent val="0"/>
            <c:showBubbleSize val="0"/>
            <c:showLeaderLines val="0"/>
          </c:dLbls>
          <c:cat>
            <c:strRef>
              <c:f>Tabelle1!$A$19:$A$24</c:f>
              <c:strCache/>
            </c:strRef>
          </c:cat>
          <c:val>
            <c:numRef>
              <c:f>Tabelle1!$E$19:$E$24</c:f>
              <c:numCache/>
            </c:numRef>
          </c:val>
        </c:ser>
        <c:gapWidth val="50"/>
        <c:overlap val="100"/>
        <c:axId val="0"/>
        <c:axId val="1"/>
      </c:barChart>
      <c:catAx>
        <c:axId val="0"/>
        <c:scaling>
          <c:orientation val="minMax"/>
        </c:scaling>
        <c:delete val="0"/>
        <c:axPos val="l"/>
        <c:majorTickMark val="none"/>
        <c:minorTickMark val="none"/>
        <c:tickLblPos val="low"/>
        <c:spPr>
          <a:ln>
            <a:solidFill>
              <a:schemeClr val="dk1">
                <a:lumMod val="15000"/>
                <a:lumOff val="85000"/>
              </a:schemeClr>
            </a:solidFill>
          </a:ln>
        </c:spPr>
        <c:txPr>
          <a:bodyPr/>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1"/>
        <c:crosses val="autoZero"/>
        <c:auto val="1"/>
        <c:lblAlgn val="ctr"/>
        <c:lblOffset val="100"/>
      </c:catAx>
      <c:valAx>
        <c:axId val="1"/>
        <c:scaling>
          <c:orientation val="minMax"/>
          <c:max val="0.5"/>
          <c:min val="-0.5"/>
        </c:scaling>
        <c:delete val="0"/>
        <c:axPos val="b"/>
        <c:majorGridlines>
          <c:spPr>
            <a:ln>
              <a:solidFill>
                <a:schemeClr val="lt1">
                  <a:lumMod val="85000"/>
                  <a:alpha val="70000"/>
                </a:schemeClr>
              </a:solidFill>
            </a:ln>
          </c:spPr>
        </c:majorGridlines>
        <c:numFmt formatCode="0%;0%" sourceLinked="0"/>
        <c:majorTickMark val="none"/>
        <c:minorTickMark val="none"/>
        <c:tickLblPos val="nextTo"/>
        <c:spPr>
          <a:ln>
            <a:noFill/>
          </a:ln>
        </c:spPr>
        <c:txPr>
          <a:bodyPr/>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0"/>
        <c:crosses val="autoZero"/>
        <c:crossBetween val="between"/>
      </c:valAx>
      <c:spPr>
        <a:noFill/>
        <a:ln>
          <a:solidFill>
            <a:schemeClr val="lt1">
              <a:lumMod val="85000"/>
            </a:schemeClr>
          </a:solidFill>
        </a:ln>
      </c:spPr>
    </c:plotArea>
    <c:legend>
      <c:legendPos val="b"/>
      <c:layout>
        <c:manualLayout>
          <c:xMode val="edge"/>
          <c:yMode val="edge"/>
          <c:x val="0.41767760486137578"/>
          <c:y val="0.93633299607497"/>
          <c:w val="0.2573329460330126"/>
          <c:h val="0.037000315005962667"/>
        </c:manualLayout>
      </c:layout>
      <c:overlay val="0"/>
      <c:spPr>
        <a:noFill/>
        <a:ln>
          <a:noFill/>
        </a:ln>
      </c:spPr>
      <c:txPr>
        <a:bodyPr/>
        <a:lstStyle/>
        <a:p>
          <a:pPr>
            <a:defRPr>
              <a:solidFill>
                <a:schemeClr val="dk1">
                  <a:lumMod val="65001"/>
                  <a:lumOff val="34999"/>
                </a:schemeClr>
              </a:solidFill>
              <a:latin typeface="+mn-lt"/>
            </a:defRPr>
          </a:pPr>
          <a:endParaRPr>
            <a:solidFill>
              <a:schemeClr val="dk1">
                <a:lumMod val="65001"/>
                <a:lumOff val="34999"/>
              </a:schemeClr>
            </a:solidFill>
            <a:latin typeface="+mn-lt"/>
          </a:endParaRPr>
        </a:p>
      </c:txPr>
    </c:legend>
    <c:plotVisOnly val="1"/>
    <c:dispBlanksAs val="gap"/>
    <c:showDLblsOverMax val="0"/>
  </c:chart>
  <c:spPr>
    <a:solidFill>
      <a:schemeClr val="lt1"/>
    </a:solidFill>
    <a:ln>
      <a:solidFill>
        <a:schemeClr val="dk1">
          <a:lumMod val="15000"/>
          <a:lumOff val="85000"/>
        </a:schemeClr>
      </a:solidFill>
    </a:ln>
  </c:spPr>
  <c:printSettings>
    <c:pageMargins l="0.7" r="0.7" t="0.787401575" b="0.787401575" header="0.3" footer="0.3"/>
    <c:pageSetup orientation="portrait"/>
  </c:printSettings>
</c:chartSpace>
</file>

<file path=xl/drawings/_rels/drawing1.xml.rels>&#65279;<?xml version="1.0" encoding="utf-8"?><Relationships xmlns="http://schemas.openxmlformats.org/package/2006/relationships"><Relationship Id="rId1" Type="http://schemas.openxmlformats.org/officeDocument/2006/relationships/chart" Target="../charts/chart1.xml" /><Relationship Id="rId2" Type="http://schemas.openxmlformats.org/officeDocument/2006/relationships/image" Target="../media/image2.png" /><Relationship Id="rId3"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xdr:from>
      <xdr:col>7</xdr:col>
      <xdr:colOff>0</xdr:colOff>
      <xdr:row>7</xdr:row>
      <xdr:rowOff>0</xdr:rowOff>
    </xdr:from>
    <xdr:to>
      <xdr:col>17</xdr:col>
      <xdr:colOff>0</xdr:colOff>
      <xdr:row>33</xdr:row>
      <xdr:rowOff>0</xdr:rowOff>
    </xdr:to>
    <xdr:graphicFrame macro="">
      <xdr:nvGraphicFramePr>
        <xdr:cNvPr id="25" name="Chart 24"/>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Id1"/>
        </a:graphicData>
      </a:graphic>
    </xdr:graphicFrame>
    <xdr:clientData/>
  </xdr:twoCellAnchor>
  <xdr:twoCellAnchor editAs="oneCell">
    <xdr:from>
      <xdr:col>0</xdr:col>
      <xdr:colOff>2937576</xdr:colOff>
      <xdr:row>7</xdr:row>
      <xdr:rowOff>0</xdr:rowOff>
    </xdr:from>
    <xdr:to>
      <xdr:col>5</xdr:col>
      <xdr:colOff>281181</xdr:colOff>
      <xdr:row>8</xdr:row>
      <xdr:rowOff>0</xdr:rowOff>
    </xdr:to>
    <xdr:pic>
      <xdr:nvPicPr>
        <xdr:cNvPr id="27" name="Picture 3"/>
        <xdr:cNvPicPr>
          <a:picLocks/>
        </xdr:cNvPicPr>
      </xdr:nvPicPr>
      <xdr:blipFill>
        <a:blip xmlns:r="http://schemas.openxmlformats.org/officeDocument/2006/relationships" r:embed="rId2"/>
        <a:stretch>
          <a:fillRect/>
        </a:stretch>
      </xdr:blipFill>
      <xdr:spPr>
        <a:xfrm>
          <a:off x="2937576" y="2092325"/>
          <a:ext cx="3697007" cy="190500"/>
        </a:xfrm>
        <a:prstGeom prst="rect">
          <a:avLst/>
        </a:prstGeom>
        <a:noFill/>
        <a:ln w="0">
          <a:noFill/>
        </a:ln>
      </xdr:spPr>
    </xdr:pic>
    <xdr:clientData/>
  </xdr:twoCellAnchor>
  <xdr:twoCellAnchor editAs="oneCell">
    <xdr:from>
      <xdr:col>0</xdr:col>
      <xdr:colOff>2937576</xdr:colOff>
      <xdr:row>8</xdr:row>
      <xdr:rowOff>0</xdr:rowOff>
    </xdr:from>
    <xdr:to>
      <xdr:col>5</xdr:col>
      <xdr:colOff>281181</xdr:colOff>
      <xdr:row>9</xdr:row>
      <xdr:rowOff>0</xdr:rowOff>
    </xdr:to>
    <xdr:pic>
      <xdr:nvPicPr>
        <xdr:cNvPr id="28" name="Picture 4"/>
        <xdr:cNvPicPr>
          <a:picLocks/>
        </xdr:cNvPicPr>
      </xdr:nvPicPr>
      <xdr:blipFill>
        <a:blip xmlns:r="http://schemas.openxmlformats.org/officeDocument/2006/relationships" r:embed="rId3"/>
        <a:stretch>
          <a:fillRect/>
        </a:stretch>
      </xdr:blipFill>
      <xdr:spPr>
        <a:xfrm>
          <a:off x="2937576" y="2282825"/>
          <a:ext cx="3697007" cy="189865"/>
        </a:xfrm>
        <a:prstGeom prst="rect">
          <a:avLst/>
        </a:prstGeom>
        <a:noFill/>
        <a:ln w="0">
          <a:noFill/>
        </a:ln>
      </xdr:spPr>
    </xdr:pic>
    <xdr:clientData/>
  </xdr:twoCellAnchor>
  <xdr:twoCellAnchor editAs="oneCell">
    <xdr:from>
      <xdr:col>0</xdr:col>
      <xdr:colOff>2937576</xdr:colOff>
      <xdr:row>8</xdr:row>
      <xdr:rowOff>189865</xdr:rowOff>
    </xdr:from>
    <xdr:to>
      <xdr:col>5</xdr:col>
      <xdr:colOff>281181</xdr:colOff>
      <xdr:row>10</xdr:row>
      <xdr:rowOff>0</xdr:rowOff>
    </xdr:to>
    <xdr:pic>
      <xdr:nvPicPr>
        <xdr:cNvPr id="29" name="Picture 5"/>
        <xdr:cNvPicPr>
          <a:picLocks/>
        </xdr:cNvPicPr>
      </xdr:nvPicPr>
      <xdr:blipFill>
        <a:blip xmlns:r="http://schemas.openxmlformats.org/officeDocument/2006/relationships" r:embed="rId3"/>
        <a:stretch>
          <a:fillRect/>
        </a:stretch>
      </xdr:blipFill>
      <xdr:spPr>
        <a:xfrm>
          <a:off x="2937576" y="2472690"/>
          <a:ext cx="3697007" cy="189865"/>
        </a:xfrm>
        <a:prstGeom prst="rect">
          <a:avLst/>
        </a:prstGeom>
        <a:noFill/>
        <a:ln w="0">
          <a:noFill/>
        </a:ln>
      </xdr:spPr>
    </xdr:pic>
    <xdr:clientData/>
  </xdr:twoCellAnchor>
  <xdr:twoCellAnchor editAs="oneCell">
    <xdr:from>
      <xdr:col>0</xdr:col>
      <xdr:colOff>2937576</xdr:colOff>
      <xdr:row>9</xdr:row>
      <xdr:rowOff>189865</xdr:rowOff>
    </xdr:from>
    <xdr:to>
      <xdr:col>5</xdr:col>
      <xdr:colOff>281181</xdr:colOff>
      <xdr:row>11</xdr:row>
      <xdr:rowOff>0</xdr:rowOff>
    </xdr:to>
    <xdr:pic>
      <xdr:nvPicPr>
        <xdr:cNvPr id="30" name="Picture 6"/>
        <xdr:cNvPicPr>
          <a:picLocks/>
        </xdr:cNvPicPr>
      </xdr:nvPicPr>
      <xdr:blipFill>
        <a:blip xmlns:r="http://schemas.openxmlformats.org/officeDocument/2006/relationships" r:embed="rId3"/>
        <a:stretch>
          <a:fillRect/>
        </a:stretch>
      </xdr:blipFill>
      <xdr:spPr>
        <a:xfrm>
          <a:off x="2937576" y="2662555"/>
          <a:ext cx="3697007" cy="189865"/>
        </a:xfrm>
        <a:prstGeom prst="rect">
          <a:avLst/>
        </a:prstGeom>
        <a:noFill/>
        <a:ln w="0">
          <a:noFill/>
        </a:ln>
      </xdr:spPr>
    </xdr:pic>
    <xdr:clientData/>
  </xdr:twoCellAnchor>
  <xdr:twoCellAnchor editAs="oneCell">
    <xdr:from>
      <xdr:col>0</xdr:col>
      <xdr:colOff>2937576</xdr:colOff>
      <xdr:row>11</xdr:row>
      <xdr:rowOff>0</xdr:rowOff>
    </xdr:from>
    <xdr:to>
      <xdr:col>5</xdr:col>
      <xdr:colOff>281181</xdr:colOff>
      <xdr:row>12</xdr:row>
      <xdr:rowOff>0</xdr:rowOff>
    </xdr:to>
    <xdr:pic>
      <xdr:nvPicPr>
        <xdr:cNvPr id="31" name="Picture 7"/>
        <xdr:cNvPicPr>
          <a:picLocks/>
        </xdr:cNvPicPr>
      </xdr:nvPicPr>
      <xdr:blipFill>
        <a:blip xmlns:r="http://schemas.openxmlformats.org/officeDocument/2006/relationships" r:embed="rId3"/>
        <a:stretch>
          <a:fillRect/>
        </a:stretch>
      </xdr:blipFill>
      <xdr:spPr>
        <a:xfrm>
          <a:off x="2937576" y="2852420"/>
          <a:ext cx="3697007" cy="189865"/>
        </a:xfrm>
        <a:prstGeom prst="rect">
          <a:avLst/>
        </a:prstGeom>
        <a:noFill/>
        <a:ln w="0">
          <a:noFill/>
        </a:ln>
      </xdr:spPr>
    </xdr:pic>
    <xdr:clientData/>
  </xdr:twoCellAnchor>
  <xdr:twoCellAnchor editAs="oneCell">
    <xdr:from>
      <xdr:col>0</xdr:col>
      <xdr:colOff>2937576</xdr:colOff>
      <xdr:row>12</xdr:row>
      <xdr:rowOff>0</xdr:rowOff>
    </xdr:from>
    <xdr:to>
      <xdr:col>5</xdr:col>
      <xdr:colOff>281181</xdr:colOff>
      <xdr:row>13</xdr:row>
      <xdr:rowOff>0</xdr:rowOff>
    </xdr:to>
    <xdr:pic>
      <xdr:nvPicPr>
        <xdr:cNvPr id="32" name="Picture 8"/>
        <xdr:cNvPicPr>
          <a:picLocks/>
        </xdr:cNvPicPr>
      </xdr:nvPicPr>
      <xdr:blipFill>
        <a:blip xmlns:r="http://schemas.openxmlformats.org/officeDocument/2006/relationships" r:embed="rId3"/>
        <a:stretch>
          <a:fillRect/>
        </a:stretch>
      </xdr:blipFill>
      <xdr:spPr>
        <a:xfrm>
          <a:off x="2937576" y="3042285"/>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3.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L639"/>
  <sheetViews>
    <sheetView tabSelected="1" workbookViewId="0"/>
  </sheetViews>
  <sheetFormatPr defaultColWidth="11.42578125" defaultRowHeight="14.95"/>
  <cols>
    <col min="1" max="1" width="40.28515625" style="46" customWidth="1"/>
    <col min="2" max="25" width="11.7109375" customWidth="1"/>
    <col min="26" max="26" width="11.28515625" customWidth="1"/>
    <col min="27" max="27" width="17.140625" customWidth="1"/>
    <col min="28" max="28" width="6.7109375" customWidth="1"/>
    <col min="29" max="29" width="7.140625" customWidth="1"/>
    <col min="30" max="30" width="17.140625" customWidth="1"/>
    <col min="31" max="31" width="6.7109375" customWidth="1"/>
    <col min="32" max="32" width="7.140625" customWidth="1"/>
    <col min="33" max="33" width="17.140625" customWidth="1"/>
    <col min="34" max="34" width="6.7109375" customWidth="1"/>
    <col min="35" max="35" width="7.140625" customWidth="1"/>
  </cols>
  <sheetData>
    <row>
      <c s="15" t="s">
        <v>46</v>
      </c>
      <c s="15"/>
      <c s="15"/>
      <c s="15"/>
      <c s="15"/>
      <c s="13"/>
    </row>
    <row s="45" customFormat="1">
      <c s="12" t="s">
        <v>58</v>
      </c>
      <c s="12"/>
      <c s="12"/>
      <c s="12"/>
      <c s="12"/>
      <c s="80"/>
    </row>
    <row ht="30" customHeight="1" s="45" customFormat="1">
      <c s="7" t="s">
        <v>14</v>
      </c>
      <c s="7"/>
      <c s="7"/>
      <c s="7"/>
      <c s="7"/>
      <c s="7"/>
      <c s="3"/>
      <c s="3"/>
      <c s="3"/>
      <c s="3"/>
    </row>
    <row ht="60" customHeight="1" s="45" customFormat="1">
      <c s="7" t="s">
        <v>74</v>
      </c>
      <c s="7"/>
      <c s="7"/>
      <c s="7"/>
      <c s="7"/>
      <c s="7"/>
      <c s="16"/>
      <c s="16"/>
      <c s="16"/>
      <c s="16"/>
    </row>
    <row>
      <c s="58" t="s">
        <v>75</v>
      </c>
      <c s="14"/>
      <c s="14"/>
      <c s="14"/>
      <c s="14"/>
      <c s="14"/>
    </row>
    <row>
      <c s="50" t="s">
        <v>62</v>
      </c>
      <c s="3"/>
      <c s="3"/>
      <c s="3"/>
      <c s="3"/>
      <c s="13"/>
    </row>
    <row>
      <c s="3"/>
      <c s="3"/>
      <c s="3"/>
      <c s="3"/>
      <c s="3"/>
      <c s="13"/>
    </row>
    <row ht="15" customHeight="1">
      <c s="10" t="s">
        <v>33</v>
      </c>
      <c s="31" t="s">
        <v>32</v>
      </c>
      <c s="13"/>
      <c s="13"/>
      <c s="13"/>
      <c s="13" t="s">
        <v>21</v>
      </c>
      <c s="8"/>
      <c s="8"/>
      <c s="8"/>
    </row>
    <row>
      <c s="10" t="s">
        <v>0</v>
      </c>
      <c s="31" t="s">
        <v>17</v>
      </c>
      <c s="13"/>
      <c s="13"/>
      <c s="13"/>
      <c s="13" t="s">
        <v>21</v>
      </c>
      <c s="8"/>
      <c s="8"/>
      <c s="8"/>
    </row>
    <row>
      <c s="10" t="s">
        <v>1</v>
      </c>
      <c s="31" t="s">
        <v>17</v>
      </c>
      <c s="13"/>
      <c s="13"/>
      <c s="13"/>
      <c s="13" t="s">
        <v>21</v>
      </c>
      <c s="8"/>
      <c s="8"/>
      <c s="8"/>
    </row>
    <row>
      <c s="10" t="s">
        <v>9</v>
      </c>
      <c s="31" t="s">
        <v>17</v>
      </c>
      <c s="13"/>
      <c s="13"/>
      <c s="13"/>
      <c s="13" t="s">
        <v>21</v>
      </c>
      <c s="8"/>
      <c s="8"/>
      <c s="8"/>
    </row>
    <row>
      <c s="10" t="s">
        <v>63</v>
      </c>
      <c s="31" t="s">
        <v>17</v>
      </c>
      <c s="13"/>
      <c s="13"/>
      <c s="13"/>
      <c s="13" t="s">
        <v>21</v>
      </c>
      <c s="8"/>
      <c s="8"/>
      <c s="8"/>
    </row>
    <row>
      <c s="10" t="s">
        <v>39</v>
      </c>
      <c s="31" t="s">
        <v>17</v>
      </c>
      <c s="13"/>
      <c s="13"/>
      <c s="13"/>
      <c s="13" t="s">
        <v>21</v>
      </c>
      <c s="8"/>
      <c s="8"/>
      <c s="8"/>
    </row>
    <row>
      <c/>
      <c r="C14" s="13"/>
      <c s="13"/>
      <c s="13"/>
      <c s="13"/>
      <c s="8"/>
      <c s="8"/>
      <c s="8"/>
    </row>
    <row>
      <c/>
      <c r="E15" s="13"/>
      <c s="13"/>
      <c s="8"/>
      <c s="8"/>
      <c s="8"/>
    </row>
    <row ht="15" customHeight="1">
      <c/>
      <c s="4" t="s">
        <v>47</v>
      </c>
      <c s="4"/>
      <c s="4"/>
      <c s="4"/>
      <c s="4"/>
      <c s="8"/>
      <c s="8"/>
      <c s="8"/>
    </row>
    <row ht="15" customHeight="1">
      <c/>
      <c s="21" t="s">
        <v>10</v>
      </c>
      <c s="21"/>
      <c s="21"/>
      <c s="35" t="s">
        <v>52</v>
      </c>
      <c s="35"/>
    </row>
    <row ht="15" customHeight="1">
      <c s="10" t="s">
        <v>2</v>
      </c>
      <c s="9" t="s">
        <v>3</v>
      </c>
      <c s="9" t="s">
        <v>29</v>
      </c>
      <c s="69" t="s">
        <v>17</v>
      </c>
      <c s="9" t="s">
        <v>3</v>
      </c>
      <c s="9" t="s">
        <v>29</v>
      </c>
    </row>
    <row>
      <c s="39" t="s">
        <v>53</v>
      </c>
      <c s="38">
        <v>5396</v>
      </c>
      <c s="38">
        <v>1435</v>
      </c>
      <c s="65">
        <v>6831</v>
      </c>
      <c s="32">
        <v>0.78992826818913775</v>
      </c>
      <c s="32">
        <v>0.21007173181086225</v>
      </c>
    </row>
    <row>
      <c s="39" t="s">
        <v>15</v>
      </c>
      <c s="38">
        <v>7152</v>
      </c>
      <c s="38">
        <v>5054</v>
      </c>
      <c s="65">
        <v>12206</v>
      </c>
      <c s="32">
        <v>0.58594134032443057</v>
      </c>
      <c s="32">
        <v>0.41405865967556937</v>
      </c>
    </row>
    <row>
      <c s="39" t="s">
        <v>34</v>
      </c>
      <c s="38">
        <v>4845</v>
      </c>
      <c s="38">
        <v>4875</v>
      </c>
      <c s="65">
        <v>9720</v>
      </c>
      <c s="32">
        <v>0.49845679012345678</v>
      </c>
      <c s="32">
        <v>0.50154320987654322</v>
      </c>
    </row>
    <row>
      <c s="39" t="s">
        <v>78</v>
      </c>
      <c s="38">
        <v>11499</v>
      </c>
      <c s="38">
        <v>9836</v>
      </c>
      <c s="65">
        <v>21335</v>
      </c>
      <c s="32">
        <v>0.5389735176939302</v>
      </c>
      <c s="32">
        <v>0.46102648230606985</v>
      </c>
    </row>
    <row>
      <c s="39" t="s">
        <v>35</v>
      </c>
      <c s="38">
        <v>2737</v>
      </c>
      <c s="38">
        <v>3226</v>
      </c>
      <c s="65">
        <v>5963</v>
      </c>
      <c s="32">
        <v>0.45899714908603051</v>
      </c>
      <c s="32">
        <v>0.54100285091396949</v>
      </c>
    </row>
    <row>
      <c s="39" t="s">
        <v>40</v>
      </c>
      <c s="38">
        <v>1736</v>
      </c>
      <c s="38">
        <v>1813</v>
      </c>
      <c s="65">
        <v>3549</v>
      </c>
      <c s="32">
        <v>0.48915187376725838</v>
      </c>
      <c s="32">
        <v>0.51084812623274167</v>
      </c>
    </row>
    <row>
      <c s="25" t="s">
        <v>17</v>
      </c>
      <c s="19">
        <v>33365</v>
      </c>
      <c s="19">
        <v>26239</v>
      </c>
      <c s="19">
        <v>59604</v>
      </c>
      <c s="33">
        <v>0.55977786725723111</v>
      </c>
      <c s="33">
        <v>0.44022213274276895</v>
      </c>
    </row>
    <row>
      <c/>
    </row>
    <row>
      <c/>
      <c r="G27" s="8"/>
      <c s="8"/>
      <c s="8"/>
    </row>
    <row>
      <c/>
      <c r="G28" s="8"/>
      <c s="8"/>
      <c s="8"/>
    </row>
    <row>
      <c/>
      <c r="G29" s="8"/>
      <c s="8"/>
      <c s="8"/>
    </row>
    <row>
      <c/>
      <c r="G30" s="8"/>
      <c s="8"/>
      <c s="8"/>
    </row>
    <row>
      <c/>
      <c r="G31" s="8"/>
      <c s="8"/>
      <c s="8"/>
    </row>
    <row>
      <c/>
      <c r="G32" s="8"/>
      <c s="8"/>
      <c s="8"/>
    </row>
    <row>
      <c/>
      <c r="G33" s="8"/>
      <c s="8"/>
      <c s="8"/>
    </row>
    <row>
      <c/>
      <c r="G34" s="8"/>
      <c s="8"/>
      <c s="8"/>
    </row>
    <row>
      <c/>
      <c r="G35" s="8"/>
      <c s="8"/>
      <c s="8"/>
    </row>
    <row>
      <c/>
      <c r="G36" s="8"/>
      <c s="8"/>
      <c s="8"/>
    </row>
    <row>
      <c/>
    </row>
    <row>
      <c/>
    </row>
    <row>
      <c/>
    </row>
    <row>
      <c/>
    </row>
    <row>
      <c s="24"/>
    </row>
    <row>
      <c s="24"/>
    </row>
    <row>
      <c s="77"/>
    </row>
    <row>
      <c s="77"/>
    </row>
    <row>
      <c s="24"/>
    </row>
    <row>
      <c s="24"/>
    </row>
    <row>
      <c s="24"/>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c s="1"/>
    </row>
    <row>
      <c s="1"/>
      <c s="1"/>
      <c s="1"/>
      <c s="1"/>
      <c s="1"/>
      <c s="1"/>
      <c s="1"/>
      <c s="1"/>
      <c s="1"/>
      <c s="1"/>
      <c s="1"/>
      <c s="1"/>
    </row>
    <row>
      <c s="1"/>
      <c s="1"/>
      <c s="1"/>
      <c s="1"/>
      <c s="1"/>
      <c s="1"/>
      <c s="1"/>
      <c s="1"/>
      <c s="1"/>
      <c s="1"/>
      <c s="1"/>
      <c s="1"/>
    </row>
    <row>
      <c s="79"/>
      <c s="2"/>
      <c s="2"/>
      <c s="2"/>
      <c s="2"/>
      <c s="2"/>
      <c s="2"/>
      <c s="2"/>
      <c s="2"/>
      <c s="2"/>
      <c s="2"/>
      <c s="1"/>
    </row>
    <row>
      <c s="1"/>
      <c s="1"/>
      <c s="1"/>
      <c s="1"/>
      <c s="1"/>
      <c s="1"/>
      <c s="1"/>
      <c s="1"/>
      <c s="1"/>
      <c s="1"/>
      <c s="1"/>
      <c s="1"/>
    </row>
    <row>
      <c s="1"/>
      <c s="1"/>
      <c s="1"/>
      <c s="1"/>
      <c s="1"/>
      <c s="1"/>
      <c s="1"/>
      <c s="1"/>
      <c s="1"/>
      <c s="1"/>
      <c s="1"/>
      <c s="1"/>
    </row>
    <row>
      <c s="1"/>
      <c s="1"/>
      <c s="1"/>
      <c s="1"/>
      <c s="1"/>
      <c s="1"/>
      <c s="1"/>
      <c s="1"/>
      <c s="1"/>
      <c s="1"/>
      <c s="1"/>
      <c s="1"/>
    </row>
    <row>
      <c s="1"/>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5">
    <mergeCell ref="A3:F3"/>
    <mergeCell ref="A4:F4"/>
    <mergeCell ref="B16:F16"/>
    <mergeCell ref="B17:D17"/>
    <mergeCell ref="E17:F17"/>
  </mergeCells>
  <pageMargins left="0.70866141732283472" right="0.70866141732283472" top="0.78740157480314965" bottom="0.78740157480314965" header="0.31496062992125984" footer="0.31496062992125984"/>
  <pageSetup paperSize="9" scale="57" orientation="landscape"/>
  <headerFooter>
    <oddHeader>&amp;L&amp;"Tahoma,Standard"&amp;10unidata.gv.at&amp;R&amp;"Tahoma,Standard"&amp;10&amp;D</oddHeader>
    <oddFooter>&amp;R&amp;"Tahoma,Standard"&amp;10&amp;P/&amp;N</oddFooter>
  </headerFooter>
  <colBreaks count="1" manualBreakCount="1">
    <brk id="7" max="1048575" man="1"/>
  </colBreaks>
  <drawing r:id="rId1"/>
</worksheet>
</file>

<file path=xl/worksheets/sheet2.xml><?xml version="1.0" encoding="utf-8"?>
<worksheet xmlns:r="http://schemas.openxmlformats.org/officeDocument/2006/relationships" xmlns="http://schemas.openxmlformats.org/spreadsheetml/2006/main">
  <dimension ref="A8:F25"/>
  <sheetViews>
    <sheetView workbookViewId="0">
      <selection activeCell="A25" sqref="A25"/>
    </sheetView>
  </sheetViews>
  <sheetFormatPr defaultColWidth="11.42578125" defaultRowHeight="15"/>
  <cols>
    <col min="1" max="1" width="24.7109375" customWidth="1"/>
  </cols>
  <sheetData>
    <row r="8" ht="14.95">
      <c s="10" t="s">
        <v>33</v>
      </c>
      <c s="31" t="s">
        <v>32</v>
      </c>
    </row>
    <row ht="14.95">
      <c s="10" t="s">
        <v>0</v>
      </c>
      <c s="31" t="s">
        <v>17</v>
      </c>
    </row>
    <row ht="14.95">
      <c s="10" t="s">
        <v>1</v>
      </c>
      <c s="31" t="s">
        <v>17</v>
      </c>
    </row>
    <row ht="14.95">
      <c s="10" t="s">
        <v>9</v>
      </c>
      <c s="31" t="s">
        <v>17</v>
      </c>
    </row>
    <row ht="14.95">
      <c s="10" t="s">
        <v>63</v>
      </c>
      <c s="31" t="s">
        <v>17</v>
      </c>
    </row>
    <row ht="14.95">
      <c s="10" t="s">
        <v>39</v>
      </c>
      <c s="31" t="s">
        <v>17</v>
      </c>
    </row>
    <row r="16" ht="14.95">
      <c r="B16" s="10" t="s">
        <v>31</v>
      </c>
      <c s="10" t="s">
        <v>77</v>
      </c>
    </row>
    <row ht="14.95">
      <c r="B17" s="4" t="s">
        <v>47</v>
      </c>
      <c s="4"/>
    </row>
    <row ht="14.95">
      <c s="10" t="s">
        <v>2</v>
      </c>
      <c s="9" t="s">
        <v>3</v>
      </c>
      <c s="9" t="s">
        <v>29</v>
      </c>
      <c r="E18" s="76" t="s">
        <v>3</v>
      </c>
      <c s="74" t="s">
        <v>29</v>
      </c>
    </row>
    <row ht="14.95">
      <c s="39" t="s">
        <v>53</v>
      </c>
      <c s="23">
        <v>5396</v>
      </c>
      <c s="23">
        <v>1435</v>
      </c>
      <c r="E19" s="30">
        <f t="shared" si="0" ref="E19:E24">-B19/$B$25</f>
        <v>-0.16172635995803986</v>
      </c>
      <c s="30">
        <f t="shared" si="1" ref="F19:F24">C19/$C$25</f>
        <v>0.054689584206715193</v>
      </c>
    </row>
    <row ht="14.95">
      <c s="39" t="s">
        <v>15</v>
      </c>
      <c s="23">
        <v>7152</v>
      </c>
      <c s="23">
        <v>5054</v>
      </c>
      <c r="E20" s="30">
        <f t="shared" si="0"/>
        <v>-0.21435636145661621</v>
      </c>
      <c s="30">
        <f t="shared" si="1"/>
        <v>0.19261404779145547</v>
      </c>
    </row>
    <row ht="14.95">
      <c s="39" t="s">
        <v>34</v>
      </c>
      <c s="23">
        <v>4845</v>
      </c>
      <c s="23">
        <v>4875</v>
      </c>
      <c r="E21" s="30">
        <f t="shared" si="0"/>
        <v>-0.14521204855387382</v>
      </c>
      <c s="30">
        <f t="shared" si="1"/>
        <v>0.18579214146880599</v>
      </c>
    </row>
    <row ht="14.95">
      <c s="39" t="s">
        <v>78</v>
      </c>
      <c s="23">
        <v>11499</v>
      </c>
      <c s="23">
        <v>9836</v>
      </c>
      <c r="E22" s="30">
        <f t="shared" si="0"/>
        <v>-0.34464258953993704</v>
      </c>
      <c s="30">
        <f t="shared" si="1"/>
        <v>0.37486184686916424</v>
      </c>
    </row>
    <row ht="14.95">
      <c s="39" t="s">
        <v>35</v>
      </c>
      <c s="23">
        <v>2737</v>
      </c>
      <c s="23">
        <v>3226</v>
      </c>
      <c r="E23" s="30">
        <f t="shared" si="0"/>
        <v>-0.08203206953394275</v>
      </c>
      <c s="30">
        <f t="shared" si="1"/>
        <v>0.12294675864171653</v>
      </c>
    </row>
    <row ht="14.95">
      <c s="39" t="s">
        <v>40</v>
      </c>
      <c s="23">
        <v>1736</v>
      </c>
      <c s="23">
        <v>1813</v>
      </c>
      <c r="E24" s="30">
        <f t="shared" si="0"/>
        <v>-0.05203057095759029</v>
      </c>
      <c s="30">
        <f t="shared" si="1"/>
        <v>0.069095621022142617</v>
      </c>
    </row>
    <row ht="14.95">
      <c s="25" t="s">
        <v>17</v>
      </c>
      <c s="27">
        <v>33365</v>
      </c>
      <c s="27">
        <v>26239</v>
      </c>
    </row>
  </sheetData>
  <mergeCells count="1">
    <mergeCell ref="B17:C17"/>
  </mergeCells>
  <pageMargins left="0.7" right="0.7" top="0.787401575" bottom="0.787401575" header="0.3" footer="0.3"/>
  <pageSetup paperSize="9" orientation="portrait"/>
</worksheet>
</file>

<file path=xl/worksheets/sheet3.xml><?xml version="1.0" encoding="utf-8"?>
<worksheet xmlns:r="http://schemas.openxmlformats.org/officeDocument/2006/relationships" xmlns="http://schemas.openxmlformats.org/spreadsheetml/2006/main">
  <dimension ref="A1:Z31"/>
  <sheetViews>
    <sheetView workbookViewId="0">
      <selection activeCell="E27" sqref="E27:E29"/>
    </sheetView>
  </sheetViews>
  <sheetFormatPr defaultColWidth="9.140625" defaultRowHeight="13.6"/>
  <cols>
    <col min="1" max="1" width="13.5703125" style="29" customWidth="1"/>
    <col min="2" max="2" width="40.85546875" style="29" customWidth="1"/>
    <col min="3" max="3" width="28.140625" style="29" customWidth="1"/>
    <col min="4" max="4" width="16.28515625" style="29" customWidth="1"/>
    <col min="5" max="5" width="19.42578125" style="29" customWidth="1"/>
    <col min="6" max="6" width="11.140625" style="29" customWidth="1"/>
    <col min="7" max="7" width="9.140625" style="29" customWidth="1"/>
    <col min="8" max="8" width="17.28515625" style="29" customWidth="1"/>
    <col min="9" max="9" width="19.5703125" style="29" customWidth="1"/>
    <col min="10" max="12" width="12.42578125" style="29" customWidth="1"/>
    <col min="13" max="13" width="16" style="29" customWidth="1"/>
    <col min="14" max="14" width="14.28515625" style="29" customWidth="1"/>
    <col min="15" max="15" width="18.28515625" style="29" customWidth="1"/>
    <col min="16" max="25" width="9.140625" style="29" customWidth="1"/>
    <col min="26" max="26" width="9.140625" style="29" hidden="1" customWidth="1"/>
    <col min="27" max="27" width="9.140625" style="29" customWidth="1"/>
    <col min="28" max="16384" width="9.140625" style="29"/>
  </cols>
  <sheetData>
    <row>
      <c s="42"/>
      <c r="H1" s="66">
        <v>129806172700000000</v>
      </c>
      <c r="Z1" s="57" t="b">
        <f>0=1</f>
        <v>0</v>
      </c>
    </row>
    <row>
      <c r="Z2" s="57" t="b">
        <f>1=1</f>
        <v>1</v>
      </c>
    </row>
    <row>
      <c r="Z3" s="57"/>
    </row>
    <row>
      <c r="I4" s="29" t="s">
        <v>30</v>
      </c>
      <c s="54" t="s">
        <v>59</v>
      </c>
      <c s="11"/>
      <c s="11"/>
      <c s="11"/>
      <c s="11"/>
      <c s="11"/>
    </row>
    <row>
      <c r="J5" s="26" t="s">
        <v>22</v>
      </c>
      <c s="17" t="s">
        <v>41</v>
      </c>
      <c s="17" t="s">
        <v>54</v>
      </c>
      <c s="26" t="s">
        <v>79</v>
      </c>
      <c s="73" t="s">
        <v>64</v>
      </c>
      <c s="17" t="s">
        <v>4</v>
      </c>
    </row>
    <row>
      <c r="B6" s="36" t="s">
        <v>65</v>
      </c>
      <c s="20" t="s">
        <v>71</v>
      </c>
      <c s="40" t="s">
        <v>11</v>
      </c>
      <c s="6" t="s">
        <v>42</v>
      </c>
    </row>
    <row>
      <c r="C7" s="22"/>
      <c s="37" t="s">
        <v>12</v>
      </c>
      <c s="6" t="s">
        <v>48</v>
      </c>
    </row>
    <row>
      <c r="C8" s="37" t="s">
        <v>5</v>
      </c>
      <c s="22"/>
    </row>
    <row>
      <c r="C9" s="22"/>
      <c s="20" t="s">
        <v>23</v>
      </c>
      <c s="62"/>
    </row>
    <row>
      <c r="C10" s="20" t="s">
        <v>36</v>
      </c>
      <c s="75" t="s">
        <v>55</v>
      </c>
      <c s="6" t="s">
        <v>16</v>
      </c>
    </row>
    <row>
      <c r="B11" s="36" t="s">
        <v>43</v>
      </c>
      <c s="71" t="s">
        <v>37</v>
      </c>
      <c s="48">
        <v>60398</v>
      </c>
      <c s="6" t="s">
        <v>24</v>
      </c>
    </row>
    <row>
      <c r="B12" s="36"/>
      <c s="63"/>
      <c s="67"/>
      <c s="44" t="s">
        <v>60</v>
      </c>
    </row>
    <row>
      <c r="B13" s="36" t="s">
        <v>38</v>
      </c>
      <c s="68" t="s">
        <v>18</v>
      </c>
      <c s="78">
        <v>1212</v>
      </c>
      <c s="29" t="b">
        <v>0</v>
      </c>
      <c s="6" t="s">
        <v>56</v>
      </c>
    </row>
    <row ht="12.75" hidden="1">
      <c r="B14" s="36"/>
      <c s="68"/>
      <c s="41"/>
      <c s="29" t="b">
        <v>0</v>
      </c>
    </row>
    <row>
      <c r="B15" s="36" t="s">
        <v>72</v>
      </c>
      <c s="29" t="s">
        <v>76</v>
      </c>
      <c s="51">
        <v>1212</v>
      </c>
      <c s="29" t="b">
        <v>0</v>
      </c>
      <c s="6" t="s">
        <v>19</v>
      </c>
    </row>
    <row ht="12.75" hidden="1">
      <c r="B16" s="36"/>
      <c r="D16" s="18"/>
      <c s="29" t="b">
        <v>0</v>
      </c>
      <c s="6"/>
    </row>
    <row>
      <c r="B17" s="36"/>
      <c s="29" t="s">
        <v>25</v>
      </c>
      <c s="64">
        <v>3434</v>
      </c>
      <c s="29" t="b">
        <v>0</v>
      </c>
      <c s="6" t="s">
        <v>57</v>
      </c>
    </row>
    <row>
      <c r="B18" s="36"/>
      <c r="D18" s="18"/>
      <c s="29" t="b">
        <v>0</v>
      </c>
      <c s="6"/>
    </row>
    <row>
      <c r="B19" s="36"/>
      <c s="29" t="s">
        <v>6</v>
      </c>
      <c s="43">
        <v>3434</v>
      </c>
      <c s="29" t="b">
        <v>0</v>
      </c>
      <c s="6" t="s">
        <v>66</v>
      </c>
    </row>
    <row>
      <c r="B20" s="36"/>
      <c r="D20" s="18"/>
      <c s="29" t="b">
        <v>0</v>
      </c>
      <c s="6"/>
    </row>
    <row>
      <c r="B21" s="36"/>
      <c s="29" t="s">
        <v>67</v>
      </c>
      <c s="72">
        <v>5656</v>
      </c>
      <c s="29" t="b">
        <v>0</v>
      </c>
      <c s="6" t="s">
        <v>80</v>
      </c>
    </row>
    <row>
      <c r="B22" s="36"/>
      <c r="E22" s="6"/>
      <c r="I22" s="53"/>
    </row>
    <row>
      <c r="B23" s="34" t="s">
        <v>7</v>
      </c>
      <c s="34"/>
    </row>
    <row>
      <c r="B24" s="5" t="s">
        <v>44</v>
      </c>
      <c s="5" t="s">
        <v>26</v>
      </c>
      <c s="5" t="s">
        <v>13</v>
      </c>
      <c s="5" t="s">
        <v>68</v>
      </c>
      <c s="5"/>
      <c s="5"/>
      <c s="5" t="s">
        <v>81</v>
      </c>
    </row>
    <row>
      <c s="29" t="s">
        <v>49</v>
      </c>
      <c r="C25" s="60" t="s">
        <v>45</v>
      </c>
      <c s="28" t="s">
        <v>20</v>
      </c>
      <c s="28">
        <v>1234.5599999999999</v>
      </c>
      <c s="6" t="s">
        <v>61</v>
      </c>
      <c r="H25" s="29" t="s">
        <v>69</v>
      </c>
    </row>
    <row>
      <c s="29" t="s">
        <v>73</v>
      </c>
      <c r="C26" s="60" t="s">
        <v>45</v>
      </c>
      <c s="28" t="s">
        <v>20</v>
      </c>
      <c s="28">
        <v>1234.5599999999999</v>
      </c>
      <c s="6" t="s">
        <v>50</v>
      </c>
      <c r="H26" s="29" t="s">
        <v>82</v>
      </c>
    </row>
    <row>
      <c r="C27" s="60" t="s">
        <v>45</v>
      </c>
      <c s="49" t="s">
        <v>20</v>
      </c>
      <c s="28">
        <v>1234.5599999999999</v>
      </c>
      <c r="H27" s="29" t="s">
        <v>51</v>
      </c>
    </row>
    <row>
      <c r="C28" s="61" t="s">
        <v>8</v>
      </c>
      <c s="49" t="s">
        <v>10</v>
      </c>
      <c s="28">
        <v>1234.5599999999999</v>
      </c>
      <c r="H28" s="29" t="s">
        <v>27</v>
      </c>
    </row>
    <row>
      <c r="C29" s="61" t="s">
        <v>8</v>
      </c>
      <c s="47" t="s">
        <v>52</v>
      </c>
      <c s="52">
        <v>1234.5599999999999</v>
      </c>
      <c r="H29" s="29" t="s">
        <v>83</v>
      </c>
    </row>
    <row>
      <c r="C30" s="61" t="s">
        <v>70</v>
      </c>
      <c s="55" t="s">
        <v>17</v>
      </c>
      <c s="59">
        <v>1234.5599999999999</v>
      </c>
    </row>
    <row>
      <c r="C31" s="61" t="s">
        <v>28</v>
      </c>
      <c s="56" t="s">
        <v>17</v>
      </c>
      <c s="70">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
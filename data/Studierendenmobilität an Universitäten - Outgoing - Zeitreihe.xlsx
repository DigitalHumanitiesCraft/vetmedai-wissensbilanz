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1175"/>
  </bookViews>
  <sheets>
    <sheet name="Tab" sheetId="1" r:id="rId1"/>
    <sheet name="Tabelle1" sheetId="2" state="hidden" r:id="rId2"/>
    <sheet name="XLCubedFormats" sheetId="3" state="hidden" r:id="rId3"/>
  </sheets>
  <definedNames>
    <definedName name="XL3ObjLocation1e49803a_4c20_4cf9_a7d7_ca9dce70d350">Tab!$A$10</definedName>
    <definedName name="XL3ObjLocationd8aa6e53_8426_4230_a866_2e371b19bd13">Tabelle1!$A$3</definedName>
  </definedNames>
  <calcPr calcId="40001"/>
</workbook>
</file>

<file path=xl/sharedStrings.xml><?xml version="1.0" encoding="utf-8"?>
<sst xmlns="http://schemas.openxmlformats.org/spreadsheetml/2006/main" uniqueCount="150">
  <si>
    <t>Universität</t>
  </si>
  <si>
    <t>Semester und Datenstichtag</t>
  </si>
  <si>
    <t>Frauen</t>
  </si>
  <si>
    <t>Wintersemester 2001 (Stichtag: 28.02.2002)</t>
  </si>
  <si>
    <t>Sommersemester 2016 (Stichtag: 30.09.2016)</t>
  </si>
  <si>
    <t>2008/09</t>
  </si>
  <si>
    <t>Wintersemester 2016 (Stichtag: 28.02.2017)</t>
  </si>
  <si>
    <t>Slicer Button Background</t>
  </si>
  <si>
    <t>Grid Title</t>
  </si>
  <si>
    <t>Oth Written Member</t>
  </si>
  <si>
    <t>Fill in Grid Name, Dimension or Both</t>
  </si>
  <si>
    <t>[ALLG Wertart].[Wertart]</t>
  </si>
  <si>
    <t>Outgoing</t>
  </si>
  <si>
    <t>Absolutwert</t>
  </si>
  <si>
    <t>ALLG Semester.Studienjahr (Kurzbezeichnung)</t>
  </si>
  <si>
    <t>2021/22</t>
  </si>
  <si>
    <t>2019/20</t>
  </si>
  <si>
    <t>All Marital Status</t>
  </si>
  <si>
    <t>Male</t>
  </si>
  <si>
    <t>Member1 Name</t>
  </si>
  <si>
    <t>Wintersemester 2024 (Stichtag: 28.02.2025)</t>
  </si>
  <si>
    <t>Sommersemester 2024 (Stichtag: 30.09.2024)</t>
  </si>
  <si>
    <t>Anmerkung: Ab dem WS 2016 erfolgt die zähltechnische Abbildung der Studierenden auf Basis des Verteilungsschlüssels gemäß § 22 Abs. 2 UHSBV.</t>
  </si>
  <si>
    <t>Mobilitätsprogramm</t>
  </si>
  <si>
    <t>Sommersemester 2003 (Stichtag: 30.09.2003)</t>
  </si>
  <si>
    <t>Wintersemester 2003 (Stichtag: 28.02.2004)</t>
  </si>
  <si>
    <t>2015/16</t>
  </si>
  <si>
    <t>2003/04</t>
  </si>
  <si>
    <t>Sommersemester 2018 (Stichtag: 30.09.2018)</t>
  </si>
  <si>
    <t>Wintersemester 2018 (Stichtag: 28.02.2019)</t>
  </si>
  <si>
    <t>&lt;-- default Column Member Format</t>
  </si>
  <si>
    <t>Ordentliche Studierende, die einen Auslandsaufenthalt im Rahmen eines geförderten Mobilitätsprogramms absolvieren.</t>
  </si>
  <si>
    <t>Gesamt</t>
  </si>
  <si>
    <t>Sommersemester 2011 (Stichtag: 30.09.2011)</t>
  </si>
  <si>
    <t>2010/11</t>
  </si>
  <si>
    <t>Wintersemester 2011 (Stichtag: 28.02.2012)</t>
  </si>
  <si>
    <t>Alternate Rows</t>
  </si>
  <si>
    <t>&lt;--  writeable cell format</t>
  </si>
  <si>
    <t>Sommersemester 2005 (Stichtag: 30.09.2005)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</si>
  <si>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</si>
  <si>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</si>
  <si>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</si>
  <si>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</si>
  <si>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</si>
  <si>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</si>
  <si>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</si>
  <si>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2022/23</t>
  </si>
  <si>
    <t>Internationale Mobilität</t>
  </si>
  <si>
    <t>GL Staatsangehörigkeit (Kurzbezeichnung)</t>
  </si>
  <si>
    <t>Wertart</t>
  </si>
  <si>
    <t>Männer</t>
  </si>
  <si>
    <t>2016/17</t>
  </si>
  <si>
    <t>Sommersemester 2013 (Stichtag: 30.09.2013)</t>
  </si>
  <si>
    <t>Wintersemester 2013 (Stichtag: 28.02.2014)</t>
  </si>
  <si>
    <t>2004/05</t>
  </si>
  <si>
    <t>Slice Name (Optional)</t>
  </si>
  <si>
    <t>Measures</t>
  </si>
  <si>
    <t>2011/12</t>
  </si>
  <si>
    <t>Wintersemester 2009 (Stichtag: 28.02.2010)</t>
  </si>
  <si>
    <t>Sommersemester 2021 (Stichtag: 30.09.2021)</t>
  </si>
  <si>
    <t>Wintersemester 2021 (Stichtag: 28.02.2022)</t>
  </si>
  <si>
    <t>Sommersemester 2007 (Stichtag: 30.09.2007)</t>
  </si>
  <si>
    <t>Wintersemester 2007 (Stichtag: 28.02.2008)</t>
  </si>
  <si>
    <t>Wintersemester 2015 (Stichtag: 28.02.2016)</t>
  </si>
  <si>
    <t>Sommersemester 2025 (Stichtag: 20.06.2025)</t>
  </si>
  <si>
    <t>2009/10</t>
  </si>
  <si>
    <t>Customer</t>
  </si>
  <si>
    <t>-All Customer</t>
  </si>
  <si>
    <t>Default Alternate Row Member Format --&gt;</t>
  </si>
  <si>
    <t>2023/24</t>
  </si>
  <si>
    <t>Sommersemester 2015 (Stichtag: 30.09.2015)</t>
  </si>
  <si>
    <t>2017/18</t>
  </si>
  <si>
    <t>Wintersemester 2023 (Stichtag: 28.02.2024)</t>
  </si>
  <si>
    <t>2005/06</t>
  </si>
  <si>
    <t>Slicer Item</t>
  </si>
  <si>
    <t>&lt;-- default Slicer Member Format</t>
  </si>
  <si>
    <t>Default Row Member Format --&gt;</t>
  </si>
  <si>
    <t>Grid/Table Name</t>
  </si>
  <si>
    <t>[Measures]</t>
  </si>
  <si>
    <t>Sommersemester 2023 (Stichtag: 30.09.2023)</t>
  </si>
  <si>
    <t>Sommersemester 2009 (Stichtag: 30.09.2009)</t>
  </si>
  <si>
    <t>Studierende Universitäten</t>
  </si>
  <si>
    <t>Sommersemester 2002 (Stichtag: 30.09.2002)</t>
  </si>
  <si>
    <t>Wintersemester 2002 (Stichtag: 28.02.2003)</t>
  </si>
  <si>
    <t>Sommersemester 2017 (Stichtag: 30.09.2017)</t>
  </si>
  <si>
    <t>2012/13</t>
  </si>
  <si>
    <t>Wintersemester 2017 (Stichtag: 28.02.2018)</t>
  </si>
  <si>
    <t>Wintersemester 2019 (Stichtag: 28.02.2020)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</si>
  <si>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</si>
  <si>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</si>
  <si>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</si>
  <si>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</si>
  <si>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</si>
  <si>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Sommersemester 2010 (Stichtag: 30.09.2010)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</si>
  <si>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</si>
  <si>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</si>
  <si>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</si>
  <si>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</si>
  <si>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</si>
  <si>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In Prozent</t>
  </si>
  <si>
    <t>2024/25</t>
  </si>
  <si>
    <t>Insgesamt (bereinigt)</t>
  </si>
  <si>
    <t>2018/19</t>
  </si>
  <si>
    <t>Sommersemester 2004 (Stichtag: 30.09.2004)</t>
  </si>
  <si>
    <t>2006/07</t>
  </si>
  <si>
    <t>Wintersemester 2004 (Stichtag: 28.02.2005)</t>
  </si>
  <si>
    <t>Sommersemester 2019 (Stichtag: 30.09.2019)</t>
  </si>
  <si>
    <t>Display Formats For:</t>
  </si>
  <si>
    <t>Enabled?</t>
  </si>
  <si>
    <t>&lt;-- Gesamtspalte</t>
  </si>
  <si>
    <t>Datenprüfung und -aufbereitung: bmfwf, Abt. I/10</t>
  </si>
  <si>
    <t>2013/14</t>
  </si>
  <si>
    <t>Sommersemester 2012 (Stichtag: 30.09.2012)</t>
  </si>
  <si>
    <t>Wintersemester 2012 (Stichtag: 28.02.2013)</t>
  </si>
  <si>
    <t>2001/02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</si>
  <si>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</si>
  <si>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</si>
  <si>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</si>
  <si>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</si>
  <si>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</si>
  <si>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</si>
  <si>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</si>
  <si>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Wintersemester 2006 (Stichtag: 28.02.2007)</t>
  </si>
  <si>
    <t>2007/08</t>
  </si>
  <si>
    <t>Sommersemester 2020 (Stichtag: 30.09.2020)</t>
  </si>
  <si>
    <t>Wintersemester 2020 (Stichtag: 28.02.2021)</t>
  </si>
  <si>
    <t>Marital Status</t>
  </si>
  <si>
    <t>Default Writeable Member Format --&gt;</t>
  </si>
  <si>
    <t>Slice Format 2</t>
  </si>
  <si>
    <t>Sommersemester 2006 (Stichtag: 30.09.2006)</t>
  </si>
  <si>
    <t>Quelle: Datenmeldungen der Universitäten auf Basis UHSBV zum jeweiligen Stichtag</t>
  </si>
  <si>
    <t>GL Kontinent</t>
  </si>
  <si>
    <t>Wintersemester 2014 (Stichtag: 28.02.2015)</t>
  </si>
  <si>
    <t>2020/21</t>
  </si>
  <si>
    <t>Writeable Member</t>
  </si>
  <si>
    <t>Sommersemester 2014 (Stichtag: 30.09.2014)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</si>
  <si>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</si>
  <si>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Studierendenmobilität an Universitäten - Outgoing - Zeitreihe</t>
  </si>
  <si>
    <t>Geschlecht</t>
  </si>
  <si>
    <t>2014/15</t>
  </si>
  <si>
    <t>Sommersemester 2022 (Stichtag: 30.09.2022)</t>
  </si>
  <si>
    <t>Wintersemester 2022 (Stichtag: 28.02.2023)</t>
  </si>
  <si>
    <t>2002/03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</si>
  <si>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</si>
  <si>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</si>
  <si>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</si>
  <si>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</si>
  <si>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</si>
  <si>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2008 (Stichtag: 28.02.2009)</t>
  </si>
  <si>
    <t>Sommersemester 2008 (Stichtag: 30.09.2008)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</si>
</sst>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595959"/>
      <name val="Tahoma"/>
      <family val="2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0"/>
      <name val="+mn-lt"/>
      <family val="2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4"/>
      <name val="+mn-lt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/>
    </xf>
    <xf numFmtId="0" fontId="4" fillId="2" borderId="1" xfId="0" quotePrefix="1" applyFont="1" applyFill="1" applyBorder="1" applyAlignment="1" applyProtection="1"/>
    <xf numFmtId="0" fontId="3" fillId="0" borderId="0" xfId="0" applyFont="1" applyFill="1" applyAlignment="1">
      <alignment horizontal="left"/>
    </xf>
    <xf numFmtId="0" fontId="5" fillId="0" borderId="2" xfId="0" quotePrefix="1" applyFont="1" applyFill="1" applyBorder="1" applyAlignment="1" applyProtection="1">
      <alignment horizontal="center"/>
    </xf>
    <xf numFmtId="3" fontId="6" fillId="0" borderId="0" xfId="0" applyNumberFormat="1" applyFont="1" applyFill="1" applyBorder="1"/>
    <xf numFmtId="0" fontId="5" fillId="0" borderId="2" xfId="0" applyFont="1" applyFill="1" applyBorder="1" applyAlignment="1" applyProtection="1">
      <alignment horizontal="right"/>
    </xf>
    <xf numFmtId="0" fontId="3" fillId="0" borderId="0" xfId="0" quotePrefix="1" applyFont="1" applyFill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3" borderId="0" xfId="1" applyFont="1" applyFill="1" applyBorder="1" applyAlignment="1">
      <alignment horizontal="center"/>
    </xf>
    <xf numFmtId="164" fontId="5" fillId="4" borderId="2" xfId="0" quotePrefix="1" applyNumberFormat="1" applyFont="1" applyFill="1" applyBorder="1" applyAlignment="1" applyProtection="1">
      <alignment horizontal="center"/>
    </xf>
    <xf numFmtId="3" fontId="5" fillId="0" borderId="2" xfId="0" applyNumberFormat="1" applyFont="1" applyFill="1" applyBorder="1" applyAlignment="1" applyProtection="1">
      <alignment horizontal="right"/>
    </xf>
    <xf numFmtId="164" fontId="5" fillId="4" borderId="2" xfId="0" applyNumberFormat="1" applyFont="1" applyFill="1" applyBorder="1" applyAlignment="1" applyProtection="1">
      <alignment horizontal="right"/>
    </xf>
    <xf numFmtId="0" fontId="12" fillId="0" borderId="0" xfId="0" applyFont="1"/>
    <xf numFmtId="0" fontId="13" fillId="0" borderId="0" xfId="0" applyNumberFormat="1" applyFont="1" applyAlignment="1"/>
    <xf numFmtId="0" fontId="14" fillId="0" borderId="0" xfId="1" applyFont="1"/>
    <xf numFmtId="0" fontId="15" fillId="5" borderId="0" xfId="0" applyFont="1" applyFill="1" applyAlignment="1"/>
    <xf numFmtId="0" fontId="13" fillId="0" borderId="0" xfId="0" applyFont="1" applyAlignment="1">
      <alignment horizontal="center"/>
    </xf>
    <xf numFmtId="0" fontId="13" fillId="0" borderId="0" xfId="0" applyFont="1"/>
    <xf numFmtId="0" fontId="5" fillId="0" borderId="2" xfId="0" quotePrefix="1" applyFont="1" applyBorder="1" applyAlignment="1" applyProtection="1"/>
    <xf numFmtId="3" fontId="5" fillId="6" borderId="2" xfId="0" applyNumberFormat="1" applyFont="1" applyFill="1" applyBorder="1" applyAlignment="1" applyProtection="1">
      <alignment horizontal="right"/>
    </xf>
    <xf numFmtId="0" fontId="14" fillId="5" borderId="0" xfId="1" applyFont="1" applyFill="1"/>
    <xf numFmtId="0" fontId="16" fillId="0" borderId="0" xfId="0" applyFont="1"/>
    <xf numFmtId="164" fontId="5" fillId="7" borderId="3" xfId="0" applyNumberFormat="1" applyFont="1" applyFill="1" applyBorder="1" applyAlignment="1" applyProtection="1">
      <alignment horizontal="right"/>
    </xf>
    <xf numFmtId="0" fontId="5" fillId="6" borderId="2" xfId="0" applyFont="1" applyFill="1" applyBorder="1" applyAlignment="1" applyProtection="1">
      <alignment horizontal="right"/>
    </xf>
    <xf numFmtId="0" fontId="5" fillId="0" borderId="2" xfId="0" applyFont="1" applyFill="1" applyBorder="1" applyAlignment="1" applyProtection="1">
      <alignment vertical="center"/>
    </xf>
    <xf numFmtId="0" fontId="0" fillId="0" borderId="0" xfId="0" applyFill="1" applyAlignment="1"/>
    <xf numFmtId="0" fontId="3" fillId="0" borderId="0" xfId="0" quotePrefix="1" applyFont="1" applyFill="1" applyAlignment="1">
      <alignment horizontal="left"/>
    </xf>
    <xf numFmtId="0" fontId="8" fillId="0" borderId="0" xfId="0" applyFont="1" applyAlignment="1">
      <alignment horizontal="right"/>
    </xf>
    <xf numFmtId="0" fontId="5" fillId="7" borderId="3" xfId="0" applyFont="1" applyFill="1" applyBorder="1" applyAlignment="1" applyProtection="1">
      <alignment horizontal="right"/>
    </xf>
    <xf numFmtId="164" fontId="5" fillId="7" borderId="4" xfId="0" applyNumberFormat="1" applyFont="1" applyFill="1" applyBorder="1" applyAlignment="1" applyProtection="1">
      <alignment horizontal="right"/>
    </xf>
    <xf numFmtId="0" fontId="5" fillId="0" borderId="5" xfId="0" applyFont="1" applyBorder="1" applyAlignment="1" applyProtection="1">
      <alignment horizontal="center"/>
    </xf>
    <xf numFmtId="0" fontId="13" fillId="0" borderId="0" xfId="0" quotePrefix="1" applyFont="1"/>
    <xf numFmtId="3" fontId="16" fillId="0" borderId="6" xfId="0" applyNumberFormat="1" applyFont="1" applyFill="1" applyBorder="1" applyAlignment="1"/>
    <xf numFmtId="0" fontId="17" fillId="0" borderId="0" xfId="0" applyFont="1"/>
    <xf numFmtId="0" fontId="0" fillId="0" borderId="0" xfId="0" applyFont="1"/>
    <xf numFmtId="2" fontId="13" fillId="0" borderId="0" xfId="0" applyNumberFormat="1" applyFont="1"/>
    <xf numFmtId="0" fontId="5" fillId="0" borderId="5" xfId="0" applyFont="1" applyBorder="1" applyAlignment="1" applyProtection="1">
      <alignment horizontal="right"/>
    </xf>
    <xf numFmtId="0" fontId="13" fillId="8" borderId="0" xfId="0" applyNumberFormat="1" applyFont="1" applyFill="1" applyAlignment="1"/>
    <xf numFmtId="0" fontId="13" fillId="0" borderId="0" xfId="0" applyFont="1" applyFill="1" applyBorder="1" applyAlignment="1">
      <alignment vertical="center"/>
    </xf>
    <xf numFmtId="3" fontId="13" fillId="0" borderId="0" xfId="0" applyNumberFormat="1" applyFont="1" applyAlignment="1"/>
    <xf numFmtId="3" fontId="13" fillId="8" borderId="0" xfId="0" applyNumberFormat="1" applyFont="1" applyFill="1" applyAlignment="1"/>
    <xf numFmtId="3" fontId="13" fillId="9" borderId="0" xfId="0" applyNumberFormat="1" applyFont="1" applyFill="1" applyAlignment="1"/>
    <xf numFmtId="0" fontId="0" fillId="0" borderId="0" xfId="0" applyAlignment="1">
      <alignment horizontal="left"/>
    </xf>
    <xf numFmtId="0" fontId="18" fillId="0" borderId="0" xfId="0" applyFont="1"/>
    <xf numFmtId="0" fontId="13" fillId="0" borderId="0" xfId="0" quotePrefix="1" applyFont="1" applyFill="1"/>
    <xf numFmtId="0" fontId="7" fillId="0" borderId="0" xfId="0" applyFont="1" applyFill="1" applyBorder="1" applyAlignment="1">
      <alignment vertical="center"/>
    </xf>
    <xf numFmtId="3" fontId="7" fillId="0" borderId="0" xfId="0" applyNumberFormat="1" applyFont="1" applyFill="1" applyAlignment="1"/>
    <xf numFmtId="0" fontId="13" fillId="0" borderId="0" xfId="0" applyNumberFormat="1" applyFont="1"/>
    <xf numFmtId="0" fontId="16" fillId="0" borderId="6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5" fillId="0" borderId="3" xfId="0" applyFont="1" applyBorder="1" applyAlignment="1" applyProtection="1">
      <alignment horizontal="right"/>
    </xf>
    <xf numFmtId="3" fontId="13" fillId="10" borderId="0" xfId="0" applyNumberFormat="1" applyFont="1" applyFill="1" applyAlignment="1"/>
    <xf numFmtId="0" fontId="16" fillId="0" borderId="6" xfId="0" quotePrefix="1" applyFont="1" applyFill="1" applyBorder="1" applyAlignment="1">
      <alignment horizontal="right"/>
    </xf>
    <xf numFmtId="0" fontId="5" fillId="0" borderId="2" xfId="0" quotePrefix="1" applyFont="1" applyFill="1" applyBorder="1" applyAlignment="1" applyProtection="1">
      <alignment vertical="center"/>
    </xf>
    <xf numFmtId="0" fontId="13" fillId="8" borderId="0" xfId="0" applyFont="1" applyFill="1"/>
    <xf numFmtId="0" fontId="5" fillId="11" borderId="4" xfId="0" applyFont="1" applyFill="1" applyBorder="1" applyAlignment="1" applyProtection="1">
      <alignment horizontal="right"/>
    </xf>
    <xf numFmtId="0" fontId="13" fillId="0" borderId="0" xfId="0" applyNumberFormat="1" applyFont="1" applyFill="1" applyBorder="1" applyAlignment="1"/>
    <xf numFmtId="0" fontId="16" fillId="0" borderId="6" xfId="0" quotePrefix="1" applyFont="1" applyFill="1" applyBorder="1" applyAlignment="1"/>
    <xf numFmtId="164" fontId="5" fillId="7" borderId="4" xfId="0" applyNumberFormat="1" applyFont="1" applyFill="1" applyBorder="1" applyAlignment="1" applyProtection="1">
      <alignment horizontal="center"/>
    </xf>
    <xf numFmtId="0" fontId="5" fillId="11" borderId="2" xfId="0" applyFont="1" applyFill="1" applyBorder="1" applyAlignment="1" applyProtection="1">
      <alignment horizontal="right"/>
    </xf>
    <xf numFmtId="0" fontId="14" fillId="8" borderId="0" xfId="1" applyFont="1" applyFill="1"/>
    <xf numFmtId="0" fontId="5" fillId="0" borderId="3" xfId="0" applyFont="1" applyBorder="1" applyAlignment="1" applyProtection="1">
      <alignment horizontal="center"/>
    </xf>
    <xf numFmtId="165" fontId="13" fillId="0" borderId="0" xfId="0" applyNumberFormat="1" applyFont="1"/>
    <xf numFmtId="0" fontId="19" fillId="0" borderId="0" xfId="0" applyFont="1"/>
    <xf numFmtId="0" fontId="11" fillId="3" borderId="7" xfId="1" applyFont="1" applyFill="1" applyBorder="1" applyAlignment="1">
      <alignment horizontal="center"/>
    </xf>
    <xf numFmtId="0" fontId="19" fillId="0" borderId="0" xfId="0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Tab!$A$3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400" b="0">
              <a:solidFill>
                <a:sysClr val="windowText"/>
              </a:solidFill>
              <a:latin typeface="+mn-lt"/>
            </a:defRPr>
          </a:pPr>
          <a:endParaRPr sz="1400" b="0">
            <a:solidFill>
              <a:sysClr val="windowText"/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Tabelle1!$B$12</c:f>
              <c:strCache/>
            </c:strRef>
          </c:tx>
          <c:spPr>
            <a:ln cap="rnd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strRef>
              <c:f>Tabelle1!$A$13:$A$31</c:f>
              <c:strCache/>
            </c:strRef>
          </c:cat>
          <c:val>
            <c:numRef>
              <c:f>Tabelle1!$B$13:$B$31</c:f>
              <c:numCache/>
            </c:numRef>
          </c:val>
          <c:smooth val="0"/>
        </c:ser>
        <c:ser>
          <c:idx val="1"/>
          <c:order val="1"/>
          <c:tx>
            <c:strRef>
              <c:f>Tabelle1!$C$12</c:f>
              <c:strCache/>
            </c:strRef>
          </c:tx>
          <c:spPr>
            <a:ln cap="rnd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Tabelle1!$A$13:$A$31</c:f>
              <c:strCache/>
            </c:strRef>
          </c:cat>
          <c:val>
            <c:numRef>
              <c:f>Tabelle1!$C$13:$C$31</c:f>
              <c:numCache/>
            </c:numRef>
          </c:val>
          <c:smooth val="0"/>
        </c:ser>
        <c:ser>
          <c:idx val="2"/>
          <c:order val="2"/>
          <c:tx>
            <c:strRef>
              <c:f>Tabelle1!$D$12</c:f>
              <c:strCache/>
            </c:strRef>
          </c:tx>
          <c:spPr>
            <a:ln cap="rnd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cat>
            <c:strRef>
              <c:f>Tabelle1!$A$13:$A$31</c:f>
              <c:strCache/>
            </c:strRef>
          </c:cat>
          <c:val>
            <c:numRef>
              <c:f>Tabelle1!$D$13:$D$31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sz="1000" b="1">
                    <a:solidFill>
                      <a:sysClr val="windowText"/>
                    </a:solidFill>
                    <a:latin typeface="+mn-lt"/>
                  </a:rPr>
                  <a:t>ordentliche Studierende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90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Relationship Id="rId3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781049</xdr:colOff>
      <xdr:row>15</xdr:row>
      <xdr:rowOff>0</xdr:rowOff>
    </xdr:from>
    <xdr:to>
      <xdr:col>21</xdr:col>
      <xdr:colOff>0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3092815</xdr:colOff>
      <xdr:row>9</xdr:row>
      <xdr:rowOff>0</xdr:rowOff>
    </xdr:from>
    <xdr:to>
      <xdr:col>1</xdr:col>
      <xdr:colOff>3864737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5" y="1924050"/>
          <a:ext cx="386473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3092815</xdr:colOff>
      <xdr:row>9</xdr:row>
      <xdr:rowOff>189865</xdr:rowOff>
    </xdr:from>
    <xdr:to>
      <xdr:col>1</xdr:col>
      <xdr:colOff>3864737</xdr:colOff>
      <xdr:row>10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5" y="2113915"/>
          <a:ext cx="386473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3092815</xdr:colOff>
      <xdr:row>10</xdr:row>
      <xdr:rowOff>189865</xdr:rowOff>
    </xdr:from>
    <xdr:to>
      <xdr:col>1</xdr:col>
      <xdr:colOff>3864737</xdr:colOff>
      <xdr:row>12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5" y="2303780"/>
          <a:ext cx="386473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3092815</xdr:colOff>
      <xdr:row>12</xdr:row>
      <xdr:rowOff>0</xdr:rowOff>
    </xdr:from>
    <xdr:to>
      <xdr:col>1</xdr:col>
      <xdr:colOff>3864737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2815" y="2493645"/>
          <a:ext cx="386473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8</xdr:col>
      <xdr:colOff>1083333</xdr:colOff>
      <xdr:row>3</xdr:row>
      <xdr:rowOff>109220</xdr:rowOff>
    </xdr:from>
    <xdr:to>
      <xdr:col>9</xdr:col>
      <xdr:colOff>688040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2570" y="627380"/>
          <a:ext cx="109727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9</xdr:col>
      <xdr:colOff>493140</xdr:colOff>
      <xdr:row>3</xdr:row>
      <xdr:rowOff>109220</xdr:rowOff>
    </xdr:from>
    <xdr:to>
      <xdr:col>10</xdr:col>
      <xdr:colOff>650156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0494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10</xdr:col>
      <xdr:colOff>455256</xdr:colOff>
      <xdr:row>3</xdr:row>
      <xdr:rowOff>109220</xdr:rowOff>
    </xdr:from>
    <xdr:to>
      <xdr:col>11</xdr:col>
      <xdr:colOff>612272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417372</xdr:colOff>
      <xdr:row>3</xdr:row>
      <xdr:rowOff>109220</xdr:rowOff>
    </xdr:from>
    <xdr:to>
      <xdr:col>12</xdr:col>
      <xdr:colOff>574388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970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12</xdr:col>
      <xdr:colOff>643821</xdr:colOff>
      <xdr:row>3</xdr:row>
      <xdr:rowOff>109220</xdr:rowOff>
    </xdr:from>
    <xdr:to>
      <xdr:col>13</xdr:col>
      <xdr:colOff>524256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7642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13</xdr:col>
      <xdr:colOff>466080</xdr:colOff>
      <xdr:row>3</xdr:row>
      <xdr:rowOff>109220</xdr:rowOff>
    </xdr:from>
    <xdr:to>
      <xdr:col>14</xdr:col>
      <xdr:colOff>480106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552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14</xdr:col>
      <xdr:colOff>713608</xdr:colOff>
      <xdr:row>3</xdr:row>
      <xdr:rowOff>109220</xdr:rowOff>
    </xdr:from>
    <xdr:to>
      <xdr:col>15</xdr:col>
      <xdr:colOff>422567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6308" y="627380"/>
          <a:ext cx="109727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3</xdr:col>
      <xdr:colOff>1036619</xdr:colOff>
      <xdr:row>22</xdr:row>
      <xdr:rowOff>109220</xdr:rowOff>
    </xdr:from>
    <xdr:to>
      <xdr:col>4</xdr:col>
      <xdr:colOff>897969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422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0"/>
  <sheetViews>
    <sheetView tabSelected="1" workbookViewId="0">
      <selection activeCell="A1" sqref="A1:E1"/>
    </sheetView>
  </sheetViews>
  <sheetFormatPr defaultColWidth="11.375" defaultRowHeight="14.95"/>
  <cols>
    <col min="1" max="1" width="42.4140625" style="39" customWidth="1"/>
    <col min="2" max="2" width="53" customWidth="1"/>
    <col min="3" max="11" width="12.24609375" customWidth="1"/>
    <col min="12" max="33" width="11.75" customWidth="1"/>
    <col min="34" max="34" width="7.125" customWidth="1"/>
  </cols>
  <sheetData>
    <row ht="15" customHeight="1">
      <c s="11" t="s">
        <v>47</v>
      </c>
      <c s="11"/>
      <c s="11"/>
      <c s="11"/>
      <c s="11"/>
      <c s="30"/>
    </row>
    <row ht="15" customHeight="1">
      <c s="11" t="s">
        <v>81</v>
      </c>
      <c s="11"/>
      <c s="11"/>
      <c s="11"/>
      <c s="11"/>
      <c s="30"/>
    </row>
    <row ht="15" customHeight="1" s="68" customFormat="1">
      <c s="12" t="s">
        <v>137</v>
      </c>
      <c s="12"/>
      <c s="12"/>
      <c s="12"/>
      <c s="12"/>
      <c s="70"/>
    </row>
    <row ht="15" customHeight="1">
      <c s="4" t="s">
        <v>31</v>
      </c>
      <c s="4"/>
      <c s="4"/>
      <c s="4"/>
      <c s="4"/>
      <c s="4"/>
      <c s="4"/>
    </row>
    <row ht="15" customHeight="1">
      <c s="2" t="s">
        <v>22</v>
      </c>
      <c s="2"/>
      <c s="2"/>
      <c s="2"/>
      <c s="2"/>
      <c s="2"/>
      <c s="2"/>
    </row>
    <row ht="30" customHeight="1">
      <c s="8" t="s">
        <v>136</v>
      </c>
      <c s="8"/>
      <c s="8"/>
      <c s="8"/>
      <c s="8"/>
      <c s="8"/>
      <c s="8"/>
    </row>
    <row ht="15" customHeight="1">
      <c s="31" t="s">
        <v>130</v>
      </c>
      <c s="31"/>
      <c s="4"/>
      <c s="4"/>
      <c s="4"/>
      <c s="4"/>
      <c s="47"/>
    </row>
    <row ht="15" customHeight="1">
      <c s="2" t="s">
        <v>110</v>
      </c>
      <c s="2"/>
      <c s="2"/>
      <c s="2"/>
      <c s="2"/>
      <c s="30"/>
    </row>
    <row ht="16.5" customHeight="1"/>
    <row>
      <c s="3" t="s">
        <v>23</v>
      </c>
      <c s="23" t="s">
        <v>32</v>
      </c>
    </row>
    <row>
      <c s="3" t="s">
        <v>48</v>
      </c>
      <c s="23" t="s">
        <v>32</v>
      </c>
    </row>
    <row>
      <c s="3" t="s">
        <v>131</v>
      </c>
      <c s="23" t="s">
        <v>32</v>
      </c>
    </row>
    <row>
      <c s="3" t="s">
        <v>0</v>
      </c>
      <c s="23" t="s">
        <v>101</v>
      </c>
    </row>
    <row collapsed="1">
      <c/>
    </row>
    <row>
      <c/>
    </row>
    <row ht="15" hidden="1" customHeight="1">
      <c/>
      <c r="C16" s="3" t="s">
        <v>56</v>
      </c>
      <c s="3" t="s">
        <v>49</v>
      </c>
      <c s="3" t="s">
        <v>138</v>
      </c>
    </row>
    <row ht="15" customHeight="1" collapsed="1">
      <c/>
      <c r="C17" s="5" t="s">
        <v>12</v>
      </c>
      <c s="5"/>
      <c s="5"/>
      <c s="5"/>
      <c s="5"/>
    </row>
    <row>
      <c/>
      <c r="C18" s="5" t="s">
        <v>13</v>
      </c>
      <c s="5"/>
      <c s="5"/>
      <c s="14" t="s">
        <v>92</v>
      </c>
      <c s="14"/>
    </row>
    <row>
      <c s="3" t="s">
        <v>14</v>
      </c>
      <c s="3" t="s">
        <v>1</v>
      </c>
      <c s="7" t="s">
        <v>2</v>
      </c>
      <c s="7" t="s">
        <v>50</v>
      </c>
      <c s="28" t="s">
        <v>32</v>
      </c>
      <c s="7" t="s">
        <v>2</v>
      </c>
      <c s="7" t="s">
        <v>50</v>
      </c>
    </row>
    <row>
      <c s="58" t="s">
        <v>100</v>
      </c>
      <c s="29" t="s">
        <v>20</v>
      </c>
      <c s="15">
        <v>2285</v>
      </c>
      <c s="15">
        <v>1626</v>
      </c>
      <c s="24">
        <v>3911</v>
      </c>
      <c s="16">
        <v>0.58424955254410638</v>
      </c>
      <c s="16">
        <v>0.41575044745589362</v>
      </c>
    </row>
    <row>
      <c s="58"/>
      <c s="29" t="s">
        <v>64</v>
      </c>
      <c s="15">
        <v>2074</v>
      </c>
      <c s="15">
        <v>1323</v>
      </c>
      <c s="24">
        <v>3397</v>
      </c>
      <c s="16">
        <v>0.61053871062702381</v>
      </c>
      <c s="16">
        <v>0.38946128937297614</v>
      </c>
    </row>
    <row>
      <c s="58"/>
      <c s="29" t="s">
        <v>32</v>
      </c>
      <c s="15">
        <v>4359</v>
      </c>
      <c s="15">
        <v>2949</v>
      </c>
      <c s="24">
        <v>7308</v>
      </c>
      <c s="16">
        <v>0.59646962233169132</v>
      </c>
      <c s="16">
        <v>0.40353037766830868</v>
      </c>
    </row>
    <row>
      <c s="58" t="s">
        <v>69</v>
      </c>
      <c s="29" t="s">
        <v>72</v>
      </c>
      <c s="15">
        <v>2245</v>
      </c>
      <c s="15">
        <v>1513</v>
      </c>
      <c s="24">
        <v>3758</v>
      </c>
      <c s="16">
        <v>0.59739222990952634</v>
      </c>
      <c s="16">
        <v>0.40260777009047366</v>
      </c>
    </row>
    <row>
      <c s="58"/>
      <c s="29" t="s">
        <v>21</v>
      </c>
      <c s="15">
        <v>2341</v>
      </c>
      <c s="15">
        <v>1400</v>
      </c>
      <c s="24">
        <v>3741</v>
      </c>
      <c s="16">
        <v>0.62576851109329057</v>
      </c>
      <c s="16">
        <v>0.37423148890670943</v>
      </c>
    </row>
    <row>
      <c s="58"/>
      <c s="29" t="s">
        <v>32</v>
      </c>
      <c s="15">
        <v>4586</v>
      </c>
      <c s="15">
        <v>2913</v>
      </c>
      <c s="24">
        <v>7499</v>
      </c>
      <c s="16">
        <v>0.61154820642752372</v>
      </c>
      <c s="16">
        <v>0.38845179357247633</v>
      </c>
    </row>
    <row>
      <c s="58" t="s">
        <v>46</v>
      </c>
      <c s="29" t="s">
        <v>141</v>
      </c>
      <c s="15">
        <v>2458</v>
      </c>
      <c s="15">
        <v>1508</v>
      </c>
      <c s="24">
        <v>3966</v>
      </c>
      <c s="16">
        <v>0.61976802824004029</v>
      </c>
      <c s="16">
        <v>0.38023197175995965</v>
      </c>
    </row>
    <row>
      <c s="58"/>
      <c s="29" t="s">
        <v>79</v>
      </c>
      <c s="15">
        <v>2267</v>
      </c>
      <c s="15">
        <v>1263</v>
      </c>
      <c s="24">
        <v>3530</v>
      </c>
      <c s="16">
        <v>0.64220963172804535</v>
      </c>
      <c s="16">
        <v>0.35779036827195465</v>
      </c>
    </row>
    <row>
      <c s="58"/>
      <c s="29" t="s">
        <v>32</v>
      </c>
      <c s="15">
        <v>4725</v>
      </c>
      <c s="15">
        <v>2771</v>
      </c>
      <c s="24">
        <v>7496</v>
      </c>
      <c s="16">
        <v>0.63033617929562435</v>
      </c>
      <c s="16">
        <v>0.36966382070437565</v>
      </c>
    </row>
    <row>
      <c s="58" t="s">
        <v>15</v>
      </c>
      <c s="29" t="s">
        <v>60</v>
      </c>
      <c s="15">
        <v>2512</v>
      </c>
      <c s="15">
        <v>1527</v>
      </c>
      <c s="24">
        <v>4039</v>
      </c>
      <c s="16">
        <v>0.62193612280267396</v>
      </c>
      <c s="16">
        <v>0.37806387719732609</v>
      </c>
    </row>
    <row>
      <c s="58"/>
      <c s="29" t="s">
        <v>140</v>
      </c>
      <c s="15">
        <v>2701</v>
      </c>
      <c s="15">
        <v>1528</v>
      </c>
      <c s="24">
        <v>4229</v>
      </c>
      <c s="16">
        <v>0.63868526838496098</v>
      </c>
      <c s="16">
        <v>0.36131473161503902</v>
      </c>
    </row>
    <row>
      <c s="58"/>
      <c s="29" t="s">
        <v>32</v>
      </c>
      <c s="15">
        <v>5213</v>
      </c>
      <c s="15">
        <v>3055</v>
      </c>
      <c s="24">
        <v>8268</v>
      </c>
      <c s="16">
        <v>0.63050314465408808</v>
      </c>
      <c s="16">
        <v>0.36949685534591192</v>
      </c>
    </row>
    <row>
      <c s="58" t="s">
        <v>133</v>
      </c>
      <c s="29" t="s">
        <v>125</v>
      </c>
      <c s="15">
        <v>917</v>
      </c>
      <c s="15">
        <v>674</v>
      </c>
      <c s="24">
        <v>1591</v>
      </c>
      <c s="16">
        <v>0.57636706473915778</v>
      </c>
      <c s="16">
        <v>0.42363293526084222</v>
      </c>
    </row>
    <row>
      <c s="58"/>
      <c s="29" t="s">
        <v>59</v>
      </c>
      <c s="15">
        <v>1137</v>
      </c>
      <c s="15">
        <v>760</v>
      </c>
      <c s="24">
        <v>1897</v>
      </c>
      <c s="16">
        <v>0.59936742224565098</v>
      </c>
      <c s="16">
        <v>0.40063257775434896</v>
      </c>
    </row>
    <row>
      <c s="58"/>
      <c s="29" t="s">
        <v>32</v>
      </c>
      <c s="15">
        <v>2054</v>
      </c>
      <c s="15">
        <v>1434</v>
      </c>
      <c s="24">
        <v>3488</v>
      </c>
      <c s="16">
        <v>0.58887614678899081</v>
      </c>
      <c s="16">
        <v>0.41112385321100919</v>
      </c>
    </row>
    <row>
      <c s="58" t="s">
        <v>16</v>
      </c>
      <c s="29" t="s">
        <v>87</v>
      </c>
      <c s="15">
        <v>2268</v>
      </c>
      <c s="15">
        <v>1524</v>
      </c>
      <c s="24">
        <v>3792</v>
      </c>
      <c s="16">
        <v>0.59810126582278478</v>
      </c>
      <c s="16">
        <v>0.40189873417721517</v>
      </c>
    </row>
    <row>
      <c s="58"/>
      <c s="29" t="s">
        <v>124</v>
      </c>
      <c s="15">
        <v>1848</v>
      </c>
      <c s="15">
        <v>1149</v>
      </c>
      <c s="24">
        <v>2997</v>
      </c>
      <c s="16">
        <v>0.6166166166166166</v>
      </c>
      <c s="16">
        <v>0.3833833833833834</v>
      </c>
    </row>
    <row>
      <c s="58"/>
      <c s="29" t="s">
        <v>32</v>
      </c>
      <c s="15">
        <v>4116</v>
      </c>
      <c s="15">
        <v>2673</v>
      </c>
      <c s="24">
        <v>6789</v>
      </c>
      <c s="16">
        <v>0.60627485638532919</v>
      </c>
      <c s="16">
        <v>0.39372514361467081</v>
      </c>
    </row>
    <row>
      <c s="58" t="s">
        <v>102</v>
      </c>
      <c s="29" t="s">
        <v>29</v>
      </c>
      <c s="15">
        <v>2425</v>
      </c>
      <c s="15">
        <v>1535</v>
      </c>
      <c s="24">
        <v>3960</v>
      </c>
      <c s="16">
        <v>0.61237373737373735</v>
      </c>
      <c s="16">
        <v>0.38762626262626265</v>
      </c>
    </row>
    <row>
      <c s="58"/>
      <c s="29" t="s">
        <v>106</v>
      </c>
      <c s="15">
        <v>2228</v>
      </c>
      <c s="15">
        <v>1475</v>
      </c>
      <c s="24">
        <v>3703</v>
      </c>
      <c s="16">
        <v>0.60167431812044292</v>
      </c>
      <c s="16">
        <v>0.39832568187955714</v>
      </c>
    </row>
    <row>
      <c s="58"/>
      <c s="29" t="s">
        <v>32</v>
      </c>
      <c s="15">
        <v>4653</v>
      </c>
      <c s="15">
        <v>3010</v>
      </c>
      <c s="24">
        <v>7663</v>
      </c>
      <c s="16">
        <v>0.60720344512592983</v>
      </c>
      <c s="16">
        <v>0.39279655487407023</v>
      </c>
    </row>
    <row>
      <c s="58" t="s">
        <v>71</v>
      </c>
      <c s="29" t="s">
        <v>86</v>
      </c>
      <c s="15">
        <v>2554</v>
      </c>
      <c s="15">
        <v>1728</v>
      </c>
      <c s="24">
        <v>4282</v>
      </c>
      <c s="16">
        <v>0.59645025688930409</v>
      </c>
      <c s="16">
        <v>0.40354974311069591</v>
      </c>
    </row>
    <row>
      <c s="58"/>
      <c s="29" t="s">
        <v>28</v>
      </c>
      <c s="15">
        <v>2509</v>
      </c>
      <c s="15">
        <v>1557</v>
      </c>
      <c s="24">
        <v>4066</v>
      </c>
      <c s="16">
        <v>0.61706837186424002</v>
      </c>
      <c s="16">
        <v>0.38293162813575998</v>
      </c>
    </row>
    <row>
      <c s="58"/>
      <c s="29" t="s">
        <v>32</v>
      </c>
      <c s="15">
        <v>5063</v>
      </c>
      <c s="15">
        <v>3285</v>
      </c>
      <c s="24">
        <v>8348</v>
      </c>
      <c s="16">
        <v>0.60649257307139437</v>
      </c>
      <c s="16">
        <v>0.39350742692860563</v>
      </c>
    </row>
    <row>
      <c s="58" t="s">
        <v>51</v>
      </c>
      <c s="29" t="s">
        <v>6</v>
      </c>
      <c s="15">
        <v>2465</v>
      </c>
      <c s="15">
        <v>1567</v>
      </c>
      <c s="24">
        <v>4032</v>
      </c>
      <c s="16">
        <v>0.61135912698412698</v>
      </c>
      <c s="16">
        <v>0.38864087301587302</v>
      </c>
    </row>
    <row>
      <c s="58"/>
      <c s="29" t="s">
        <v>84</v>
      </c>
      <c s="15">
        <v>2445</v>
      </c>
      <c s="15">
        <v>1483</v>
      </c>
      <c s="24">
        <v>3928</v>
      </c>
      <c s="16">
        <v>0.62245417515274948</v>
      </c>
      <c s="16">
        <v>0.37754582484725052</v>
      </c>
    </row>
    <row>
      <c s="58"/>
      <c s="29" t="s">
        <v>32</v>
      </c>
      <c s="15">
        <v>4910</v>
      </c>
      <c s="15">
        <v>3050</v>
      </c>
      <c s="24">
        <v>7960</v>
      </c>
      <c s="16">
        <v>0.61683417085427139</v>
      </c>
      <c s="16">
        <v>0.38316582914572866</v>
      </c>
    </row>
    <row>
      <c s="58" t="s">
        <v>26</v>
      </c>
      <c s="29" t="s">
        <v>63</v>
      </c>
      <c s="15">
        <v>2288</v>
      </c>
      <c s="15">
        <v>1507</v>
      </c>
      <c s="24">
        <v>3795</v>
      </c>
      <c s="16">
        <v>0.60289855072463772</v>
      </c>
      <c s="16">
        <v>0.39710144927536234</v>
      </c>
    </row>
    <row>
      <c s="58"/>
      <c s="29" t="s">
        <v>4</v>
      </c>
      <c s="15">
        <v>2404</v>
      </c>
      <c s="15">
        <v>1466</v>
      </c>
      <c s="24">
        <v>3870</v>
      </c>
      <c s="16">
        <v>0.62118863049095607</v>
      </c>
      <c s="16">
        <v>0.37881136950904393</v>
      </c>
    </row>
    <row>
      <c s="58"/>
      <c s="29" t="s">
        <v>32</v>
      </c>
      <c s="15">
        <v>4692</v>
      </c>
      <c s="15">
        <v>2973</v>
      </c>
      <c s="24">
        <v>7665</v>
      </c>
      <c s="16">
        <v>0.61213307240704506</v>
      </c>
      <c s="16">
        <v>0.38786692759295499</v>
      </c>
    </row>
    <row>
      <c s="58" t="s">
        <v>139</v>
      </c>
      <c s="29" t="s">
        <v>132</v>
      </c>
      <c s="15">
        <v>2347</v>
      </c>
      <c s="15">
        <v>1558</v>
      </c>
      <c s="24">
        <v>3905</v>
      </c>
      <c s="16">
        <v>0.60102432778489112</v>
      </c>
      <c s="16">
        <v>0.39897567221510882</v>
      </c>
    </row>
    <row>
      <c s="58"/>
      <c s="29" t="s">
        <v>70</v>
      </c>
      <c s="15">
        <v>2193</v>
      </c>
      <c s="15">
        <v>1386</v>
      </c>
      <c s="24">
        <v>3579</v>
      </c>
      <c s="16">
        <v>0.61274098910310137</v>
      </c>
      <c s="16">
        <v>0.38725901089689857</v>
      </c>
    </row>
    <row>
      <c s="58"/>
      <c s="29" t="s">
        <v>32</v>
      </c>
      <c s="15">
        <v>4540</v>
      </c>
      <c s="15">
        <v>2944</v>
      </c>
      <c s="24">
        <v>7484</v>
      </c>
      <c s="16">
        <v>0.606627471940139</v>
      </c>
      <c s="16">
        <v>0.39337252805986106</v>
      </c>
    </row>
    <row>
      <c s="58" t="s">
        <v>111</v>
      </c>
      <c s="29" t="s">
        <v>53</v>
      </c>
      <c s="15">
        <v>2204</v>
      </c>
      <c s="15">
        <v>1420</v>
      </c>
      <c s="24">
        <v>3624</v>
      </c>
      <c s="16">
        <v>0.60816777041942605</v>
      </c>
      <c s="16">
        <v>0.39183222958057395</v>
      </c>
    </row>
    <row>
      <c s="58"/>
      <c s="29" t="s">
        <v>135</v>
      </c>
      <c s="15">
        <v>2213</v>
      </c>
      <c s="15">
        <v>1398</v>
      </c>
      <c s="24">
        <v>3611</v>
      </c>
      <c s="16">
        <v>0.61284962614234284</v>
      </c>
      <c s="16">
        <v>0.38715037385765716</v>
      </c>
    </row>
    <row>
      <c s="58"/>
      <c s="29" t="s">
        <v>32</v>
      </c>
      <c s="15">
        <v>4417</v>
      </c>
      <c s="15">
        <v>2818</v>
      </c>
      <c s="24">
        <v>7235</v>
      </c>
      <c s="16">
        <v>0.61050449205252244</v>
      </c>
      <c s="16">
        <v>0.38949550794747756</v>
      </c>
    </row>
    <row>
      <c s="58" t="s">
        <v>85</v>
      </c>
      <c s="29" t="s">
        <v>113</v>
      </c>
      <c s="15">
        <v>2071</v>
      </c>
      <c s="15">
        <v>1373</v>
      </c>
      <c s="24">
        <v>3444</v>
      </c>
      <c s="16">
        <v>0.60133565621370499</v>
      </c>
      <c s="16">
        <v>0.39866434378629501</v>
      </c>
    </row>
    <row>
      <c s="58"/>
      <c s="29" t="s">
        <v>52</v>
      </c>
      <c s="15">
        <v>2253</v>
      </c>
      <c s="15">
        <v>1368</v>
      </c>
      <c s="24">
        <v>3621</v>
      </c>
      <c s="16">
        <v>0.62220381110190559</v>
      </c>
      <c s="16">
        <v>0.37779618889809446</v>
      </c>
    </row>
    <row>
      <c s="58"/>
      <c s="29" t="s">
        <v>32</v>
      </c>
      <c s="15">
        <v>4324</v>
      </c>
      <c s="15">
        <v>2741</v>
      </c>
      <c s="24">
        <v>7065</v>
      </c>
      <c s="16">
        <v>0.61203113941967446</v>
      </c>
      <c s="16">
        <v>0.38796886058032554</v>
      </c>
    </row>
    <row>
      <c s="58" t="s">
        <v>57</v>
      </c>
      <c s="29" t="s">
        <v>35</v>
      </c>
      <c s="15">
        <v>2070</v>
      </c>
      <c s="15">
        <v>1321</v>
      </c>
      <c s="24">
        <v>3391</v>
      </c>
      <c s="16">
        <v>0.61043939840754935</v>
      </c>
      <c s="16">
        <v>0.38956060159245059</v>
      </c>
    </row>
    <row>
      <c s="58"/>
      <c s="29" t="s">
        <v>112</v>
      </c>
      <c s="15">
        <v>1917</v>
      </c>
      <c s="15">
        <v>1130</v>
      </c>
      <c s="24">
        <v>3047</v>
      </c>
      <c s="16">
        <v>0.62914341975713817</v>
      </c>
      <c s="16">
        <v>0.37085658024286183</v>
      </c>
    </row>
    <row>
      <c s="58"/>
      <c s="29" t="s">
        <v>32</v>
      </c>
      <c s="15">
        <v>3987</v>
      </c>
      <c s="15">
        <v>2451</v>
      </c>
      <c s="24">
        <v>6438</v>
      </c>
      <c s="16">
        <v>0.61929170549860202</v>
      </c>
      <c s="16">
        <v>0.38070829450139793</v>
      </c>
    </row>
    <row>
      <c s="58" t="s">
        <v>34</v>
      </c>
      <c s="29" t="s">
        <v>94</v>
      </c>
      <c s="15">
        <v>1846</v>
      </c>
      <c s="15">
        <v>1267</v>
      </c>
      <c s="24">
        <v>3113</v>
      </c>
      <c s="16">
        <v>0.59299710889816892</v>
      </c>
      <c s="16">
        <v>0.40700289110183102</v>
      </c>
    </row>
    <row>
      <c s="58"/>
      <c s="29" t="s">
        <v>33</v>
      </c>
      <c s="15">
        <v>1867</v>
      </c>
      <c s="15">
        <v>1132</v>
      </c>
      <c s="24">
        <v>2999</v>
      </c>
      <c s="16">
        <v>0.62254084694898304</v>
      </c>
      <c s="16">
        <v>0.37745915305101702</v>
      </c>
    </row>
    <row>
      <c s="58"/>
      <c s="29" t="s">
        <v>32</v>
      </c>
      <c s="15">
        <v>3713</v>
      </c>
      <c s="15">
        <v>2399</v>
      </c>
      <c s="24">
        <v>6112</v>
      </c>
      <c s="16">
        <v>0.60749345549738221</v>
      </c>
      <c s="16">
        <v>0.39250654450261779</v>
      </c>
    </row>
    <row>
      <c s="58" t="s">
        <v>65</v>
      </c>
      <c s="29" t="s">
        <v>58</v>
      </c>
      <c s="15">
        <v>1833</v>
      </c>
      <c s="15">
        <v>1205</v>
      </c>
      <c s="24">
        <v>3038</v>
      </c>
      <c s="16">
        <v>0.60335747202106649</v>
      </c>
      <c s="16">
        <v>0.39664252797893351</v>
      </c>
    </row>
    <row>
      <c s="58"/>
      <c s="29" t="s">
        <v>93</v>
      </c>
      <c s="15">
        <v>2054</v>
      </c>
      <c s="15">
        <v>1220</v>
      </c>
      <c s="24">
        <v>3274</v>
      </c>
      <c s="16">
        <v>0.62736713500305441</v>
      </c>
      <c s="16">
        <v>0.37263286499694565</v>
      </c>
    </row>
    <row>
      <c s="58"/>
      <c s="29" t="s">
        <v>32</v>
      </c>
      <c s="15">
        <v>3887</v>
      </c>
      <c s="15">
        <v>2425</v>
      </c>
      <c s="24">
        <v>6312</v>
      </c>
      <c s="16">
        <v>0.61581115335868186</v>
      </c>
      <c s="16">
        <v>0.38418884664131814</v>
      </c>
    </row>
    <row>
      <c s="58" t="s">
        <v>5</v>
      </c>
      <c s="29" t="s">
        <v>148</v>
      </c>
      <c s="15">
        <v>1984</v>
      </c>
      <c s="15">
        <v>1345</v>
      </c>
      <c s="24">
        <v>3329</v>
      </c>
      <c s="16">
        <v>0.59597476719735654</v>
      </c>
      <c s="16">
        <v>0.40402523280264346</v>
      </c>
    </row>
    <row>
      <c s="58"/>
      <c s="29" t="s">
        <v>80</v>
      </c>
      <c s="15">
        <v>1944</v>
      </c>
      <c s="15">
        <v>1184</v>
      </c>
      <c s="24">
        <v>3128</v>
      </c>
      <c s="16">
        <v>0.62148337595907932</v>
      </c>
      <c s="16">
        <v>0.37851662404092074</v>
      </c>
    </row>
    <row>
      <c s="58"/>
      <c s="29" t="s">
        <v>32</v>
      </c>
      <c s="15">
        <v>3928</v>
      </c>
      <c s="15">
        <v>2529</v>
      </c>
      <c s="24">
        <v>6457</v>
      </c>
      <c s="16">
        <v>0.60833204274430852</v>
      </c>
      <c s="16">
        <v>0.39166795725569148</v>
      </c>
    </row>
    <row>
      <c s="58" t="s">
        <v>123</v>
      </c>
      <c s="29" t="s">
        <v>62</v>
      </c>
      <c s="15">
        <v>1967</v>
      </c>
      <c s="15">
        <v>1273</v>
      </c>
      <c s="24">
        <v>3240</v>
      </c>
      <c s="16">
        <v>0.60709876543209873</v>
      </c>
      <c s="16">
        <v>0.39290123456790121</v>
      </c>
    </row>
    <row>
      <c s="58"/>
      <c s="29" t="s">
        <v>149</v>
      </c>
      <c s="15">
        <v>1999</v>
      </c>
      <c s="15">
        <v>1246</v>
      </c>
      <c s="24">
        <v>3245</v>
      </c>
      <c s="16">
        <v>0.61602465331278888</v>
      </c>
      <c s="16">
        <v>0.38397534668721112</v>
      </c>
    </row>
    <row>
      <c s="58"/>
      <c s="29" t="s">
        <v>32</v>
      </c>
      <c s="15">
        <v>3966</v>
      </c>
      <c s="15">
        <v>2519</v>
      </c>
      <c s="24">
        <v>6485</v>
      </c>
      <c s="16">
        <v>0.61156515034695447</v>
      </c>
      <c s="16">
        <v>0.38843484965304548</v>
      </c>
    </row>
    <row>
      <c s="58" t="s">
        <v>104</v>
      </c>
      <c s="29" t="s">
        <v>122</v>
      </c>
      <c s="15">
        <v>1879</v>
      </c>
      <c s="15">
        <v>1268</v>
      </c>
      <c s="24">
        <v>3147</v>
      </c>
      <c s="16">
        <v>0.5970765808706705</v>
      </c>
      <c s="16">
        <v>0.4029234191293295</v>
      </c>
    </row>
    <row>
      <c s="58"/>
      <c s="29" t="s">
        <v>61</v>
      </c>
      <c s="15">
        <v>1886</v>
      </c>
      <c s="15">
        <v>1264</v>
      </c>
      <c s="24">
        <v>3150</v>
      </c>
      <c s="16">
        <v>0.59873015873015878</v>
      </c>
      <c s="16">
        <v>0.40126984126984128</v>
      </c>
    </row>
    <row>
      <c s="58"/>
      <c s="29" t="s">
        <v>32</v>
      </c>
      <c s="15">
        <v>3765</v>
      </c>
      <c s="15">
        <v>2532</v>
      </c>
      <c s="24">
        <v>6297</v>
      </c>
      <c s="16">
        <v>0.5979037636969986</v>
      </c>
      <c s="16">
        <v>0.40209623630300145</v>
      </c>
    </row>
    <row>
      <c s="58" t="s">
        <v>73</v>
      </c>
      <c s="29" t="s">
        <v>39</v>
      </c>
      <c s="15">
        <v>1790</v>
      </c>
      <c s="15">
        <v>1324</v>
      </c>
      <c s="24">
        <v>3114</v>
      </c>
      <c s="16">
        <v>0.57482337829158636</v>
      </c>
      <c s="16">
        <v>0.42517662170841364</v>
      </c>
    </row>
    <row>
      <c s="58"/>
      <c s="29" t="s">
        <v>129</v>
      </c>
      <c s="15">
        <v>1934</v>
      </c>
      <c s="15">
        <v>1248</v>
      </c>
      <c s="24">
        <v>3182</v>
      </c>
      <c s="16">
        <v>0.60779384035197992</v>
      </c>
      <c s="16">
        <v>0.39220615964802014</v>
      </c>
    </row>
    <row>
      <c s="58"/>
      <c s="29" t="s">
        <v>32</v>
      </c>
      <c s="15">
        <v>3724</v>
      </c>
      <c s="15">
        <v>2572</v>
      </c>
      <c s="24">
        <v>6296</v>
      </c>
      <c s="16">
        <v>0.5914866581956798</v>
      </c>
      <c s="16">
        <v>0.4085133418043202</v>
      </c>
    </row>
    <row>
      <c s="58" t="s">
        <v>54</v>
      </c>
      <c s="29" t="s">
        <v>105</v>
      </c>
      <c s="15">
        <v>1936</v>
      </c>
      <c s="15">
        <v>1390</v>
      </c>
      <c s="24">
        <v>3326</v>
      </c>
      <c s="16">
        <v>0.58208057726999396</v>
      </c>
      <c s="16">
        <v>0.41791942273000604</v>
      </c>
    </row>
    <row>
      <c s="58"/>
      <c s="29" t="s">
        <v>38</v>
      </c>
      <c s="15">
        <v>1956</v>
      </c>
      <c s="15">
        <v>1315</v>
      </c>
      <c s="24">
        <v>3271</v>
      </c>
      <c s="16">
        <v>0.59798226841944357</v>
      </c>
      <c s="16">
        <v>0.40201773158055643</v>
      </c>
    </row>
    <row>
      <c s="58"/>
      <c s="29" t="s">
        <v>32</v>
      </c>
      <c s="15">
        <v>3892</v>
      </c>
      <c s="15">
        <v>2705</v>
      </c>
      <c s="24">
        <v>6597</v>
      </c>
      <c s="16">
        <v>0.58996513566772779</v>
      </c>
      <c s="16">
        <v>0.41003486433227226</v>
      </c>
    </row>
    <row>
      <c s="58" t="s">
        <v>27</v>
      </c>
      <c s="29" t="s">
        <v>25</v>
      </c>
      <c s="15">
        <v>1855</v>
      </c>
      <c s="15">
        <v>1347</v>
      </c>
      <c s="24">
        <v>3202</v>
      </c>
      <c s="16">
        <v>0.57932542161149281</v>
      </c>
      <c s="16">
        <v>0.42067457838850719</v>
      </c>
    </row>
    <row>
      <c s="58"/>
      <c s="29" t="s">
        <v>103</v>
      </c>
      <c s="15">
        <v>1976</v>
      </c>
      <c s="15">
        <v>1329</v>
      </c>
      <c s="24">
        <v>3305</v>
      </c>
      <c s="16">
        <v>0.59788199697428135</v>
      </c>
      <c s="16">
        <v>0.4021180030257186</v>
      </c>
    </row>
    <row>
      <c s="58"/>
      <c s="29" t="s">
        <v>32</v>
      </c>
      <c s="15">
        <v>3831</v>
      </c>
      <c s="15">
        <v>2676</v>
      </c>
      <c s="24">
        <v>6507</v>
      </c>
      <c s="16">
        <v>0.58875057630244354</v>
      </c>
      <c s="16">
        <v>0.41124942369755646</v>
      </c>
    </row>
    <row>
      <c s="58" t="s">
        <v>142</v>
      </c>
      <c s="29" t="s">
        <v>83</v>
      </c>
      <c s="15">
        <v>1852</v>
      </c>
      <c s="15">
        <v>1334</v>
      </c>
      <c s="24">
        <v>3186</v>
      </c>
      <c s="16">
        <v>0.58129315756434397</v>
      </c>
      <c s="16">
        <v>0.41870684243565598</v>
      </c>
    </row>
    <row>
      <c s="58"/>
      <c s="29" t="s">
        <v>24</v>
      </c>
      <c s="15">
        <v>1999</v>
      </c>
      <c s="15">
        <v>1280</v>
      </c>
      <c s="24">
        <v>3279</v>
      </c>
      <c s="16">
        <v>0.60963708447697473</v>
      </c>
      <c s="16">
        <v>0.39036291552302532</v>
      </c>
    </row>
    <row>
      <c s="58"/>
      <c s="29" t="s">
        <v>32</v>
      </c>
      <c s="15">
        <v>3851</v>
      </c>
      <c s="15">
        <v>2614</v>
      </c>
      <c s="24">
        <v>6465</v>
      </c>
      <c s="16">
        <v>0.59566898685228153</v>
      </c>
      <c s="16">
        <v>0.40433101314771847</v>
      </c>
    </row>
    <row>
      <c s="58" t="s">
        <v>114</v>
      </c>
      <c s="29" t="s">
        <v>3</v>
      </c>
      <c s="15">
        <v>1663</v>
      </c>
      <c s="15">
        <v>1331</v>
      </c>
      <c s="24">
        <v>2994</v>
      </c>
      <c s="16">
        <v>0.55544422177688713</v>
      </c>
      <c s="16">
        <v>0.44455577822311287</v>
      </c>
    </row>
    <row>
      <c s="58"/>
      <c s="29" t="s">
        <v>82</v>
      </c>
      <c s="15">
        <v>1704</v>
      </c>
      <c s="15">
        <v>1337</v>
      </c>
      <c s="24">
        <v>3041</v>
      </c>
      <c s="16">
        <v>0.56034199276553764</v>
      </c>
      <c s="16">
        <v>0.43965800723446236</v>
      </c>
    </row>
    <row>
      <c s="58"/>
      <c s="29" t="s">
        <v>32</v>
      </c>
      <c s="15">
        <v>3367</v>
      </c>
      <c s="15">
        <v>2668</v>
      </c>
      <c s="24">
        <v>6035</v>
      </c>
      <c s="16">
        <v>0.55791217895608947</v>
      </c>
      <c s="16">
        <v>0.44208782104391053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0"/>
      <c s="6"/>
      <c s="6"/>
      <c s="6"/>
      <c s="6"/>
      <c s="6"/>
      <c s="6"/>
      <c s="6"/>
      <c s="6"/>
      <c s="6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4">
    <mergeCell ref="A1:E1"/>
    <mergeCell ref="A3:E3"/>
    <mergeCell ref="A4:G4"/>
    <mergeCell ref="A5:G5"/>
    <mergeCell ref="A6:G6"/>
    <mergeCell ref="A7:B7"/>
    <mergeCell ref="A8:E8"/>
    <mergeCell ref="C17:G17"/>
    <mergeCell ref="C18:E18"/>
    <mergeCell ref="F18:G18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0866141732283472" right="0.70866141732283472" top="0.78740157480314965" bottom="0.78740157480314965" header="0.31496062992125984" footer="0.31496062992125984"/>
  <pageSetup paperSize="9" scale="40" fitToHeight="0" orientation="landscape"/>
  <headerFooter>
    <oddHeader>&amp;L&amp;"Tahoma,Standard"&amp;10bmbwf, Abt. IV/10&amp;R&amp;"Tahoma,Standard"&amp;10unidata/&amp;D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3:F35"/>
  <sheetViews>
    <sheetView workbookViewId="0">
      <selection activeCell="A32" sqref="A32"/>
    </sheetView>
  </sheetViews>
  <sheetFormatPr defaultColWidth="11.375" defaultRowHeight="14.25"/>
  <cols>
    <col min="1" max="1" width="41.62890625" customWidth="1"/>
    <col min="2" max="2" width="13.2890625" customWidth="1"/>
  </cols>
  <sheetData>
    <row r="3" ht="14.95">
      <c s="3" t="s">
        <v>23</v>
      </c>
      <c s="23" t="s">
        <v>32</v>
      </c>
    </row>
    <row ht="14.95">
      <c s="3" t="s">
        <v>48</v>
      </c>
      <c s="23" t="s">
        <v>32</v>
      </c>
    </row>
    <row ht="14.95">
      <c s="3" t="s">
        <v>131</v>
      </c>
      <c s="23" t="s">
        <v>32</v>
      </c>
    </row>
    <row ht="14.95">
      <c s="3" t="s">
        <v>0</v>
      </c>
      <c s="23" t="s">
        <v>101</v>
      </c>
    </row>
    <row r="9" ht="14.95">
      <c r="B9" s="3" t="s">
        <v>56</v>
      </c>
      <c s="3" t="s">
        <v>49</v>
      </c>
      <c s="3" t="s">
        <v>138</v>
      </c>
    </row>
    <row ht="14.95">
      <c r="B10" s="5" t="s">
        <v>12</v>
      </c>
      <c s="5"/>
      <c s="5"/>
      <c s="5"/>
      <c s="5"/>
    </row>
    <row ht="14.95">
      <c r="B11" s="5" t="s">
        <v>13</v>
      </c>
      <c s="5"/>
      <c s="5"/>
      <c s="14" t="s">
        <v>92</v>
      </c>
      <c s="14"/>
    </row>
    <row ht="14.95">
      <c s="3" t="s">
        <v>14</v>
      </c>
      <c s="7" t="s">
        <v>2</v>
      </c>
      <c s="7" t="s">
        <v>50</v>
      </c>
      <c s="28" t="s">
        <v>32</v>
      </c>
      <c s="7" t="s">
        <v>2</v>
      </c>
      <c s="7" t="s">
        <v>50</v>
      </c>
    </row>
    <row ht="14.95">
      <c s="29" t="s">
        <v>114</v>
      </c>
      <c s="15">
        <v>3367</v>
      </c>
      <c s="15">
        <v>2668</v>
      </c>
      <c s="24">
        <v>6035</v>
      </c>
      <c s="16">
        <v>0.55791217895608947</v>
      </c>
      <c s="16">
        <v>0.44208782104391053</v>
      </c>
    </row>
    <row ht="14.95">
      <c s="29" t="s">
        <v>142</v>
      </c>
      <c s="15">
        <v>3851</v>
      </c>
      <c s="15">
        <v>2614</v>
      </c>
      <c s="24">
        <v>6465</v>
      </c>
      <c s="16">
        <v>0.59566898685228153</v>
      </c>
      <c s="16">
        <v>0.40433101314771847</v>
      </c>
    </row>
    <row ht="14.95">
      <c s="29" t="s">
        <v>27</v>
      </c>
      <c s="15">
        <v>3831</v>
      </c>
      <c s="15">
        <v>2676</v>
      </c>
      <c s="24">
        <v>6507</v>
      </c>
      <c s="16">
        <v>0.58875057630244354</v>
      </c>
      <c s="16">
        <v>0.41124942369755646</v>
      </c>
    </row>
    <row ht="14.95">
      <c s="29" t="s">
        <v>54</v>
      </c>
      <c s="15">
        <v>3892</v>
      </c>
      <c s="15">
        <v>2705</v>
      </c>
      <c s="24">
        <v>6597</v>
      </c>
      <c s="16">
        <v>0.58996513566772779</v>
      </c>
      <c s="16">
        <v>0.41003486433227226</v>
      </c>
    </row>
    <row ht="14.95">
      <c s="29" t="s">
        <v>73</v>
      </c>
      <c s="15">
        <v>3724</v>
      </c>
      <c s="15">
        <v>2572</v>
      </c>
      <c s="24">
        <v>6296</v>
      </c>
      <c s="16">
        <v>0.5914866581956798</v>
      </c>
      <c s="16">
        <v>0.4085133418043202</v>
      </c>
    </row>
    <row ht="14.95">
      <c s="29" t="s">
        <v>104</v>
      </c>
      <c s="15">
        <v>3765</v>
      </c>
      <c s="15">
        <v>2532</v>
      </c>
      <c s="24">
        <v>6297</v>
      </c>
      <c s="16">
        <v>0.5979037636969986</v>
      </c>
      <c s="16">
        <v>0.40209623630300145</v>
      </c>
    </row>
    <row ht="14.95">
      <c s="29" t="s">
        <v>123</v>
      </c>
      <c s="15">
        <v>3966</v>
      </c>
      <c s="15">
        <v>2519</v>
      </c>
      <c s="24">
        <v>6485</v>
      </c>
      <c s="16">
        <v>0.61156515034695447</v>
      </c>
      <c s="16">
        <v>0.38843484965304548</v>
      </c>
    </row>
    <row ht="14.95">
      <c s="29" t="s">
        <v>5</v>
      </c>
      <c s="15">
        <v>3928</v>
      </c>
      <c s="15">
        <v>2529</v>
      </c>
      <c s="24">
        <v>6457</v>
      </c>
      <c s="16">
        <v>0.60833204274430852</v>
      </c>
      <c s="16">
        <v>0.39166795725569148</v>
      </c>
    </row>
    <row ht="14.95">
      <c s="29" t="s">
        <v>65</v>
      </c>
      <c s="15">
        <v>3887</v>
      </c>
      <c s="15">
        <v>2425</v>
      </c>
      <c s="24">
        <v>6312</v>
      </c>
      <c s="16">
        <v>0.61581115335868186</v>
      </c>
      <c s="16">
        <v>0.38418884664131814</v>
      </c>
    </row>
    <row ht="14.95">
      <c s="29" t="s">
        <v>34</v>
      </c>
      <c s="15">
        <v>3713</v>
      </c>
      <c s="15">
        <v>2399</v>
      </c>
      <c s="24">
        <v>6112</v>
      </c>
      <c s="16">
        <v>0.60749345549738221</v>
      </c>
      <c s="16">
        <v>0.39250654450261779</v>
      </c>
    </row>
    <row ht="14.95">
      <c s="29" t="s">
        <v>57</v>
      </c>
      <c s="15">
        <v>3987</v>
      </c>
      <c s="15">
        <v>2451</v>
      </c>
      <c s="24">
        <v>6438</v>
      </c>
      <c s="16">
        <v>0.61929170549860202</v>
      </c>
      <c s="16">
        <v>0.38070829450139793</v>
      </c>
    </row>
    <row ht="14.95">
      <c s="29" t="s">
        <v>85</v>
      </c>
      <c s="15">
        <v>4324</v>
      </c>
      <c s="15">
        <v>2741</v>
      </c>
      <c s="24">
        <v>7065</v>
      </c>
      <c s="16">
        <v>0.61203113941967446</v>
      </c>
      <c s="16">
        <v>0.38796886058032554</v>
      </c>
    </row>
    <row ht="14.95">
      <c s="29" t="s">
        <v>111</v>
      </c>
      <c s="15">
        <v>4417</v>
      </c>
      <c s="15">
        <v>2818</v>
      </c>
      <c s="24">
        <v>7235</v>
      </c>
      <c s="16">
        <v>0.61050449205252244</v>
      </c>
      <c s="16">
        <v>0.38949550794747756</v>
      </c>
    </row>
    <row ht="14.95">
      <c s="29" t="s">
        <v>139</v>
      </c>
      <c s="15">
        <v>4540</v>
      </c>
      <c s="15">
        <v>2944</v>
      </c>
      <c s="24">
        <v>7484</v>
      </c>
      <c s="16">
        <v>0.606627471940139</v>
      </c>
      <c s="16">
        <v>0.39337252805986106</v>
      </c>
    </row>
    <row ht="14.95">
      <c s="29" t="s">
        <v>26</v>
      </c>
      <c s="15">
        <v>4692</v>
      </c>
      <c s="15">
        <v>2973</v>
      </c>
      <c s="24">
        <v>7665</v>
      </c>
      <c s="16">
        <v>0.61213307240704506</v>
      </c>
      <c s="16">
        <v>0.38786692759295499</v>
      </c>
    </row>
    <row ht="14.95">
      <c s="29" t="s">
        <v>51</v>
      </c>
      <c s="15">
        <v>4910</v>
      </c>
      <c s="15">
        <v>3050</v>
      </c>
      <c s="24">
        <v>7960</v>
      </c>
      <c s="16">
        <v>0.61683417085427139</v>
      </c>
      <c s="16">
        <v>0.38316582914572866</v>
      </c>
    </row>
    <row ht="14.95">
      <c s="29" t="s">
        <v>71</v>
      </c>
      <c s="15">
        <v>5063</v>
      </c>
      <c s="15">
        <v>3285</v>
      </c>
      <c s="24">
        <v>8348</v>
      </c>
      <c s="16">
        <v>0.60649257307139437</v>
      </c>
      <c s="16">
        <v>0.39350742692860563</v>
      </c>
    </row>
    <row ht="14.95">
      <c s="29" t="s">
        <v>102</v>
      </c>
      <c s="15">
        <v>4653</v>
      </c>
      <c s="15">
        <v>3010</v>
      </c>
      <c s="24">
        <v>7663</v>
      </c>
      <c s="16">
        <v>0.60720344512592983</v>
      </c>
      <c s="16">
        <v>0.39279655487407023</v>
      </c>
    </row>
    <row ht="14.95">
      <c s="29" t="s">
        <v>16</v>
      </c>
      <c s="15">
        <v>4116</v>
      </c>
      <c s="15">
        <v>2673</v>
      </c>
      <c s="24">
        <v>6789</v>
      </c>
      <c s="16">
        <v>0.60627485638532919</v>
      </c>
      <c s="16">
        <v>0.39372514361467081</v>
      </c>
    </row>
    <row ht="14.95">
      <c s="29" t="s">
        <v>15</v>
      </c>
      <c s="15">
        <v>5213</v>
      </c>
      <c s="15">
        <v>3055</v>
      </c>
      <c s="24">
        <v>8268</v>
      </c>
      <c s="16">
        <v>0.63050314465408808</v>
      </c>
      <c s="16">
        <v>0.36949685534591192</v>
      </c>
    </row>
    <row ht="14.95">
      <c s="29" t="s">
        <v>46</v>
      </c>
      <c s="15">
        <v>4725</v>
      </c>
      <c s="15">
        <v>2771</v>
      </c>
      <c s="24">
        <v>7496</v>
      </c>
      <c s="16">
        <v>0.63033617929562435</v>
      </c>
      <c s="16">
        <v>0.36966382070437565</v>
      </c>
    </row>
    <row ht="14.95">
      <c s="29" t="s">
        <v>69</v>
      </c>
      <c s="15">
        <v>4586</v>
      </c>
      <c s="15">
        <v>2913</v>
      </c>
      <c s="24">
        <v>7499</v>
      </c>
      <c s="16">
        <v>0.61154820642752372</v>
      </c>
      <c s="16">
        <v>0.38845179357247633</v>
      </c>
    </row>
    <row ht="14.95">
      <c s="29" t="s">
        <v>100</v>
      </c>
      <c s="15">
        <v>4359</v>
      </c>
      <c s="15">
        <v>2949</v>
      </c>
      <c s="24">
        <v>7308</v>
      </c>
      <c s="16">
        <v>0.59646962233169132</v>
      </c>
      <c s="16">
        <v>0.40353037766830868</v>
      </c>
    </row>
  </sheetData>
  <mergeCells count="3">
    <mergeCell ref="B10:F10"/>
    <mergeCell ref="B11:D11"/>
    <mergeCell ref="E11:F11"/>
  </mergeCells>
  <pageMargins left="0.7" right="0.7" top="0.787401575" bottom="0.787401575" header="0.3" footer="0.3"/>
  <pageSetup paperSize="9" fitToWidth="0" fitToHeight="0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1"/>
  <sheetViews>
    <sheetView workbookViewId="0">
      <selection activeCell="D28" sqref="D28"/>
    </sheetView>
  </sheetViews>
  <sheetFormatPr defaultColWidth="9.125" defaultRowHeight="13.6"/>
  <cols>
    <col min="1" max="1" width="14.19921875" style="22" customWidth="1"/>
    <col min="2" max="2" width="42.67578125" style="22" customWidth="1"/>
    <col min="3" max="3" width="29.3515625" style="22" customWidth="1"/>
    <col min="4" max="4" width="16.94921875" style="22" customWidth="1"/>
    <col min="5" max="5" width="20.20703125" style="22" customWidth="1"/>
    <col min="6" max="6" width="11.5859375" style="22" customWidth="1"/>
    <col min="7" max="7" width="9.125" style="22" customWidth="1"/>
    <col min="8" max="8" width="17.9921875" style="22" customWidth="1"/>
    <col min="9" max="9" width="20.46875" style="22" customWidth="1"/>
    <col min="10" max="12" width="12.89453125" style="22" customWidth="1"/>
    <col min="13" max="13" width="16.6875" style="22" customWidth="1"/>
    <col min="14" max="14" width="14.85546875" style="22" customWidth="1"/>
    <col min="15" max="15" width="19.0390625" style="22" customWidth="1"/>
    <col min="16" max="25" width="9.125" style="22" customWidth="1"/>
    <col min="26" max="26" width="9.125" style="22" hidden="1" customWidth="1"/>
    <col min="27" max="27" width="9.125" style="22" customWidth="1"/>
    <col min="28" max="16384" width="9.125" style="22"/>
  </cols>
  <sheetData>
    <row>
      <c s="52"/>
      <c r="H1" s="67">
        <v>129806172700000000</v>
      </c>
      <c r="Z1" s="40" t="b">
        <f>0=1</f>
        <v>0</v>
      </c>
    </row>
    <row>
      <c r="Z2" s="40" t="b">
        <f>1=1</f>
        <v>1</v>
      </c>
    </row>
    <row>
      <c r="Z3" s="40"/>
    </row>
    <row>
      <c r="I4" s="22" t="s">
        <v>55</v>
      </c>
      <c s="69" t="s">
        <v>107</v>
      </c>
      <c s="13"/>
      <c s="13"/>
      <c s="13"/>
      <c s="13"/>
      <c s="13"/>
    </row>
    <row>
      <c r="J5" s="25" t="s">
        <v>40</v>
      </c>
      <c s="19" t="s">
        <v>74</v>
      </c>
      <c s="19" t="s">
        <v>95</v>
      </c>
      <c s="25" t="s">
        <v>143</v>
      </c>
      <c s="65" t="s">
        <v>115</v>
      </c>
      <c s="19" t="s">
        <v>7</v>
      </c>
    </row>
    <row>
      <c r="B6" s="32" t="s">
        <v>116</v>
      </c>
      <c s="20" t="s">
        <v>126</v>
      </c>
      <c s="62" t="s">
        <v>17</v>
      </c>
      <c s="10" t="s">
        <v>75</v>
      </c>
    </row>
    <row>
      <c r="C7" s="17"/>
      <c s="26" t="s">
        <v>18</v>
      </c>
      <c s="10" t="s">
        <v>88</v>
      </c>
    </row>
    <row>
      <c r="C8" s="26" t="s">
        <v>8</v>
      </c>
      <c s="17"/>
    </row>
    <row>
      <c r="C9" s="17"/>
      <c s="20" t="s">
        <v>41</v>
      </c>
      <c s="48"/>
    </row>
    <row>
      <c r="C10" s="20" t="s">
        <v>66</v>
      </c>
      <c s="57" t="s">
        <v>96</v>
      </c>
      <c s="10" t="s">
        <v>30</v>
      </c>
    </row>
    <row>
      <c r="B11" s="32" t="s">
        <v>76</v>
      </c>
      <c s="53" t="s">
        <v>67</v>
      </c>
      <c s="37">
        <v>60398</v>
      </c>
      <c s="10" t="s">
        <v>42</v>
      </c>
    </row>
    <row>
      <c r="B12" s="32"/>
      <c s="43"/>
      <c s="61"/>
      <c s="54" t="s">
        <v>108</v>
      </c>
    </row>
    <row>
      <c r="B13" s="32" t="s">
        <v>68</v>
      </c>
      <c s="59" t="s">
        <v>36</v>
      </c>
      <c s="45">
        <v>1212</v>
      </c>
      <c s="22" t="b">
        <v>0</v>
      </c>
      <c s="10" t="s">
        <v>97</v>
      </c>
    </row>
    <row ht="12.75" hidden="1">
      <c r="B14" s="32"/>
      <c s="59"/>
      <c s="42"/>
      <c s="22" t="b">
        <v>0</v>
      </c>
    </row>
    <row>
      <c r="B15" s="32" t="s">
        <v>127</v>
      </c>
      <c s="22" t="s">
        <v>134</v>
      </c>
      <c s="44">
        <v>1212</v>
      </c>
      <c s="22" t="b">
        <v>0</v>
      </c>
      <c s="10" t="s">
        <v>37</v>
      </c>
    </row>
    <row ht="12.75" hidden="1">
      <c r="B16" s="32"/>
      <c r="D16" s="18"/>
      <c s="22" t="b">
        <v>0</v>
      </c>
      <c s="10"/>
    </row>
    <row>
      <c r="B17" s="32"/>
      <c s="22" t="s">
        <v>43</v>
      </c>
      <c s="46">
        <v>3434</v>
      </c>
      <c s="22" t="b">
        <v>0</v>
      </c>
      <c s="10" t="s">
        <v>98</v>
      </c>
    </row>
    <row>
      <c r="B18" s="32"/>
      <c r="D18" s="18"/>
      <c s="22" t="b">
        <v>0</v>
      </c>
      <c s="10"/>
    </row>
    <row>
      <c r="B19" s="32"/>
      <c s="22" t="s">
        <v>9</v>
      </c>
      <c s="56">
        <v>3434</v>
      </c>
      <c s="22" t="b">
        <v>0</v>
      </c>
      <c s="10" t="s">
        <v>117</v>
      </c>
    </row>
    <row>
      <c r="B20" s="32"/>
      <c r="D20" s="18"/>
      <c s="22" t="b">
        <v>0</v>
      </c>
      <c s="10"/>
    </row>
    <row>
      <c r="B21" s="32"/>
      <c s="22" t="s">
        <v>118</v>
      </c>
      <c s="51">
        <v>5656</v>
      </c>
      <c s="22" t="b">
        <v>0</v>
      </c>
      <c s="10" t="s">
        <v>144</v>
      </c>
    </row>
    <row>
      <c r="B22" s="32"/>
      <c r="E22" s="10"/>
      <c r="I22" s="38"/>
    </row>
    <row>
      <c r="B23" s="21" t="s">
        <v>10</v>
      </c>
      <c s="21"/>
    </row>
    <row>
      <c r="B24" s="9" t="s">
        <v>77</v>
      </c>
      <c s="9" t="s">
        <v>44</v>
      </c>
      <c s="9" t="s">
        <v>19</v>
      </c>
      <c s="9" t="s">
        <v>119</v>
      </c>
      <c s="9"/>
      <c s="9"/>
      <c s="9" t="s">
        <v>145</v>
      </c>
    </row>
    <row>
      <c s="22" t="s">
        <v>89</v>
      </c>
      <c r="C25" s="49" t="s">
        <v>11</v>
      </c>
      <c s="33" t="s">
        <v>99</v>
      </c>
      <c s="33">
        <v>1234.5599999999999</v>
      </c>
      <c s="10" t="s">
        <v>109</v>
      </c>
      <c r="H25" s="22" t="s">
        <v>120</v>
      </c>
    </row>
    <row>
      <c s="22" t="s">
        <v>128</v>
      </c>
      <c r="C26" s="49" t="s">
        <v>11</v>
      </c>
      <c s="33" t="s">
        <v>99</v>
      </c>
      <c s="33">
        <v>1234.5599999999999</v>
      </c>
      <c s="10" t="s">
        <v>90</v>
      </c>
      <c r="H26" s="22" t="s">
        <v>146</v>
      </c>
    </row>
    <row>
      <c r="C27" s="49" t="s">
        <v>11</v>
      </c>
      <c s="27" t="s">
        <v>99</v>
      </c>
      <c s="27">
        <v>1234.5599999999999</v>
      </c>
      <c r="H27" s="22" t="s">
        <v>91</v>
      </c>
    </row>
    <row>
      <c r="C28" s="36" t="s">
        <v>121</v>
      </c>
      <c s="60" t="s">
        <v>32</v>
      </c>
      <c s="64">
        <v>1234.5599999999999</v>
      </c>
      <c r="H28" s="22" t="s">
        <v>45</v>
      </c>
    </row>
    <row>
      <c r="C29" s="36" t="s">
        <v>78</v>
      </c>
      <c s="35" t="s">
        <v>12</v>
      </c>
      <c s="41">
        <v>1234.5599999999999</v>
      </c>
      <c r="H29" s="22" t="s">
        <v>147</v>
      </c>
    </row>
    <row>
      <c r="C30" s="36" t="s">
        <v>11</v>
      </c>
      <c s="66" t="s">
        <v>13</v>
      </c>
      <c s="55">
        <v>1234.5599999999999</v>
      </c>
    </row>
    <row>
      <c r="C31" s="36" t="s">
        <v>11</v>
      </c>
      <c s="63" t="s">
        <v>92</v>
      </c>
      <c s="3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
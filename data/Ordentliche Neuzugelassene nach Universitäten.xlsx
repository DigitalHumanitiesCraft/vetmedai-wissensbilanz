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0065"/>
  </bookViews>
  <sheets>
    <sheet name="Tab" sheetId="1" r:id="rId1"/>
    <sheet name="Tabelle1" sheetId="2" state="hidden" r:id="rId2"/>
    <sheet name="XLCubedFormats" sheetId="3" state="hidden" r:id="rId3"/>
  </sheets>
  <definedNames>
    <definedName name="XL3DisableCameraObjects" hidden="1">XLCubedFormats!A1</definedName>
    <definedName name="XL3ObjLocation9256c58b_dd95_452e_8805_545281a74afa">Tab!$A$8</definedName>
    <definedName name="XL3ObjLocationdf6a36cf_7005_4e38_9c0a_640aa8e01e86">Tabelle1!$A$8</definedName>
  </definedNames>
  <calcPr calcId="40001"/>
</workbook>
</file>

<file path=xl/sharedStrings.xml><?xml version="1.0" encoding="utf-8"?>
<sst xmlns="http://schemas.openxmlformats.org/spreadsheetml/2006/main" uniqueCount="101">
  <si>
    <t>Semester und Datenstichtag</t>
  </si>
  <si>
    <t>Universität</t>
  </si>
  <si>
    <t>Frauen</t>
  </si>
  <si>
    <t>Wirtschaftsuniversität Wien</t>
  </si>
  <si>
    <t>Slicer Button Background</t>
  </si>
  <si>
    <t>Grid Title</t>
  </si>
  <si>
    <t>Oth Written Member</t>
  </si>
  <si>
    <t>Fill in Grid Name, Dimension or Both</t>
  </si>
  <si>
    <t>[ALLG Wertart].[Wertart]</t>
  </si>
  <si>
    <t>Staatengruppe (Ö, EU, andere)</t>
  </si>
  <si>
    <t>Absolutwert</t>
  </si>
  <si>
    <t>Universität für Musik und darstellende Kunst Wien</t>
  </si>
  <si>
    <t>All Marital Status</t>
  </si>
  <si>
    <t>Male</t>
  </si>
  <si>
    <t>Member1 Name</t>
  </si>
  <si>
    <t>Anmerkung: Ab dem WS 2016 erfolgt die zähltechnische Abbildung der Studierenden auf Basis des Verteilungsschlüssels gemäß § 22 Abs. 2 UHSBV.</t>
  </si>
  <si>
    <t>Universität Wien</t>
  </si>
  <si>
    <t>Universität für angewandte Kunst Wien</t>
  </si>
  <si>
    <t>&lt;-- default Column Member Format</t>
  </si>
  <si>
    <t>[ALLG Universität].[Universität]</t>
  </si>
  <si>
    <t>Gesamt</t>
  </si>
  <si>
    <t>Universität Klagenfurt</t>
  </si>
  <si>
    <t>Universität Mozarteum Salzburg</t>
  </si>
  <si>
    <t>Alternate Rows</t>
  </si>
  <si>
    <t>&lt;--  writeable cell format</t>
  </si>
  <si>
    <t xml:space="preserve"> </t>
  </si>
  <si>
    <t>Slicer Title</t>
  </si>
  <si>
    <t>Calendar Period</t>
  </si>
  <si>
    <t>&lt;-- default cell format</t>
  </si>
  <si>
    <t>Written Member</t>
  </si>
  <si>
    <t>Dimension/Column</t>
  </si>
  <si>
    <t xml:space="preserve">Erstzugelassene </t>
  </si>
  <si>
    <t>4) Prozentangaben werden standardmäßig mit einer Kommastelle angezeigt</t>
  </si>
  <si>
    <t>Wertart</t>
  </si>
  <si>
    <t>Männer</t>
  </si>
  <si>
    <t>Medizinische Universität Innsbruck</t>
  </si>
  <si>
    <t>Slice Name (Optional)</t>
  </si>
  <si>
    <t>Measures</t>
  </si>
  <si>
    <t>Montanuniversität Leoben</t>
  </si>
  <si>
    <t>Veterinärmedizinische Universität Wien</t>
  </si>
  <si>
    <t>Studienjahr 2024/25</t>
  </si>
  <si>
    <t>ALLG Semester.Studienjahr (Langbezeichnung)</t>
  </si>
  <si>
    <t>Universität für Weiterbildung Krems</t>
  </si>
  <si>
    <t>Customer</t>
  </si>
  <si>
    <t>-All Customer</t>
  </si>
  <si>
    <t>Default Alternate Row Member Format --&gt;</t>
  </si>
  <si>
    <t>Bundesland Universität</t>
  </si>
  <si>
    <t>Universität Innsbruck</t>
  </si>
  <si>
    <t>Medizinische Universität Graz</t>
  </si>
  <si>
    <t>Slicer Item</t>
  </si>
  <si>
    <t>&lt;-- default Slicer Member Format</t>
  </si>
  <si>
    <t>Default Row Member Format --&gt;</t>
  </si>
  <si>
    <t>Grid/Table Name</t>
  </si>
  <si>
    <t>[Measures]</t>
  </si>
  <si>
    <t>Studierende Universitäten</t>
  </si>
  <si>
    <t>ord. Neuzugelassene (PN)</t>
  </si>
  <si>
    <t>Technische Universität Graz</t>
  </si>
  <si>
    <t>&lt;-- writeable Slicer Member Format</t>
  </si>
  <si>
    <t>Slice Format 1</t>
  </si>
  <si>
    <t>&lt;-- Gesamtzeile</t>
  </si>
  <si>
    <t>3) Formatierung der Gesamtspalte und -zeile (siehe E25:E26)</t>
  </si>
  <si>
    <t>Frauen-/Männeranteil in %</t>
  </si>
  <si>
    <t>Universität für künstlerische und industrielle Gestaltung Linz</t>
  </si>
  <si>
    <t>Slicer Button</t>
  </si>
  <si>
    <t>+2009</t>
  </si>
  <si>
    <t>&lt;-- default alternate row cell format</t>
  </si>
  <si>
    <t>&lt;--  written cell format</t>
  </si>
  <si>
    <t>Institute of Digital Sciences Austria</t>
  </si>
  <si>
    <t>Akademie der bildenden Künste Wien</t>
  </si>
  <si>
    <t>Display Formats For:</t>
  </si>
  <si>
    <t>Enabled?</t>
  </si>
  <si>
    <t>&lt;-- Gesamtspalte</t>
  </si>
  <si>
    <t>Datenprüfung und -aufbereitung: bmfwf, Abt. I/10</t>
  </si>
  <si>
    <t>Bundesland</t>
  </si>
  <si>
    <t>Universität Graz</t>
  </si>
  <si>
    <t>Universität für Musik und darstellende Kunst Graz</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</si>
  <si>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</si>
  <si>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</si>
  <si>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</si>
  <si>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</si>
  <si>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</si>
  <si>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</si>
  <si>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</si>
  <si>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Ordentliche Neuzugelassene nach Universitäten</t>
  </si>
  <si>
    <t>Medizinische Universität Wien</t>
  </si>
  <si>
    <t>Universität Salzburg</t>
  </si>
  <si>
    <t>Universität für Bodenkultur Wien</t>
  </si>
  <si>
    <t>Universität Linz</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</si>
  <si>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</si>
  <si>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</si>
  <si>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</si>
  <si>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</si>
  <si>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</si>
  <si>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Technische Universität Wien</t>
  </si>
  <si>
    <t>Writeable Member</t>
  </si>
  <si>
    <t>Geschlecht</t>
  </si>
  <si>
    <t>Slicer Button Selected</t>
  </si>
  <si>
    <t>&lt;--  summary written cell</t>
  </si>
  <si>
    <t>Formatierungsrichtlinien</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</si>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</sst>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2">
    <numFmt numFmtId="164" formatCode="0.0%"/>
    <numFmt numFmtId="165" formatCode=";;;"/>
  </numFmts>
  <fonts count="41">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262626"/>
      <name val="Tahoma"/>
      <family val="2"/>
    </font>
    <font>
      <sz val="10"/>
      <color rgb="FF595959"/>
      <name val="Tahoma"/>
      <family val="2"/>
    </font>
    <font>
      <b/>
      <sz val="10"/>
      <name val="Tahoma"/>
      <family val="2"/>
    </font>
    <font>
      <sz val="10"/>
      <color rgb="FF000000"/>
      <name val="Tahoma"/>
      <family val="2"/>
    </font>
    <font>
      <b/>
      <sz val="8"/>
      <color indexed="23"/>
      <name val="Tahoma"/>
      <family val="2"/>
    </font>
    <font>
      <sz val="9"/>
      <name val="Tahoma"/>
      <family val="2"/>
    </font>
    <font>
      <sz val="11"/>
      <color rgb="FF000000"/>
      <name val="Tahoma"/>
      <family val="2"/>
    </font>
    <font>
      <b/>
      <sz val="11"/>
      <color rgb="FF000000"/>
      <name val="Tahoma"/>
      <family val="2"/>
    </font>
    <font>
      <sz val="10"/>
      <color theme="1" tint="0.0499893185216834"/>
      <name val="Tahoma"/>
      <family val="2"/>
    </font>
    <font>
      <sz val="10"/>
      <name val="Tahoma"/>
      <family val="2"/>
    </font>
    <font>
      <sz val="10"/>
      <color theme="1" tint="0.34998626667073579"/>
      <name val="Tahoma"/>
      <family val="2"/>
    </font>
    <font>
      <sz val="8"/>
      <name val="Tahoma"/>
      <family val="2"/>
    </font>
    <font>
      <sz val="10"/>
      <color theme="1" tint="0.14996795556505021"/>
      <name val="Tahoma"/>
      <family val="2"/>
    </font>
    <font>
      <b/>
      <sz val="11"/>
      <color theme="1"/>
      <name val="Calibri"/>
      <family val="2"/>
      <scheme val="minor"/>
    </font>
    <font>
      <sz val="10"/>
      <color rgb="FFFF0000"/>
      <name val="Tahoma"/>
      <family val="2"/>
    </font>
    <font>
      <b/>
      <sz val="8"/>
      <color rgb="FFFF0000"/>
      <name val="Tahoma"/>
      <family val="2"/>
    </font>
    <font>
      <sz val="11"/>
      <color theme="0"/>
      <name val="Calibri"/>
      <family val="2"/>
      <scheme val="minor"/>
    </font>
    <font>
      <sz val="9"/>
      <color theme="1" tint="0.34998626667073579"/>
      <name val="+mn-lt"/>
    </font>
    <font>
      <b/>
      <sz val="11"/>
      <color theme="3"/>
      <name val="Calibri"/>
      <family val="2"/>
      <scheme val="minor"/>
    </font>
    <font>
      <i/>
      <sz val="11"/>
      <color rgb="FF7F7F7F"/>
      <name val="Calibri"/>
      <family val="2"/>
      <scheme val="minor"/>
    </font>
    <font>
      <sz val="11"/>
      <color rgb="FFFF0000"/>
      <name val="Calibri"/>
      <family val="2"/>
      <scheme val="minor"/>
    </font>
    <font>
      <sz val="11"/>
      <color rgb="FFFA7D00"/>
      <name val="Calibri"/>
      <family val="2"/>
      <scheme val="minor"/>
    </font>
    <font>
      <sz val="11"/>
      <color rgb="FF9C0006"/>
      <name val="Calibri"/>
      <family val="2"/>
      <scheme val="minor"/>
    </font>
    <font>
      <b/>
      <sz val="9"/>
      <color theme="1" tint="0.250007629627369"/>
      <name val="+mn-lt"/>
    </font>
    <font>
      <sz val="10"/>
      <color theme="1" tint="0.34998626667073579"/>
      <name val="+mn-lt"/>
    </font>
    <font>
      <b/>
      <sz val="11"/>
      <color rgb="FFFA7D00"/>
      <name val="Calibri"/>
      <family val="2"/>
      <scheme val="minor"/>
    </font>
    <font>
      <sz val="11"/>
      <color rgb="FF3F3F76"/>
      <name val="Calibri"/>
      <family val="2"/>
      <scheme val="minor"/>
    </font>
    <font>
      <b/>
      <sz val="18"/>
      <color theme="3"/>
      <name val="Cambria"/>
      <family val="2"/>
      <scheme val="major"/>
    </font>
    <font>
      <sz val="10"/>
      <color theme="1"/>
      <name val="Calibri"/>
      <family val="2"/>
      <scheme val="minor"/>
    </font>
    <font>
      <sz val="16"/>
      <color theme="1" tint="0.34998626667073579"/>
      <name val="+mn-lt"/>
    </font>
    <font>
      <b/>
      <sz val="11"/>
      <color theme="0"/>
      <name val="Calibri"/>
      <family val="2"/>
      <scheme val="minor"/>
    </font>
    <font>
      <sz val="11"/>
      <color rgb="FF9C6500"/>
      <name val="Calibri"/>
      <family val="2"/>
      <scheme val="minor"/>
    </font>
    <font>
      <b/>
      <sz val="15"/>
      <color theme="3"/>
      <name val="Calibri"/>
      <family val="2"/>
      <scheme val="minor"/>
    </font>
    <font>
      <b/>
      <sz val="13"/>
      <color theme="3"/>
      <name val="Calibri"/>
      <family val="2"/>
      <scheme val="minor"/>
    </font>
    <font>
      <b/>
      <sz val="11"/>
      <color rgb="FF3F3F3F"/>
      <name val="Calibri"/>
      <family val="2"/>
      <scheme val="minor"/>
    </font>
    <font>
      <sz val="11"/>
      <color theme="1" tint="0.34998626667073579"/>
      <name val="+mn-lt"/>
    </font>
    <font>
      <sz val="11"/>
      <color rgb="FF006100"/>
      <name val="Calibri"/>
      <family val="2"/>
      <scheme val="minor"/>
    </font>
  </fonts>
  <fills count="14">
    <fill>
      <patternFill patternType="none"/>
    </fill>
    <fill>
      <patternFill patternType="gray125"/>
    </fill>
    <fill>
      <patternFill patternType="solid">
        <fgColor rgb="FFC6D9F1"/>
        <bgColor rgb="FFFFFFFF"/>
      </patternFill>
    </fill>
    <fill>
      <patternFill patternType="solid">
        <fgColor indexed="22"/>
        <bgColor indexed="64"/>
      </patternFill>
    </fill>
    <fill>
      <patternFill patternType="solid">
        <fgColor rgb="FFC0C0C0"/>
        <bgColor rgb="FFFFFFFF"/>
      </patternFill>
    </fill>
    <fill>
      <patternFill patternType="solid">
        <fgColor rgb="FFD9D9D9"/>
        <bgColor rgb="FFFFFFFF"/>
      </patternFill>
    </fill>
    <fill>
      <patternFill patternType="solid">
        <fgColor theme="3" tint="0.79995117038483843"/>
        <bgColor indexed="64"/>
      </patternFill>
    </fill>
    <fill>
      <patternFill patternType="solid">
        <fgColor rgb="FFDDDDDD"/>
        <bgColor rgb="FFFFFFFF"/>
      </patternFill>
    </fill>
    <fill>
      <patternFill patternType="solid">
        <fgColor rgb="FFDDDDDD"/>
        <bgColor indexed="64"/>
      </patternFill>
    </fill>
    <fill>
      <patternFill patternType="solid">
        <fgColor indexed="40"/>
        <bgColor indexed="64"/>
      </patternFill>
    </fill>
    <fill>
      <patternFill patternType="solid">
        <fgColor indexed="43"/>
        <bgColor indexed="64"/>
      </patternFill>
    </fill>
    <fill>
      <patternFill patternType="solid">
        <fgColor rgb="FFD9D9D9"/>
        <bgColor indexed="64"/>
      </patternFill>
    </fill>
    <fill>
      <patternFill patternType="solid">
        <fgColor rgb="FFC0C0C0"/>
        <bgColor indexed="64"/>
      </patternFill>
    </fill>
    <fill>
      <patternFill patternType="solid">
        <fgColor indexed="42"/>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rgb="FFC0C0C0"/>
      </left>
      <right/>
      <top style="hair">
        <color rgb="FFC0C0C0"/>
      </top>
      <bottom/>
      <diagonal/>
    </border>
    <border>
      <left style="hair">
        <color rgb="FFC0C0C0"/>
      </left>
      <right style="hair">
        <color rgb="FFC0C0C0"/>
      </right>
      <top style="hair">
        <color rgb="FFC0C0C0"/>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4">
    <xf numFmtId="0" fontId="0" fillId="0" borderId="0" xfId="0"/>
    <xf numFmtId="0" fontId="2" fillId="0" borderId="0" xfId="0" applyFont="1" applyFill="1" applyBorder="1"/>
    <xf numFmtId="3" fontId="3" fillId="0" borderId="0" xfId="0" applyNumberFormat="1" applyFont="1" applyFill="1" applyBorder="1"/>
    <xf numFmtId="0" fontId="4" fillId="0" borderId="1" xfId="0" quotePrefix="1" applyFont="1" applyFill="1" applyBorder="1" applyAlignment="1" applyProtection="1">
      <alignment horizontal="right"/>
    </xf>
    <xf numFmtId="0" fontId="4" fillId="0" borderId="1" xfId="0" applyFont="1" applyFill="1" applyBorder="1" applyAlignment="1" applyProtection="1">
      <alignment horizontal="right"/>
    </xf>
    <xf numFmtId="0" fontId="5" fillId="2" borderId="2" xfId="0" quotePrefix="1" applyFont="1" applyFill="1" applyBorder="1" applyAlignment="1" applyProtection="1"/>
    <xf numFmtId="0" fontId="6" fillId="0" borderId="0" xfId="0" applyFont="1"/>
    <xf numFmtId="0" fontId="7" fillId="0" borderId="0" xfId="0" quotePrefix="1" applyFont="1" applyFill="1" applyAlignment="1">
      <alignment horizontal="left" vertical="top" wrapText="1"/>
    </xf>
    <xf numFmtId="0" fontId="8" fillId="0" borderId="0" xfId="0" applyFont="1"/>
    <xf numFmtId="0" fontId="0" fillId="0" borderId="0" xfId="0" applyFill="1" applyAlignment="1"/>
    <xf numFmtId="0" fontId="4" fillId="0" borderId="1" xfId="0" quotePrefix="1" applyFont="1" applyFill="1" applyBorder="1" applyAlignment="1" applyProtection="1">
      <alignment horizontal="center"/>
    </xf>
    <xf numFmtId="0" fontId="9" fillId="3" borderId="0" xfId="1" applyFont="1" applyFill="1" applyBorder="1" applyAlignment="1">
      <alignment horizontal="center"/>
    </xf>
    <xf numFmtId="0" fontId="10" fillId="0" borderId="0" xfId="0" applyFont="1" applyFill="1" applyAlignment="1">
      <alignment vertical="center"/>
    </xf>
    <xf numFmtId="0" fontId="7" fillId="0" borderId="0" xfId="0" applyFont="1" applyFill="1" applyAlignment="1"/>
    <xf numFmtId="0" fontId="11" fillId="0" borderId="0" xfId="0" applyFont="1" applyFill="1" applyAlignment="1">
      <alignment vertical="top"/>
    </xf>
    <xf numFmtId="164" fontId="4" fillId="4" borderId="1" xfId="0" applyNumberFormat="1" applyFont="1" applyFill="1" applyBorder="1" applyAlignment="1" applyProtection="1">
      <alignment horizontal="right"/>
    </xf>
    <xf numFmtId="164" fontId="4" fillId="4" borderId="1" xfId="0" quotePrefix="1" applyNumberFormat="1" applyFont="1" applyFill="1" applyBorder="1" applyAlignment="1" applyProtection="1">
      <alignment horizontal="center"/>
    </xf>
    <xf numFmtId="3" fontId="4" fillId="0" borderId="1" xfId="0" applyNumberFormat="1" applyFont="1" applyFill="1" applyBorder="1" applyAlignment="1" applyProtection="1">
      <alignment horizontal="right"/>
    </xf>
    <xf numFmtId="0" fontId="7" fillId="0" borderId="0" xfId="0" applyFont="1" applyFill="1" applyAlignment="1">
      <alignment vertical="top"/>
    </xf>
    <xf numFmtId="0" fontId="12" fillId="0" borderId="0" xfId="0" applyFont="1"/>
    <xf numFmtId="3" fontId="4" fillId="5" borderId="1" xfId="0" applyNumberFormat="1" applyFont="1" applyFill="1" applyBorder="1" applyAlignment="1" applyProtection="1">
      <alignment horizontal="right" vertical="center"/>
    </xf>
    <xf numFmtId="0" fontId="13" fillId="0" borderId="0" xfId="0" applyNumberFormat="1" applyFont="1" applyAlignment="1"/>
    <xf numFmtId="0" fontId="14" fillId="6" borderId="0" xfId="0" applyFont="1" applyFill="1" applyAlignment="1"/>
    <xf numFmtId="0" fontId="15" fillId="0" borderId="0" xfId="1" applyFont="1"/>
    <xf numFmtId="0" fontId="7" fillId="0" borderId="0" xfId="0" quotePrefix="1" applyFont="1" applyFill="1" applyAlignment="1">
      <alignment vertical="top"/>
    </xf>
    <xf numFmtId="0" fontId="16" fillId="0" borderId="0" xfId="0" applyFont="1"/>
    <xf numFmtId="0" fontId="4" fillId="0" borderId="1" xfId="0" quotePrefix="1" applyFont="1" applyBorder="1" applyAlignment="1" applyProtection="1"/>
    <xf numFmtId="3" fontId="4" fillId="7" borderId="1" xfId="0" applyNumberFormat="1" applyFont="1" applyFill="1" applyBorder="1" applyAlignment="1" applyProtection="1">
      <alignment horizontal="right"/>
    </xf>
    <xf numFmtId="164" fontId="4" fillId="5" borderId="1" xfId="0" applyNumberFormat="1" applyFont="1" applyFill="1" applyBorder="1" applyAlignment="1" applyProtection="1">
      <alignment horizontal="right" vertical="center"/>
    </xf>
    <xf numFmtId="0" fontId="8" fillId="0" borderId="0" xfId="0" applyFont="1" applyAlignment="1">
      <alignment horizontal="right"/>
    </xf>
    <xf numFmtId="0" fontId="13" fillId="0" borderId="0" xfId="0" applyFont="1" applyAlignment="1">
      <alignment horizontal="center"/>
    </xf>
    <xf numFmtId="0" fontId="13" fillId="0" borderId="0" xfId="0" applyFont="1"/>
    <xf numFmtId="0" fontId="4" fillId="7" borderId="1" xfId="0" applyFont="1" applyFill="1" applyBorder="1" applyAlignment="1" applyProtection="1">
      <alignment horizontal="right"/>
    </xf>
    <xf numFmtId="0" fontId="4" fillId="0" borderId="1" xfId="0" applyFont="1" applyFill="1" applyBorder="1" applyAlignment="1" applyProtection="1">
      <alignment vertical="center"/>
    </xf>
    <xf numFmtId="0" fontId="15" fillId="6" borderId="0" xfId="1" applyFont="1" applyFill="1"/>
    <xf numFmtId="0" fontId="4" fillId="0" borderId="3" xfId="0" applyFont="1" applyBorder="1" applyAlignment="1" applyProtection="1">
      <alignment horizontal="right"/>
    </xf>
    <xf numFmtId="0" fontId="4" fillId="8" borderId="4" xfId="0" applyFont="1" applyFill="1" applyBorder="1" applyAlignment="1" applyProtection="1">
      <alignment horizontal="right"/>
    </xf>
    <xf numFmtId="0" fontId="13" fillId="0" borderId="0" xfId="0" quotePrefix="1" applyFont="1" applyFill="1"/>
    <xf numFmtId="0" fontId="6" fillId="0" borderId="0" xfId="0" applyFont="1" applyFill="1" applyBorder="1" applyAlignment="1">
      <alignment vertical="center"/>
    </xf>
    <xf numFmtId="3" fontId="13" fillId="9" borderId="0" xfId="0" applyNumberFormat="1" applyFont="1" applyFill="1" applyAlignment="1"/>
    <xf numFmtId="0" fontId="0" fillId="0" borderId="0" xfId="0" applyFont="1"/>
    <xf numFmtId="3" fontId="6" fillId="0" borderId="0" xfId="0" applyNumberFormat="1" applyFont="1" applyFill="1" applyAlignment="1"/>
    <xf numFmtId="0" fontId="4" fillId="0" borderId="3" xfId="0" applyFont="1" applyBorder="1" applyAlignment="1" applyProtection="1">
      <alignment horizontal="center"/>
    </xf>
    <xf numFmtId="0" fontId="13" fillId="0" borderId="0" xfId="0" applyFont="1" applyFill="1" applyBorder="1" applyAlignment="1">
      <alignment vertical="center"/>
    </xf>
    <xf numFmtId="0" fontId="7" fillId="0" borderId="0" xfId="0" applyFont="1" applyFill="1" applyAlignment="1">
      <alignment horizontal="left" vertical="top" wrapText="1"/>
    </xf>
    <xf numFmtId="0" fontId="9" fillId="3" borderId="5" xfId="1" applyFont="1" applyFill="1" applyBorder="1" applyAlignment="1">
      <alignment horizontal="center"/>
    </xf>
    <xf numFmtId="3" fontId="13" fillId="0" borderId="0" xfId="0" applyNumberFormat="1" applyFont="1" applyAlignment="1"/>
    <xf numFmtId="0" fontId="17" fillId="0" borderId="0" xfId="0" applyFont="1"/>
    <xf numFmtId="0" fontId="16" fillId="0" borderId="6" xfId="0" applyFont="1" applyFill="1" applyBorder="1" applyAlignment="1">
      <alignment vertical="center"/>
    </xf>
    <xf numFmtId="0" fontId="13" fillId="0" borderId="0" xfId="0" applyNumberFormat="1" applyFont="1" applyFill="1" applyBorder="1" applyAlignment="1"/>
    <xf numFmtId="0" fontId="8" fillId="0" borderId="0" xfId="0" applyFont="1" applyAlignment="1">
      <alignment horizontal="center"/>
    </xf>
    <xf numFmtId="0" fontId="13" fillId="10" borderId="0" xfId="0" applyNumberFormat="1" applyFont="1" applyFill="1" applyAlignment="1"/>
    <xf numFmtId="0" fontId="13" fillId="10" borderId="0" xfId="0" applyFont="1" applyFill="1"/>
    <xf numFmtId="0" fontId="18" fillId="0" borderId="0" xfId="0" applyFont="1"/>
    <xf numFmtId="0" fontId="4" fillId="11" borderId="1" xfId="0" applyFont="1" applyFill="1" applyBorder="1" applyAlignment="1" applyProtection="1">
      <alignment vertical="center"/>
    </xf>
    <xf numFmtId="164" fontId="4" fillId="12" borderId="3" xfId="0" applyNumberFormat="1" applyFont="1" applyFill="1" applyBorder="1" applyAlignment="1" applyProtection="1">
      <alignment horizontal="right"/>
    </xf>
    <xf numFmtId="0" fontId="7" fillId="0" borderId="0" xfId="0" quotePrefix="1" applyFont="1" applyFill="1" applyAlignment="1"/>
    <xf numFmtId="3" fontId="13" fillId="13" borderId="0" xfId="0" applyNumberFormat="1" applyFont="1" applyFill="1" applyAlignment="1"/>
    <xf numFmtId="0" fontId="13" fillId="0" borderId="0" xfId="0" applyNumberFormat="1" applyFont="1"/>
    <xf numFmtId="3" fontId="13" fillId="10" borderId="0" xfId="0" applyNumberFormat="1" applyFont="1" applyFill="1" applyAlignment="1"/>
    <xf numFmtId="164" fontId="4" fillId="12" borderId="3" xfId="0" applyNumberFormat="1" applyFont="1" applyFill="1" applyBorder="1" applyAlignment="1" applyProtection="1">
      <alignment horizontal="center"/>
    </xf>
    <xf numFmtId="0" fontId="16" fillId="0" borderId="6" xfId="0" quotePrefix="1" applyFont="1" applyFill="1" applyBorder="1" applyAlignment="1">
      <alignment horizontal="right"/>
    </xf>
    <xf numFmtId="0" fontId="0" fillId="0" borderId="0" xfId="0" applyFont="1" applyFill="1" applyAlignment="1"/>
    <xf numFmtId="165" fontId="13" fillId="0" borderId="0" xfId="0" applyNumberFormat="1" applyFont="1"/>
    <xf numFmtId="2" fontId="13" fillId="0" borderId="0" xfId="0" applyNumberFormat="1" applyFont="1"/>
    <xf numFmtId="0" fontId="4" fillId="11" borderId="7" xfId="0" applyFont="1" applyFill="1" applyBorder="1" applyAlignment="1" applyProtection="1">
      <alignment vertical="center"/>
    </xf>
    <xf numFmtId="0" fontId="17" fillId="0" borderId="0" xfId="0" applyFont="1" applyFill="1" applyAlignment="1"/>
    <xf numFmtId="0" fontId="4" fillId="5" borderId="1" xfId="0" applyFont="1" applyFill="1" applyBorder="1" applyAlignment="1" applyProtection="1">
      <alignment vertical="center"/>
    </xf>
    <xf numFmtId="0" fontId="16" fillId="0" borderId="6" xfId="0" quotePrefix="1" applyFont="1" applyFill="1" applyBorder="1" applyAlignment="1"/>
    <xf numFmtId="0" fontId="13" fillId="0" borderId="0" xfId="0" quotePrefix="1" applyFont="1"/>
    <xf numFmtId="0" fontId="15" fillId="10" borderId="0" xfId="1" applyFont="1" applyFill="1"/>
    <xf numFmtId="3" fontId="16" fillId="0" borderId="6" xfId="0" applyNumberFormat="1" applyFont="1" applyFill="1" applyBorder="1" applyAlignment="1"/>
    <xf numFmtId="0" fontId="19" fillId="0" borderId="0" xfId="0" applyFont="1"/>
    <xf numFmtId="0" fontId="4" fillId="8" borderId="3" xfId="0" applyFont="1" applyFill="1" applyBorder="1" applyAlignment="1" applyProtection="1">
      <alignment horizontal="right"/>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strRef>
          <c:f>Tab!$A$2</c:f>
          <c:strCache/>
        </c:strRef>
      </c:tx>
      <c:overlay val="0"/>
      <c:spPr>
        <a:noFill/>
        <a:ln>
          <a:noFill/>
        </a:ln>
      </c:spPr>
      <c:txPr>
        <a:bodyPr/>
        <a:lstStyle/>
        <a:p>
          <a:pPr>
            <a:defRPr sz="1600" b="0">
              <a:solidFill>
                <a:schemeClr val="dk1">
                  <a:lumMod val="65001"/>
                  <a:lumOff val="34999"/>
                </a:schemeClr>
              </a:solidFill>
              <a:latin typeface="+mn-lt"/>
            </a:defRPr>
          </a:pPr>
          <a:endParaRPr sz="1600" b="0">
            <a:solidFill>
              <a:schemeClr val="dk1">
                <a:lumMod val="65001"/>
                <a:lumOff val="34999"/>
              </a:schemeClr>
            </a:solidFill>
            <a:latin typeface="+mn-lt"/>
          </a:endParaRPr>
        </a:p>
      </c:txPr>
    </c:title>
    <c:plotArea>
      <c:barChart>
        <c:barDir val="col"/>
        <c:grouping val="stacked"/>
        <c:varyColors val="0"/>
        <c:ser>
          <c:idx val="0"/>
          <c:order val="0"/>
          <c:tx>
            <c:strRef>
              <c:f>Tabelle1!$B$18</c:f>
              <c:strCache/>
            </c:strRef>
          </c:tx>
          <c:spPr>
            <a:solidFill>
              <a:srgbClr val="DD2327"/>
            </a:solidFill>
            <a:ln>
              <a:noFill/>
            </a:ln>
          </c:spPr>
          <c:invertIfNegative val="0"/>
          <c:cat>
            <c:strRef>
              <c:f>Tabelle1!$A$19:$A$40</c:f>
              <c:strCache/>
            </c:strRef>
          </c:cat>
          <c:val>
            <c:numRef>
              <c:f>Tabelle1!$B$19:$B$40</c:f>
              <c:numCache/>
            </c:numRef>
          </c:val>
        </c:ser>
        <c:ser>
          <c:idx val="1"/>
          <c:order val="1"/>
          <c:tx>
            <c:strRef>
              <c:f>Tabelle1!$C$18</c:f>
              <c:strCache/>
            </c:strRef>
          </c:tx>
          <c:spPr>
            <a:solidFill>
              <a:srgbClr val="1B39BB"/>
            </a:solidFill>
            <a:ln>
              <a:noFill/>
            </a:ln>
          </c:spPr>
          <c:invertIfNegative val="0"/>
          <c:cat>
            <c:strRef>
              <c:f>Tabelle1!$A$19:$A$40</c:f>
              <c:strCache/>
            </c:strRef>
          </c:cat>
          <c:val>
            <c:numRef>
              <c:f>Tabelle1!$C$19:$C$40</c:f>
              <c:numCache/>
            </c:numRef>
          </c:val>
        </c:ser>
        <c:overlap val="100"/>
        <c:axId val="0"/>
        <c:axId val="1"/>
      </c:barChart>
      <c:lineChart>
        <c:grouping val="standard"/>
        <c:varyColors val="0"/>
        <c:ser>
          <c:idx val="2"/>
          <c:order val="2"/>
          <c:tx>
            <c:strRef>
              <c:f>Tabelle1!$D$18</c:f>
              <c:strCache/>
            </c:strRef>
          </c:tx>
          <c:spPr>
            <a:ln cap="rnd">
              <a:noFill/>
            </a:ln>
          </c:spPr>
          <c:marker>
            <c:symbol val="circle"/>
            <c:size val="5"/>
            <c:spPr>
              <a:noFill/>
              <a:ln>
                <a:noFill/>
              </a:ln>
            </c:spPr>
          </c:marker>
          <c:dLbls>
            <c:spPr>
              <a:noFill/>
              <a:ln>
                <a:noFill/>
              </a:ln>
            </c:spPr>
            <c:txPr>
              <a:bodyPr/>
              <a:lstStyle/>
              <a:p>
                <a:pPr>
                  <a:defRPr sz="900" b="1">
                    <a:solidFill>
                      <a:schemeClr val="dk1">
                        <a:lumMod val="74999"/>
                        <a:lumOff val="25001"/>
                      </a:schemeClr>
                    </a:solidFill>
                    <a:latin typeface="+mn-lt"/>
                  </a:defRPr>
                </a:pPr>
                <a:endParaRPr sz="900" b="1">
                  <a:solidFill>
                    <a:schemeClr val="dk1">
                      <a:lumMod val="74999"/>
                      <a:lumOff val="25001"/>
                    </a:schemeClr>
                  </a:solidFill>
                  <a:latin typeface="+mn-lt"/>
                </a:endParaRPr>
              </a:p>
            </c:txPr>
            <c:dLblPos val="t"/>
            <c:showLegendKey val="0"/>
            <c:showVal val="1"/>
            <c:showCatName val="0"/>
            <c:showSerName val="0"/>
            <c:showPercent val="0"/>
            <c:showBubbleSize val="0"/>
            <c:showLeaderLines val="0"/>
          </c:dLbls>
          <c:cat>
            <c:strRef>
              <c:f>Tabelle1!$A$19:$A$40</c:f>
              <c:strCache/>
            </c:strRef>
          </c:cat>
          <c:val>
            <c:numRef>
              <c:f>Tabelle1!$D$19:$D$40</c:f>
              <c:numCache/>
            </c:numRef>
          </c:val>
          <c:smooth val="0"/>
        </c:ser>
        <c:marker val="1"/>
        <c:smooth val="0"/>
        <c:axId val="0"/>
        <c:axId val="1"/>
      </c:lineChart>
      <c:catAx>
        <c:axId val="0"/>
        <c:scaling>
          <c:orientation val="minMax"/>
        </c:scaling>
        <c:delete val="0"/>
        <c:axPos val="b"/>
        <c:majorTickMark val="none"/>
        <c:minorTickMark val="none"/>
        <c:tickLblPos val="nextTo"/>
        <c:spPr>
          <a:ln>
            <a:solidFill>
              <a:schemeClr val="dk1">
                <a:lumMod val="15000"/>
                <a:lumOff val="85000"/>
              </a:schemeClr>
            </a:solidFill>
          </a:ln>
        </c:spPr>
        <c:txPr>
          <a:bodyPr rot="-5400000" vert="horz"/>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1"/>
        <c:crosses val="autoZero"/>
        <c:auto val="1"/>
        <c:lblAlgn val="ctr"/>
        <c:lblOffset val="100"/>
      </c:catAx>
      <c:valAx>
        <c:axId val="1"/>
        <c:scaling>
          <c:orientation val="minMax"/>
        </c:scaling>
        <c:delete val="0"/>
        <c:axPos val="l"/>
        <c:majorGridlines>
          <c:spPr>
            <a:ln>
              <a:solidFill>
                <a:schemeClr val="dk1">
                  <a:lumMod val="15000"/>
                  <a:lumOff val="85000"/>
                </a:schemeClr>
              </a:solidFill>
            </a:ln>
          </c:spPr>
        </c:majorGridlines>
        <c:title>
          <c:tx>
            <c:strRef>
              <c:f>Tab!$B$16</c:f>
              <c:strCache/>
            </c:strRef>
          </c:tx>
          <c:overlay val="0"/>
          <c:spPr>
            <a:noFill/>
            <a:ln>
              <a:noFill/>
            </a:ln>
          </c:spPr>
          <c:txPr>
            <a:bodyPr/>
            <a:lstStyle/>
            <a:p>
              <a:pPr>
                <a:defRPr sz="1000" b="0">
                  <a:solidFill>
                    <a:schemeClr val="dk1">
                      <a:lumMod val="65001"/>
                      <a:lumOff val="34999"/>
                    </a:schemeClr>
                  </a:solidFill>
                  <a:latin typeface="+mn-lt"/>
                </a:defRPr>
              </a:pPr>
              <a:endParaRPr sz="1000" b="0">
                <a:solidFill>
                  <a:schemeClr val="dk1">
                    <a:lumMod val="65001"/>
                    <a:lumOff val="34999"/>
                  </a:schemeClr>
                </a:solidFill>
                <a:latin typeface="+mn-lt"/>
              </a:endParaRPr>
            </a:p>
          </c:txPr>
        </c:title>
        <c:majorTickMark val="none"/>
        <c:minorTickMark val="none"/>
        <c:tickLblPos val="nextTo"/>
        <c:spPr>
          <a:ln>
            <a:noFill/>
          </a:ln>
        </c:spPr>
        <c:txPr>
          <a:bodyPr/>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0"/>
        <c:crosses val="autoZero"/>
        <c:crossBetween val="between"/>
      </c:valAx>
      <c:spPr>
        <a:noFill/>
        <a:ln>
          <a:noFill/>
        </a:ln>
      </c:spPr>
    </c:plotArea>
    <c:legend>
      <c:legendPos val="t"/>
      <c:overlay val="0"/>
      <c:spPr>
        <a:noFill/>
        <a:ln>
          <a:noFill/>
        </a:ln>
      </c:spPr>
      <c:txPr>
        <a:bodyPr/>
        <a:lstStyle/>
        <a:p>
          <a:pPr>
            <a:defRPr sz="1100">
              <a:solidFill>
                <a:schemeClr val="dk1">
                  <a:lumMod val="65001"/>
                  <a:lumOff val="34999"/>
                </a:schemeClr>
              </a:solidFill>
              <a:latin typeface="+mn-lt"/>
            </a:defRPr>
          </a:pPr>
          <a:endParaRPr sz="1100">
            <a:solidFill>
              <a:schemeClr val="dk1">
                <a:lumMod val="65001"/>
                <a:lumOff val="34999"/>
              </a:schemeClr>
            </a:solidFill>
            <a:latin typeface="+mn-lt"/>
          </a:endParaRPr>
        </a:p>
      </c:txPr>
    </c:legend>
    <c:plotVisOnly val="1"/>
    <c:dispBlanksAs val="gap"/>
    <c:showDLblsOverMax val="0"/>
  </c:chart>
  <c:spPr>
    <a:solidFill>
      <a:schemeClr val="lt1"/>
    </a:solidFill>
    <a:ln>
      <a:solidFill>
        <a:schemeClr val="dk1">
          <a:lumMod val="15000"/>
          <a:lumOff val="85000"/>
        </a:schemeClr>
      </a:solidFill>
    </a:ln>
  </c:spPr>
  <c:printSettings>
    <c:pageMargins l="0.7" r="0.7" t="0.787401575" b="0.787401575" header="0.3" footer="0.3"/>
    <c:pageSetup orientation="portrait"/>
  </c:printSettings>
</c:chartSpace>
</file>

<file path=xl/drawings/_rels/drawing1.xml.rels>&#65279;<?xml version="1.0" encoding="utf-8"?><Relationships xmlns="http://schemas.openxmlformats.org/package/2006/relationships"><Relationship Id="rId1" Type="http://schemas.openxmlformats.org/officeDocument/2006/relationships/chart" Target="../charts/chart1.xml" /><Relationship Id="rId2" Type="http://schemas.openxmlformats.org/officeDocument/2006/relationships/image" Target="../media/image2.png" /><Relationship Id="rId3"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xdr:from>
      <xdr:col>8</xdr:col>
      <xdr:colOff>0</xdr:colOff>
      <xdr:row>16</xdr:row>
      <xdr:rowOff>0</xdr:rowOff>
    </xdr:from>
    <xdr:to>
      <xdr:col>20</xdr:col>
      <xdr:colOff>0</xdr:colOff>
      <xdr:row>43</xdr:row>
      <xdr:rowOff>6350</xdr:rowOff>
    </xdr:to>
    <xdr:graphicFrame macro="">
      <xdr:nvGraphicFramePr>
        <xdr:cNvPr id="22" name="Chart 21"/>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Id1"/>
        </a:graphicData>
      </a:graphic>
    </xdr:graphicFrame>
    <xdr:clientData/>
  </xdr:twoCellAnchor>
  <xdr:twoCellAnchor editAs="oneCell">
    <xdr:from>
      <xdr:col>1</xdr:col>
      <xdr:colOff>0</xdr:colOff>
      <xdr:row>7</xdr:row>
      <xdr:rowOff>0</xdr:rowOff>
    </xdr:from>
    <xdr:to>
      <xdr:col>5</xdr:col>
      <xdr:colOff>281181</xdr:colOff>
      <xdr:row>8</xdr:row>
      <xdr:rowOff>0</xdr:rowOff>
    </xdr:to>
    <xdr:pic>
      <xdr:nvPicPr>
        <xdr:cNvPr id="24" name="Picture 3"/>
        <xdr:cNvPicPr>
          <a:picLocks/>
        </xdr:cNvPicPr>
      </xdr:nvPicPr>
      <xdr:blipFill>
        <a:blip xmlns:r="http://schemas.openxmlformats.org/officeDocument/2006/relationships" r:embed="rId2"/>
        <a:stretch>
          <a:fillRect/>
        </a:stretch>
      </xdr:blipFill>
      <xdr:spPr>
        <a:xfrm>
          <a:off x="3989498" y="1730375"/>
          <a:ext cx="3697007" cy="189865"/>
        </a:xfrm>
        <a:prstGeom prst="rect">
          <a:avLst/>
        </a:prstGeom>
        <a:noFill/>
        <a:ln w="0">
          <a:noFill/>
        </a:ln>
      </xdr:spPr>
    </xdr:pic>
    <xdr:clientData/>
  </xdr:twoCellAnchor>
  <xdr:twoCellAnchor editAs="oneCell">
    <xdr:from>
      <xdr:col>1</xdr:col>
      <xdr:colOff>0</xdr:colOff>
      <xdr:row>7</xdr:row>
      <xdr:rowOff>189865</xdr:rowOff>
    </xdr:from>
    <xdr:to>
      <xdr:col>5</xdr:col>
      <xdr:colOff>281181</xdr:colOff>
      <xdr:row>8</xdr:row>
      <xdr:rowOff>189865</xdr:rowOff>
    </xdr:to>
    <xdr:pic>
      <xdr:nvPicPr>
        <xdr:cNvPr id="25" name="Picture 4"/>
        <xdr:cNvPicPr>
          <a:picLocks/>
        </xdr:cNvPicPr>
      </xdr:nvPicPr>
      <xdr:blipFill>
        <a:blip xmlns:r="http://schemas.openxmlformats.org/officeDocument/2006/relationships" r:embed="rId3"/>
        <a:stretch>
          <a:fillRect/>
        </a:stretch>
      </xdr:blipFill>
      <xdr:spPr>
        <a:xfrm>
          <a:off x="3989498" y="1920240"/>
          <a:ext cx="3697007" cy="189865"/>
        </a:xfrm>
        <a:prstGeom prst="rect">
          <a:avLst/>
        </a:prstGeom>
        <a:noFill/>
        <a:ln w="0">
          <a:noFill/>
        </a:ln>
      </xdr:spPr>
    </xdr:pic>
    <xdr:clientData/>
  </xdr:twoCellAnchor>
  <xdr:twoCellAnchor editAs="oneCell">
    <xdr:from>
      <xdr:col>1</xdr:col>
      <xdr:colOff>0</xdr:colOff>
      <xdr:row>8</xdr:row>
      <xdr:rowOff>189865</xdr:rowOff>
    </xdr:from>
    <xdr:to>
      <xdr:col>5</xdr:col>
      <xdr:colOff>281181</xdr:colOff>
      <xdr:row>10</xdr:row>
      <xdr:rowOff>0</xdr:rowOff>
    </xdr:to>
    <xdr:pic>
      <xdr:nvPicPr>
        <xdr:cNvPr id="26" name="Picture 5"/>
        <xdr:cNvPicPr>
          <a:picLocks/>
        </xdr:cNvPicPr>
      </xdr:nvPicPr>
      <xdr:blipFill>
        <a:blip xmlns:r="http://schemas.openxmlformats.org/officeDocument/2006/relationships" r:embed="rId3"/>
        <a:stretch>
          <a:fillRect/>
        </a:stretch>
      </xdr:blipFill>
      <xdr:spPr>
        <a:xfrm>
          <a:off x="3989498" y="2110105"/>
          <a:ext cx="3697007" cy="189865"/>
        </a:xfrm>
        <a:prstGeom prst="rect">
          <a:avLst/>
        </a:prstGeom>
        <a:noFill/>
        <a:ln w="0">
          <a:noFill/>
        </a:ln>
      </xdr:spPr>
    </xdr:pic>
    <xdr:clientData/>
  </xdr:twoCellAnchor>
  <xdr:twoCellAnchor editAs="oneCell">
    <xdr:from>
      <xdr:col>1</xdr:col>
      <xdr:colOff>0</xdr:colOff>
      <xdr:row>10</xdr:row>
      <xdr:rowOff>0</xdr:rowOff>
    </xdr:from>
    <xdr:to>
      <xdr:col>5</xdr:col>
      <xdr:colOff>281181</xdr:colOff>
      <xdr:row>10</xdr:row>
      <xdr:rowOff>189865</xdr:rowOff>
    </xdr:to>
    <xdr:pic>
      <xdr:nvPicPr>
        <xdr:cNvPr id="27" name="Picture 6"/>
        <xdr:cNvPicPr>
          <a:picLocks/>
        </xdr:cNvPicPr>
      </xdr:nvPicPr>
      <xdr:blipFill>
        <a:blip xmlns:r="http://schemas.openxmlformats.org/officeDocument/2006/relationships" r:embed="rId3"/>
        <a:stretch>
          <a:fillRect/>
        </a:stretch>
      </xdr:blipFill>
      <xdr:spPr>
        <a:xfrm>
          <a:off x="3989498" y="2299970"/>
          <a:ext cx="3697007" cy="189865"/>
        </a:xfrm>
        <a:prstGeom prst="rect">
          <a:avLst/>
        </a:prstGeom>
        <a:noFill/>
        <a:ln w="0">
          <a:noFill/>
        </a:ln>
      </xdr:spPr>
    </xdr:pic>
    <xdr:clientData/>
  </xdr:twoCellAnchor>
  <xdr:twoCellAnchor editAs="oneCell">
    <xdr:from>
      <xdr:col>1</xdr:col>
      <xdr:colOff>0</xdr:colOff>
      <xdr:row>11</xdr:row>
      <xdr:rowOff>0</xdr:rowOff>
    </xdr:from>
    <xdr:to>
      <xdr:col>5</xdr:col>
      <xdr:colOff>281181</xdr:colOff>
      <xdr:row>12</xdr:row>
      <xdr:rowOff>0</xdr:rowOff>
    </xdr:to>
    <xdr:pic>
      <xdr:nvPicPr>
        <xdr:cNvPr id="28" name="Picture 7"/>
        <xdr:cNvPicPr>
          <a:picLocks/>
        </xdr:cNvPicPr>
      </xdr:nvPicPr>
      <xdr:blipFill>
        <a:blip xmlns:r="http://schemas.openxmlformats.org/officeDocument/2006/relationships" r:embed="rId3"/>
        <a:stretch>
          <a:fillRect/>
        </a:stretch>
      </xdr:blipFill>
      <xdr:spPr>
        <a:xfrm>
          <a:off x="3989498" y="2489835"/>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3.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dimension ref="A1:L638"/>
  <sheetViews>
    <sheetView tabSelected="1" workbookViewId="0"/>
  </sheetViews>
  <sheetFormatPr defaultColWidth="11.42578125" defaultRowHeight="14.95"/>
  <cols>
    <col min="1" max="1" width="54.7109375" style="40" customWidth="1"/>
    <col min="2" max="23" width="11.7109375" customWidth="1"/>
    <col min="24" max="24" width="9.85546875" customWidth="1"/>
    <col min="25" max="25" width="7.28515625" customWidth="1"/>
    <col min="26" max="26" width="11.28515625" customWidth="1"/>
    <col min="27" max="27" width="17.140625" customWidth="1"/>
    <col min="28" max="28" width="6.7109375" customWidth="1"/>
    <col min="29" max="29" width="7.140625" customWidth="1"/>
    <col min="30" max="30" width="17.140625" customWidth="1"/>
    <col min="31" max="31" width="6.7109375" customWidth="1"/>
    <col min="32" max="32" width="7.140625" customWidth="1"/>
    <col min="33" max="33" width="17.140625" customWidth="1"/>
    <col min="34" max="34" width="6.7109375" customWidth="1"/>
    <col min="35" max="35" width="7.140625" customWidth="1"/>
  </cols>
  <sheetData>
    <row>
      <c s="12" t="s">
        <v>54</v>
      </c>
      <c s="12"/>
      <c s="12"/>
      <c s="12"/>
      <c s="12"/>
      <c s="9"/>
    </row>
    <row s="47" customFormat="1">
      <c s="14" t="s">
        <v>83</v>
      </c>
      <c s="14"/>
      <c s="14"/>
      <c s="14"/>
      <c s="14"/>
      <c s="66"/>
    </row>
    <row s="47" customFormat="1">
      <c s="24" t="s">
        <v>15</v>
      </c>
      <c s="14"/>
      <c s="14"/>
      <c s="14"/>
      <c s="14"/>
      <c s="66"/>
    </row>
    <row ht="45" customHeight="1" s="47" customFormat="1">
      <c s="7" t="s">
        <v>91</v>
      </c>
      <c s="7"/>
      <c s="7"/>
      <c s="7"/>
      <c s="7"/>
      <c s="7"/>
      <c s="7"/>
      <c s="44"/>
    </row>
    <row>
      <c s="56" t="s">
        <v>92</v>
      </c>
      <c s="13"/>
      <c s="13"/>
      <c s="13"/>
      <c s="13"/>
      <c s="13"/>
    </row>
    <row>
      <c s="24" t="s">
        <v>72</v>
      </c>
      <c s="18"/>
      <c s="18"/>
      <c s="18"/>
      <c s="18"/>
      <c s="9"/>
    </row>
    <row ht="16.5" customHeight="1">
      <c s="62"/>
      <c s="9"/>
      <c s="9"/>
      <c s="9"/>
      <c s="9"/>
      <c s="9"/>
    </row>
    <row>
      <c s="5" t="s">
        <v>41</v>
      </c>
      <c s="26" t="s">
        <v>40</v>
      </c>
      <c s="9"/>
      <c s="9"/>
      <c s="9"/>
      <c s="9" t="s">
        <v>25</v>
      </c>
    </row>
    <row>
      <c s="5" t="s">
        <v>0</v>
      </c>
      <c s="26" t="s">
        <v>20</v>
      </c>
      <c s="9"/>
      <c s="9"/>
      <c s="9"/>
      <c s="9" t="s">
        <v>25</v>
      </c>
    </row>
    <row>
      <c s="5" t="s">
        <v>9</v>
      </c>
      <c s="26" t="s">
        <v>20</v>
      </c>
      <c s="9"/>
      <c s="9"/>
      <c s="9"/>
      <c s="9" t="s">
        <v>25</v>
      </c>
    </row>
    <row>
      <c s="5" t="s">
        <v>73</v>
      </c>
      <c s="26" t="s">
        <v>20</v>
      </c>
      <c s="9"/>
      <c s="9"/>
      <c s="9"/>
      <c s="9" t="s">
        <v>25</v>
      </c>
    </row>
    <row>
      <c s="5" t="s">
        <v>46</v>
      </c>
      <c s="26" t="s">
        <v>20</v>
      </c>
      <c s="9"/>
      <c s="9"/>
      <c s="9"/>
      <c s="9" t="s">
        <v>25</v>
      </c>
    </row>
    <row>
      <c/>
      <c r="C13" s="9"/>
      <c s="9"/>
      <c s="9"/>
      <c s="9"/>
    </row>
    <row>
      <c/>
    </row>
    <row ht="15" customHeight="1">
      <c/>
      <c s="3" t="s">
        <v>55</v>
      </c>
      <c s="3"/>
      <c s="3"/>
      <c s="3"/>
      <c s="3"/>
    </row>
    <row ht="15" customHeight="1">
      <c/>
      <c s="10" t="s">
        <v>10</v>
      </c>
      <c s="10"/>
      <c s="10"/>
      <c s="16" t="s">
        <v>61</v>
      </c>
      <c s="16"/>
    </row>
    <row>
      <c s="5" t="s">
        <v>1</v>
      </c>
      <c s="4" t="s">
        <v>2</v>
      </c>
      <c s="4" t="s">
        <v>34</v>
      </c>
      <c s="32" t="s">
        <v>20</v>
      </c>
      <c s="4" t="s">
        <v>2</v>
      </c>
      <c s="4" t="s">
        <v>34</v>
      </c>
    </row>
    <row>
      <c s="33" t="s">
        <v>16</v>
      </c>
      <c s="17">
        <v>8947</v>
      </c>
      <c s="17">
        <v>5365</v>
      </c>
      <c s="27">
        <v>14312</v>
      </c>
      <c s="15">
        <v>0.62513974287311347</v>
      </c>
      <c s="15">
        <v>0.37486025712688653</v>
      </c>
    </row>
    <row ht="15" customHeight="1">
      <c s="33" t="s">
        <v>74</v>
      </c>
      <c s="17">
        <v>3246</v>
      </c>
      <c s="17">
        <v>1951</v>
      </c>
      <c s="27">
        <v>5197</v>
      </c>
      <c s="15">
        <v>0.62459111025591685</v>
      </c>
      <c s="15">
        <v>0.37540888974408315</v>
      </c>
    </row>
    <row>
      <c s="33" t="s">
        <v>47</v>
      </c>
      <c s="17">
        <v>3082</v>
      </c>
      <c s="17">
        <v>2483</v>
      </c>
      <c s="27">
        <v>5565</v>
      </c>
      <c s="15">
        <v>0.55381850853548964</v>
      </c>
      <c s="15">
        <v>0.4461814914645103</v>
      </c>
    </row>
    <row>
      <c s="33" t="s">
        <v>84</v>
      </c>
      <c s="17">
        <v>879</v>
      </c>
      <c s="17">
        <v>548</v>
      </c>
      <c s="27">
        <v>1427</v>
      </c>
      <c s="15">
        <v>0.61597757533286612</v>
      </c>
      <c s="15">
        <v>0.38402242466713382</v>
      </c>
    </row>
    <row>
      <c s="33" t="s">
        <v>48</v>
      </c>
      <c s="17">
        <v>678</v>
      </c>
      <c s="17">
        <v>421</v>
      </c>
      <c s="27">
        <v>1099</v>
      </c>
      <c s="15">
        <v>0.61692447679708828</v>
      </c>
      <c s="15">
        <v>0.38307552320291172</v>
      </c>
    </row>
    <row>
      <c s="33" t="s">
        <v>35</v>
      </c>
      <c s="17">
        <v>419</v>
      </c>
      <c s="17">
        <v>242</v>
      </c>
      <c s="27">
        <v>661</v>
      </c>
      <c s="15">
        <v>0.63388804841149771</v>
      </c>
      <c s="15">
        <v>0.36611195158850229</v>
      </c>
    </row>
    <row>
      <c s="33" t="s">
        <v>85</v>
      </c>
      <c s="17">
        <v>2095</v>
      </c>
      <c s="17">
        <v>1109</v>
      </c>
      <c s="27">
        <v>3204</v>
      </c>
      <c s="15">
        <v>0.65387016229712858</v>
      </c>
      <c s="15">
        <v>0.34612983770287142</v>
      </c>
    </row>
    <row>
      <c s="33" t="s">
        <v>93</v>
      </c>
      <c s="17">
        <v>1706</v>
      </c>
      <c s="17">
        <v>3187</v>
      </c>
      <c s="27">
        <v>4893</v>
      </c>
      <c s="15">
        <v>0.34866135295319844</v>
      </c>
      <c s="15">
        <v>0.65133864704680156</v>
      </c>
    </row>
    <row>
      <c s="33" t="s">
        <v>56</v>
      </c>
      <c s="17">
        <v>1558</v>
      </c>
      <c s="17">
        <v>1829</v>
      </c>
      <c s="27">
        <v>3387</v>
      </c>
      <c s="15">
        <v>0.45999409506938294</v>
      </c>
      <c s="15">
        <v>0.54000590493061706</v>
      </c>
    </row>
    <row>
      <c s="33" t="s">
        <v>38</v>
      </c>
      <c s="17">
        <v>154</v>
      </c>
      <c s="17">
        <v>354</v>
      </c>
      <c s="27">
        <v>508</v>
      </c>
      <c s="15">
        <v>0.30314960629921262</v>
      </c>
      <c s="15">
        <v>0.69685039370078738</v>
      </c>
    </row>
    <row>
      <c s="33" t="s">
        <v>86</v>
      </c>
      <c s="17">
        <v>1491</v>
      </c>
      <c s="17">
        <v>1046</v>
      </c>
      <c s="27">
        <v>2537</v>
      </c>
      <c s="15">
        <v>0.5877020102483248</v>
      </c>
      <c s="15">
        <v>0.4122979897516752</v>
      </c>
    </row>
    <row>
      <c s="33" t="s">
        <v>39</v>
      </c>
      <c s="17">
        <v>409</v>
      </c>
      <c s="17">
        <v>151</v>
      </c>
      <c s="27">
        <v>560</v>
      </c>
      <c s="15">
        <v>0.73035714285714282</v>
      </c>
      <c s="15">
        <v>0.26964285714285713</v>
      </c>
    </row>
    <row>
      <c s="33" t="s">
        <v>3</v>
      </c>
      <c s="17">
        <v>2966</v>
      </c>
      <c s="17">
        <v>3208</v>
      </c>
      <c s="27">
        <v>6174</v>
      </c>
      <c s="15">
        <v>0.48040168448331716</v>
      </c>
      <c s="15">
        <v>0.5195983155166829</v>
      </c>
    </row>
    <row>
      <c s="33" t="s">
        <v>87</v>
      </c>
      <c s="17">
        <v>2743</v>
      </c>
      <c s="17">
        <v>2512</v>
      </c>
      <c s="27">
        <v>5255</v>
      </c>
      <c s="15">
        <v>0.5219790675547098</v>
      </c>
      <c s="15">
        <v>0.4780209324452902</v>
      </c>
    </row>
    <row>
      <c s="33" t="s">
        <v>21</v>
      </c>
      <c s="17">
        <v>1457</v>
      </c>
      <c s="17">
        <v>988</v>
      </c>
      <c s="27">
        <v>2445</v>
      </c>
      <c s="15">
        <v>0.59591002044989771</v>
      </c>
      <c s="15">
        <v>0.40408997955010223</v>
      </c>
    </row>
    <row>
      <c s="33" t="s">
        <v>17</v>
      </c>
      <c s="17">
        <v>314</v>
      </c>
      <c s="17">
        <v>128</v>
      </c>
      <c s="27">
        <v>442</v>
      </c>
      <c s="15">
        <v>0.71040723981900455</v>
      </c>
      <c s="15">
        <v>0.2895927601809955</v>
      </c>
    </row>
    <row>
      <c s="33" t="s">
        <v>11</v>
      </c>
      <c s="17">
        <v>229</v>
      </c>
      <c s="17">
        <v>173</v>
      </c>
      <c s="27">
        <v>402</v>
      </c>
      <c s="15">
        <v>0.56965174129353235</v>
      </c>
      <c s="15">
        <v>0.43034825870646765</v>
      </c>
    </row>
    <row>
      <c s="33" t="s">
        <v>22</v>
      </c>
      <c s="17">
        <v>306</v>
      </c>
      <c s="17">
        <v>153</v>
      </c>
      <c s="27">
        <v>459</v>
      </c>
      <c s="15">
        <v>0.66666666666666663</v>
      </c>
      <c s="15">
        <v>0.33333333333333331</v>
      </c>
    </row>
    <row>
      <c s="33" t="s">
        <v>75</v>
      </c>
      <c s="17">
        <v>185</v>
      </c>
      <c s="17">
        <v>168</v>
      </c>
      <c s="27">
        <v>353</v>
      </c>
      <c s="15">
        <v>0.52407932011331448</v>
      </c>
      <c s="15">
        <v>0.47592067988668557</v>
      </c>
    </row>
    <row>
      <c s="33" t="s">
        <v>62</v>
      </c>
      <c s="17">
        <v>234</v>
      </c>
      <c s="17">
        <v>90</v>
      </c>
      <c s="27">
        <v>324</v>
      </c>
      <c s="15">
        <v>0.72222222222222221</v>
      </c>
      <c s="15">
        <v>0.27777777777777779</v>
      </c>
    </row>
    <row>
      <c s="33" t="s">
        <v>68</v>
      </c>
      <c s="17">
        <v>244</v>
      </c>
      <c s="17">
        <v>114</v>
      </c>
      <c s="27">
        <v>358</v>
      </c>
      <c s="15">
        <v>0.68156424581005581</v>
      </c>
      <c s="15">
        <v>0.31843575418994413</v>
      </c>
    </row>
    <row>
      <c s="33" t="s">
        <v>42</v>
      </c>
      <c s="17">
        <v>8</v>
      </c>
      <c s="17">
        <v>5</v>
      </c>
      <c s="27">
        <v>13</v>
      </c>
      <c s="15">
        <v>0.61538461538461542</v>
      </c>
      <c s="15">
        <v>0.38461538461538464</v>
      </c>
    </row>
    <row>
      <c s="33" t="s">
        <v>67</v>
      </c>
      <c s="17">
        <v>15</v>
      </c>
      <c s="17">
        <v>14</v>
      </c>
      <c s="27">
        <v>29</v>
      </c>
      <c s="15">
        <v>0.51724137931034486</v>
      </c>
      <c s="15">
        <v>0.48275862068965519</v>
      </c>
    </row>
    <row>
      <c s="67" t="s">
        <v>20</v>
      </c>
      <c s="20">
        <v>33365</v>
      </c>
      <c s="20">
        <v>26239</v>
      </c>
      <c s="20">
        <v>59604</v>
      </c>
      <c s="28">
        <v>0.55977786725723111</v>
      </c>
      <c s="28">
        <v>0.44022213274276895</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c s="1"/>
    </row>
    <row>
      <c s="1"/>
      <c s="1"/>
      <c s="1"/>
      <c s="1"/>
      <c s="1"/>
      <c s="1"/>
      <c s="1"/>
      <c s="1"/>
      <c s="1"/>
      <c s="1"/>
      <c s="1"/>
      <c s="1"/>
    </row>
    <row>
      <c s="1"/>
      <c s="1"/>
      <c s="1"/>
      <c s="1"/>
      <c s="1"/>
      <c s="1"/>
      <c s="1"/>
      <c s="1"/>
      <c s="1"/>
      <c s="1"/>
      <c s="1"/>
      <c s="1"/>
    </row>
    <row>
      <c s="38"/>
      <c s="2"/>
      <c s="2"/>
      <c s="2"/>
      <c s="2"/>
      <c s="2"/>
      <c s="2"/>
      <c s="2"/>
      <c s="2"/>
      <c s="2"/>
      <c s="2"/>
      <c s="1"/>
    </row>
    <row>
      <c s="1"/>
      <c s="1"/>
      <c s="1"/>
      <c s="1"/>
      <c s="1"/>
      <c s="1"/>
      <c s="1"/>
      <c s="1"/>
      <c s="1"/>
      <c s="1"/>
      <c s="1"/>
      <c s="1"/>
    </row>
    <row>
      <c s="1"/>
      <c s="1"/>
      <c s="1"/>
      <c s="1"/>
      <c s="1"/>
      <c s="1"/>
      <c s="1"/>
      <c s="1"/>
      <c s="1"/>
      <c s="1"/>
      <c s="1"/>
      <c s="1"/>
    </row>
    <row>
      <c s="1"/>
      <c s="1"/>
      <c s="1"/>
      <c s="1"/>
      <c s="1"/>
      <c s="1"/>
      <c s="1"/>
      <c s="1"/>
      <c s="1"/>
      <c s="1"/>
      <c s="1"/>
      <c s="1"/>
    </row>
    <row>
      <c s="1"/>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4">
    <mergeCell ref="A4:G4"/>
    <mergeCell ref="B15:F15"/>
    <mergeCell ref="B16:D16"/>
    <mergeCell ref="E16:F16"/>
  </mergeCells>
  <pageMargins left="0.70866141732283472" right="0.70866141732283472" top="0.78740157480314965" bottom="0.78740157480314965" header="0.31496062992125984" footer="0.31496062992125984"/>
  <pageSetup paperSize="9" scale="74" fitToWidth="2" orientation="landscape"/>
  <headerFooter>
    <oddHeader>&amp;L&amp;"Tahoma,Standard"&amp;10unidata.gv.at&amp;R&amp;"Tahoma,Standard"&amp;10&amp;D</oddHeader>
    <oddFooter>&amp;R&amp;"Tahoma,Standard"&amp;10&amp;P/&amp;N</oddFooter>
  </headerFooter>
  <colBreaks count="1" manualBreakCount="1">
    <brk id="7" max="1048575" man="1"/>
  </colBreaks>
  <drawing r:id="rId1"/>
</worksheet>
</file>

<file path=xl/worksheets/sheet2.xml><?xml version="1.0" encoding="utf-8"?>
<worksheet xmlns:r="http://schemas.openxmlformats.org/officeDocument/2006/relationships" xmlns="http://schemas.openxmlformats.org/spreadsheetml/2006/main">
  <dimension ref="A8:F41"/>
  <sheetViews>
    <sheetView topLeftCell="A4" workbookViewId="0">
      <selection activeCell="A41" sqref="A41"/>
    </sheetView>
  </sheetViews>
  <sheetFormatPr defaultColWidth="11.42578125" defaultRowHeight="15"/>
  <cols>
    <col min="1" max="1" width="50.42578125" customWidth="1"/>
  </cols>
  <sheetData>
    <row r="8" ht="14.95">
      <c s="5" t="s">
        <v>41</v>
      </c>
      <c s="26" t="s">
        <v>40</v>
      </c>
    </row>
    <row ht="14.95">
      <c s="5" t="s">
        <v>0</v>
      </c>
      <c s="26" t="s">
        <v>20</v>
      </c>
    </row>
    <row ht="14.95">
      <c s="5" t="s">
        <v>9</v>
      </c>
      <c s="26" t="s">
        <v>20</v>
      </c>
    </row>
    <row ht="14.95">
      <c s="5" t="s">
        <v>73</v>
      </c>
      <c s="26" t="s">
        <v>20</v>
      </c>
    </row>
    <row ht="14.95">
      <c s="5" t="s">
        <v>46</v>
      </c>
      <c s="26" t="s">
        <v>20</v>
      </c>
    </row>
    <row r="15" ht="14.95">
      <c r="B15" s="5" t="s">
        <v>37</v>
      </c>
      <c s="5" t="s">
        <v>33</v>
      </c>
      <c s="5" t="s">
        <v>95</v>
      </c>
    </row>
    <row ht="14.95">
      <c r="B16" s="3" t="s">
        <v>55</v>
      </c>
      <c s="3"/>
      <c s="3"/>
      <c s="3"/>
      <c s="3"/>
    </row>
    <row ht="14.95">
      <c r="B17" s="10" t="s">
        <v>10</v>
      </c>
      <c s="10"/>
      <c s="10"/>
      <c s="16" t="s">
        <v>61</v>
      </c>
      <c s="16"/>
    </row>
    <row ht="14.95">
      <c s="5" t="s">
        <v>1</v>
      </c>
      <c s="4" t="s">
        <v>2</v>
      </c>
      <c s="4" t="s">
        <v>34</v>
      </c>
      <c s="32" t="s">
        <v>20</v>
      </c>
      <c s="4" t="s">
        <v>2</v>
      </c>
      <c s="4" t="s">
        <v>34</v>
      </c>
    </row>
    <row ht="14.95">
      <c s="33" t="s">
        <v>16</v>
      </c>
      <c s="17">
        <v>8947</v>
      </c>
      <c s="17">
        <v>5365</v>
      </c>
      <c s="27">
        <v>14312</v>
      </c>
      <c s="15">
        <v>0.62513974287311347</v>
      </c>
      <c s="15">
        <v>0.37486025712688653</v>
      </c>
    </row>
    <row ht="14.95">
      <c s="33" t="s">
        <v>3</v>
      </c>
      <c s="17">
        <v>2966</v>
      </c>
      <c s="17">
        <v>3208</v>
      </c>
      <c s="27">
        <v>6174</v>
      </c>
      <c s="15">
        <v>0.48040168448331716</v>
      </c>
      <c s="15">
        <v>0.5195983155166829</v>
      </c>
    </row>
    <row ht="14.95">
      <c s="33" t="s">
        <v>47</v>
      </c>
      <c s="17">
        <v>3082</v>
      </c>
      <c s="17">
        <v>2483</v>
      </c>
      <c s="27">
        <v>5565</v>
      </c>
      <c s="15">
        <v>0.55381850853548964</v>
      </c>
      <c s="15">
        <v>0.4461814914645103</v>
      </c>
    </row>
    <row ht="14.95">
      <c s="33" t="s">
        <v>87</v>
      </c>
      <c s="17">
        <v>2743</v>
      </c>
      <c s="17">
        <v>2512</v>
      </c>
      <c s="27">
        <v>5255</v>
      </c>
      <c s="15">
        <v>0.5219790675547098</v>
      </c>
      <c s="15">
        <v>0.4780209324452902</v>
      </c>
    </row>
    <row ht="14.95">
      <c s="33" t="s">
        <v>74</v>
      </c>
      <c s="17">
        <v>3246</v>
      </c>
      <c s="17">
        <v>1951</v>
      </c>
      <c s="27">
        <v>5197</v>
      </c>
      <c s="15">
        <v>0.62459111025591685</v>
      </c>
      <c s="15">
        <v>0.37540888974408315</v>
      </c>
    </row>
    <row ht="14.95">
      <c s="33" t="s">
        <v>93</v>
      </c>
      <c s="17">
        <v>1706</v>
      </c>
      <c s="17">
        <v>3187</v>
      </c>
      <c s="27">
        <v>4893</v>
      </c>
      <c s="15">
        <v>0.34866135295319844</v>
      </c>
      <c s="15">
        <v>0.65133864704680156</v>
      </c>
    </row>
    <row ht="14.95">
      <c s="33" t="s">
        <v>56</v>
      </c>
      <c s="17">
        <v>1558</v>
      </c>
      <c s="17">
        <v>1829</v>
      </c>
      <c s="27">
        <v>3387</v>
      </c>
      <c s="15">
        <v>0.45999409506938294</v>
      </c>
      <c s="15">
        <v>0.54000590493061706</v>
      </c>
    </row>
    <row ht="14.95">
      <c s="33" t="s">
        <v>85</v>
      </c>
      <c s="17">
        <v>2095</v>
      </c>
      <c s="17">
        <v>1109</v>
      </c>
      <c s="27">
        <v>3204</v>
      </c>
      <c s="15">
        <v>0.65387016229712858</v>
      </c>
      <c s="15">
        <v>0.34612983770287142</v>
      </c>
    </row>
    <row ht="14.95">
      <c s="33" t="s">
        <v>86</v>
      </c>
      <c s="17">
        <v>1491</v>
      </c>
      <c s="17">
        <v>1046</v>
      </c>
      <c s="27">
        <v>2537</v>
      </c>
      <c s="15">
        <v>0.5877020102483248</v>
      </c>
      <c s="15">
        <v>0.4122979897516752</v>
      </c>
    </row>
    <row ht="14.95">
      <c s="33" t="s">
        <v>21</v>
      </c>
      <c s="17">
        <v>1457</v>
      </c>
      <c s="17">
        <v>988</v>
      </c>
      <c s="27">
        <v>2445</v>
      </c>
      <c s="15">
        <v>0.59591002044989771</v>
      </c>
      <c s="15">
        <v>0.40408997955010223</v>
      </c>
    </row>
    <row ht="14.95">
      <c s="33" t="s">
        <v>84</v>
      </c>
      <c s="17">
        <v>879</v>
      </c>
      <c s="17">
        <v>548</v>
      </c>
      <c s="27">
        <v>1427</v>
      </c>
      <c s="15">
        <v>0.61597757533286612</v>
      </c>
      <c s="15">
        <v>0.38402242466713382</v>
      </c>
    </row>
    <row ht="14.95">
      <c s="33" t="s">
        <v>48</v>
      </c>
      <c s="17">
        <v>678</v>
      </c>
      <c s="17">
        <v>421</v>
      </c>
      <c s="27">
        <v>1099</v>
      </c>
      <c s="15">
        <v>0.61692447679708828</v>
      </c>
      <c s="15">
        <v>0.38307552320291172</v>
      </c>
    </row>
    <row ht="14.95">
      <c s="33" t="s">
        <v>35</v>
      </c>
      <c s="17">
        <v>419</v>
      </c>
      <c s="17">
        <v>242</v>
      </c>
      <c s="27">
        <v>661</v>
      </c>
      <c s="15">
        <v>0.63388804841149771</v>
      </c>
      <c s="15">
        <v>0.36611195158850229</v>
      </c>
    </row>
    <row ht="14.95">
      <c s="33" t="s">
        <v>39</v>
      </c>
      <c s="17">
        <v>409</v>
      </c>
      <c s="17">
        <v>151</v>
      </c>
      <c s="27">
        <v>560</v>
      </c>
      <c s="15">
        <v>0.73035714285714282</v>
      </c>
      <c s="15">
        <v>0.26964285714285713</v>
      </c>
    </row>
    <row ht="14.95">
      <c s="33" t="s">
        <v>38</v>
      </c>
      <c s="17">
        <v>154</v>
      </c>
      <c s="17">
        <v>354</v>
      </c>
      <c s="27">
        <v>508</v>
      </c>
      <c s="15">
        <v>0.30314960629921262</v>
      </c>
      <c s="15">
        <v>0.69685039370078738</v>
      </c>
    </row>
    <row ht="14.95">
      <c s="33" t="s">
        <v>22</v>
      </c>
      <c s="17">
        <v>306</v>
      </c>
      <c s="17">
        <v>153</v>
      </c>
      <c s="27">
        <v>459</v>
      </c>
      <c s="15">
        <v>0.66666666666666663</v>
      </c>
      <c s="15">
        <v>0.33333333333333331</v>
      </c>
    </row>
    <row ht="14.95">
      <c s="33" t="s">
        <v>17</v>
      </c>
      <c s="17">
        <v>314</v>
      </c>
      <c s="17">
        <v>128</v>
      </c>
      <c s="27">
        <v>442</v>
      </c>
      <c s="15">
        <v>0.71040723981900455</v>
      </c>
      <c s="15">
        <v>0.2895927601809955</v>
      </c>
    </row>
    <row ht="14.95">
      <c s="33" t="s">
        <v>11</v>
      </c>
      <c s="17">
        <v>229</v>
      </c>
      <c s="17">
        <v>173</v>
      </c>
      <c s="27">
        <v>402</v>
      </c>
      <c s="15">
        <v>0.56965174129353235</v>
      </c>
      <c s="15">
        <v>0.43034825870646765</v>
      </c>
    </row>
    <row ht="14.95">
      <c s="33" t="s">
        <v>68</v>
      </c>
      <c s="17">
        <v>244</v>
      </c>
      <c s="17">
        <v>114</v>
      </c>
      <c s="27">
        <v>358</v>
      </c>
      <c s="15">
        <v>0.68156424581005581</v>
      </c>
      <c s="15">
        <v>0.31843575418994413</v>
      </c>
    </row>
    <row ht="14.95">
      <c s="33" t="s">
        <v>75</v>
      </c>
      <c s="17">
        <v>185</v>
      </c>
      <c s="17">
        <v>168</v>
      </c>
      <c s="27">
        <v>353</v>
      </c>
      <c s="15">
        <v>0.52407932011331448</v>
      </c>
      <c s="15">
        <v>0.47592067988668557</v>
      </c>
    </row>
    <row ht="14.95">
      <c s="33" t="s">
        <v>62</v>
      </c>
      <c s="17">
        <v>234</v>
      </c>
      <c s="17">
        <v>90</v>
      </c>
      <c s="27">
        <v>324</v>
      </c>
      <c s="15">
        <v>0.72222222222222221</v>
      </c>
      <c s="15">
        <v>0.27777777777777779</v>
      </c>
    </row>
    <row ht="14.95">
      <c s="33" t="s">
        <v>67</v>
      </c>
      <c s="17">
        <v>15</v>
      </c>
      <c s="17">
        <v>14</v>
      </c>
      <c s="27">
        <v>29</v>
      </c>
      <c s="15">
        <v>0.51724137931034486</v>
      </c>
      <c s="15">
        <v>0.48275862068965519</v>
      </c>
    </row>
    <row ht="14.95">
      <c s="33" t="s">
        <v>42</v>
      </c>
      <c s="17">
        <v>8</v>
      </c>
      <c s="17">
        <v>5</v>
      </c>
      <c s="27">
        <v>13</v>
      </c>
      <c s="15">
        <v>0.61538461538461542</v>
      </c>
      <c s="15">
        <v>0.38461538461538464</v>
      </c>
    </row>
  </sheetData>
  <mergeCells count="3">
    <mergeCell ref="B16:F16"/>
    <mergeCell ref="B17:D17"/>
    <mergeCell ref="E17:F17"/>
  </mergeCells>
  <pageMargins left="0.7" right="0.7" top="0.787401575" bottom="0.787401575" header="0.3" footer="0.3"/>
  <pageSetup paperSize="9" fitToWidth="0" fitToHeight="0" orientation="portrait"/>
</worksheet>
</file>

<file path=xl/worksheets/sheet3.xml><?xml version="1.0" encoding="utf-8"?>
<worksheet xmlns:r="http://schemas.openxmlformats.org/officeDocument/2006/relationships" xmlns="http://schemas.openxmlformats.org/spreadsheetml/2006/main">
  <dimension ref="A1:Z31"/>
  <sheetViews>
    <sheetView workbookViewId="0">
      <selection activeCell="D40" sqref="D40"/>
    </sheetView>
  </sheetViews>
  <sheetFormatPr defaultColWidth="9.140625" defaultRowHeight="13.6"/>
  <cols>
    <col min="1" max="1" width="13.5703125" style="31" customWidth="1"/>
    <col min="2" max="2" width="40.85546875" style="31" customWidth="1"/>
    <col min="3" max="3" width="28.140625" style="31" customWidth="1"/>
    <col min="4" max="4" width="16.28515625" style="31" customWidth="1"/>
    <col min="5" max="5" width="19.42578125" style="31" customWidth="1"/>
    <col min="6" max="6" width="11.140625" style="31" customWidth="1"/>
    <col min="7" max="7" width="9.140625" style="31" customWidth="1"/>
    <col min="8" max="8" width="17.28515625" style="31" customWidth="1"/>
    <col min="9" max="9" width="19.5703125" style="31" customWidth="1"/>
    <col min="10" max="12" width="12.42578125" style="31" customWidth="1"/>
    <col min="13" max="13" width="16" style="31" customWidth="1"/>
    <col min="14" max="14" width="14.28515625" style="31" customWidth="1"/>
    <col min="15" max="15" width="18.28515625" style="31" customWidth="1"/>
    <col min="16" max="25" width="9.140625" style="31" customWidth="1"/>
    <col min="26" max="26" width="9.140625" style="31" hidden="1" customWidth="1"/>
    <col min="27" max="27" width="9.140625" style="31" customWidth="1"/>
    <col min="28" max="16384" width="9.140625" style="31"/>
  </cols>
  <sheetData>
    <row>
      <c s="58"/>
      <c r="H1" s="63">
        <v>129806172700000000</v>
      </c>
      <c r="Z1" s="64" t="b">
        <f>0=1</f>
        <v>0</v>
      </c>
    </row>
    <row>
      <c r="Z2" s="64" t="b">
        <f>1=1</f>
        <v>1</v>
      </c>
    </row>
    <row>
      <c r="Z3" s="64"/>
    </row>
    <row>
      <c r="I4" s="31" t="s">
        <v>36</v>
      </c>
      <c s="45" t="s">
        <v>69</v>
      </c>
      <c s="11"/>
      <c s="11"/>
      <c s="11"/>
      <c s="11"/>
      <c s="11"/>
    </row>
    <row>
      <c r="J5" s="34" t="s">
        <v>26</v>
      </c>
      <c s="23" t="s">
        <v>49</v>
      </c>
      <c s="23" t="s">
        <v>63</v>
      </c>
      <c s="34" t="s">
        <v>96</v>
      </c>
      <c s="70" t="s">
        <v>76</v>
      </c>
      <c s="23" t="s">
        <v>4</v>
      </c>
    </row>
    <row>
      <c r="B6" s="29" t="s">
        <v>77</v>
      </c>
      <c s="22" t="s">
        <v>88</v>
      </c>
      <c s="68" t="s">
        <v>12</v>
      </c>
      <c s="8" t="s">
        <v>50</v>
      </c>
    </row>
    <row>
      <c r="C7" s="19"/>
      <c s="25" t="s">
        <v>13</v>
      </c>
      <c s="8" t="s">
        <v>57</v>
      </c>
    </row>
    <row>
      <c r="C8" s="25" t="s">
        <v>5</v>
      </c>
      <c s="19"/>
    </row>
    <row>
      <c r="C9" s="19"/>
      <c s="22" t="s">
        <v>27</v>
      </c>
      <c s="72"/>
    </row>
    <row>
      <c r="C10" s="22" t="s">
        <v>43</v>
      </c>
      <c s="61" t="s">
        <v>64</v>
      </c>
      <c s="8" t="s">
        <v>18</v>
      </c>
    </row>
    <row>
      <c r="B11" s="29" t="s">
        <v>51</v>
      </c>
      <c s="48" t="s">
        <v>44</v>
      </c>
      <c s="71">
        <v>60398</v>
      </c>
      <c s="8" t="s">
        <v>28</v>
      </c>
    </row>
    <row>
      <c r="B12" s="29"/>
      <c s="43"/>
      <c s="49"/>
      <c s="50" t="s">
        <v>70</v>
      </c>
    </row>
    <row>
      <c r="B13" s="29" t="s">
        <v>45</v>
      </c>
      <c s="52" t="s">
        <v>23</v>
      </c>
      <c s="59">
        <v>1212</v>
      </c>
      <c s="31" t="b">
        <v>0</v>
      </c>
      <c s="8" t="s">
        <v>65</v>
      </c>
    </row>
    <row ht="12.75" hidden="1">
      <c r="B14" s="29"/>
      <c s="52"/>
      <c s="51"/>
      <c s="31" t="b">
        <v>0</v>
      </c>
    </row>
    <row>
      <c r="B15" s="29" t="s">
        <v>89</v>
      </c>
      <c s="31" t="s">
        <v>94</v>
      </c>
      <c s="46">
        <v>1212</v>
      </c>
      <c s="31" t="b">
        <v>0</v>
      </c>
      <c s="8" t="s">
        <v>24</v>
      </c>
    </row>
    <row ht="12.75" hidden="1">
      <c r="B16" s="29"/>
      <c r="D16" s="21"/>
      <c s="31" t="b">
        <v>0</v>
      </c>
      <c s="8"/>
    </row>
    <row>
      <c r="B17" s="29"/>
      <c s="31" t="s">
        <v>29</v>
      </c>
      <c s="57">
        <v>3434</v>
      </c>
      <c s="31" t="b">
        <v>0</v>
      </c>
      <c s="8" t="s">
        <v>66</v>
      </c>
    </row>
    <row>
      <c r="B18" s="29"/>
      <c r="D18" s="21"/>
      <c s="31" t="b">
        <v>0</v>
      </c>
      <c s="8"/>
    </row>
    <row>
      <c r="B19" s="29"/>
      <c s="31" t="s">
        <v>6</v>
      </c>
      <c s="39">
        <v>3434</v>
      </c>
      <c s="31" t="b">
        <v>0</v>
      </c>
      <c s="8" t="s">
        <v>78</v>
      </c>
    </row>
    <row>
      <c r="B20" s="29"/>
      <c r="D20" s="21"/>
      <c s="31" t="b">
        <v>0</v>
      </c>
      <c s="8"/>
    </row>
    <row>
      <c r="B21" s="29"/>
      <c s="31" t="s">
        <v>79</v>
      </c>
      <c s="41">
        <v>5656</v>
      </c>
      <c s="31" t="b">
        <v>0</v>
      </c>
      <c s="8" t="s">
        <v>97</v>
      </c>
    </row>
    <row>
      <c r="B22" s="29"/>
      <c r="E22" s="8"/>
      <c r="I22" s="53"/>
    </row>
    <row>
      <c r="B23" s="30" t="s">
        <v>7</v>
      </c>
      <c s="30"/>
    </row>
    <row>
      <c r="B24" s="6" t="s">
        <v>52</v>
      </c>
      <c s="6" t="s">
        <v>30</v>
      </c>
      <c s="6" t="s">
        <v>14</v>
      </c>
      <c s="6" t="s">
        <v>80</v>
      </c>
      <c s="6"/>
      <c s="6"/>
      <c s="6" t="s">
        <v>98</v>
      </c>
    </row>
    <row>
      <c s="31" t="s">
        <v>58</v>
      </c>
      <c r="C25" s="37" t="s">
        <v>53</v>
      </c>
      <c s="35" t="s">
        <v>31</v>
      </c>
      <c s="35">
        <v>1234.5599999999999</v>
      </c>
      <c s="8" t="s">
        <v>71</v>
      </c>
      <c r="H25" s="31" t="s">
        <v>81</v>
      </c>
    </row>
    <row>
      <c s="31" t="s">
        <v>90</v>
      </c>
      <c r="C26" s="37" t="s">
        <v>53</v>
      </c>
      <c s="35" t="s">
        <v>31</v>
      </c>
      <c s="35">
        <v>1234.5599999999999</v>
      </c>
      <c s="8" t="s">
        <v>59</v>
      </c>
      <c r="H26" s="31" t="s">
        <v>99</v>
      </c>
    </row>
    <row>
      <c r="C27" s="37" t="s">
        <v>53</v>
      </c>
      <c s="42" t="s">
        <v>31</v>
      </c>
      <c s="35">
        <v>1234.5599999999999</v>
      </c>
      <c r="H27" s="31" t="s">
        <v>60</v>
      </c>
    </row>
    <row>
      <c r="C28" s="69" t="s">
        <v>8</v>
      </c>
      <c s="42" t="s">
        <v>10</v>
      </c>
      <c s="35">
        <v>1234.5599999999999</v>
      </c>
      <c r="H28" s="31" t="s">
        <v>32</v>
      </c>
    </row>
    <row>
      <c r="C29" s="69" t="s">
        <v>8</v>
      </c>
      <c s="60" t="s">
        <v>61</v>
      </c>
      <c s="55">
        <v>1234.5599999999999</v>
      </c>
      <c r="H29" s="31" t="s">
        <v>100</v>
      </c>
    </row>
    <row>
      <c r="C30" s="69" t="s">
        <v>82</v>
      </c>
      <c s="73" t="s">
        <v>20</v>
      </c>
      <c s="36">
        <v>1234.5599999999999</v>
      </c>
    </row>
    <row>
      <c r="C31" s="69" t="s">
        <v>19</v>
      </c>
      <c s="65" t="s">
        <v>20</v>
      </c>
      <c s="54">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
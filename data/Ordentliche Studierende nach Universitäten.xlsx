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2165"/>
  </bookViews>
  <sheets>
    <sheet name="Tab" sheetId="1" r:id="rId1"/>
    <sheet name="XLCubedFormats" sheetId="2" state="hidden" r:id="rId2"/>
  </sheets>
  <definedNames>
    <definedName name="_xlnm.Print_Area" localSheetId="0">Tab!$A$1:$H$39</definedName>
    <definedName name="XL3DisableCameraObjects" hidden="1">XLCubedFormats!A1</definedName>
    <definedName name="XL3ObjLocation1970655a_d675_4f70_a364_24407d36cd1f">Tab!$A$7</definedName>
  </definedNames>
  <calcPr calcId="40001"/>
</workbook>
</file>

<file path=xl/sharedStrings.xml><?xml version="1.0" encoding="utf-8"?>
<sst xmlns="http://schemas.openxmlformats.org/spreadsheetml/2006/main" uniqueCount="97">
  <si>
    <t>Universität</t>
  </si>
  <si>
    <t>Wirtschaftsuniversität Wien</t>
  </si>
  <si>
    <t>Semester und Datenstichtag</t>
  </si>
  <si>
    <t>Frauen</t>
  </si>
  <si>
    <t>Slicer Button Background</t>
  </si>
  <si>
    <t>Grid Title</t>
  </si>
  <si>
    <t>Oth Written Member</t>
  </si>
  <si>
    <t>Fill in Grid Name, Dimension or Both</t>
  </si>
  <si>
    <t>[ALLG Wertart].[Wertart]</t>
  </si>
  <si>
    <t>Staatengruppe (Ö, EU, andere)</t>
  </si>
  <si>
    <t>Absolutwert</t>
  </si>
  <si>
    <t>Universität für Musik und darstellende Kunst Wien</t>
  </si>
  <si>
    <t>All Marital Status</t>
  </si>
  <si>
    <t>Male</t>
  </si>
  <si>
    <t>Member1 Name</t>
  </si>
  <si>
    <t>Wintersemester 2024 (Stichtag: 28.02.2025)</t>
  </si>
  <si>
    <t>Anmerkung: Ab dem WS 2016 erfolgt die zähltechnische Abbildung der Studierenden auf Basis des Verteilungsschlüssels gemäß § 22 Abs. 2 UHSBV.</t>
  </si>
  <si>
    <t>ord. Studierende (PU)</t>
  </si>
  <si>
    <t>Universität für angewandte Kunst Wien</t>
  </si>
  <si>
    <t>Universität Wien</t>
  </si>
  <si>
    <t>&lt;-- default Column Member Format</t>
  </si>
  <si>
    <t>[ALLG Universität].[Universität]</t>
  </si>
  <si>
    <t>Gesamt</t>
  </si>
  <si>
    <t>Universität Mozarteum Salzburg</t>
  </si>
  <si>
    <t>Universität Klagenfurt</t>
  </si>
  <si>
    <t>Alternate Rows</t>
  </si>
  <si>
    <t>&lt;--  writeable cell format</t>
  </si>
  <si>
    <t>Ordentliche Erstzugelassene</t>
  </si>
  <si>
    <t xml:space="preserve"> 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</si>
  <si>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</si>
  <si>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</si>
  <si>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</si>
  <si>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</si>
  <si>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</si>
  <si>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</si>
  <si>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Ordentliche Studierende nach Universitäten</t>
  </si>
  <si>
    <t>Medizinische Universität Innsbruck</t>
  </si>
  <si>
    <t>Männer</t>
  </si>
  <si>
    <t>Slice Name (Optional)</t>
  </si>
  <si>
    <t>Veterinärmedizinische Universität Wien</t>
  </si>
  <si>
    <t>Montanuniversität Leoben</t>
  </si>
  <si>
    <t>Universität für Weiterbildung Krems</t>
  </si>
  <si>
    <t>Customer</t>
  </si>
  <si>
    <t>-All Customer</t>
  </si>
  <si>
    <t>Default Alternate Row Member Format --&gt;</t>
  </si>
  <si>
    <t>Bundesland Universität</t>
  </si>
  <si>
    <t>Medizinische Universität Graz</t>
  </si>
  <si>
    <t>Universität Innsbruck</t>
  </si>
  <si>
    <t>Slicer Item</t>
  </si>
  <si>
    <t>&lt;-- default Slicer Member Format</t>
  </si>
  <si>
    <t>Default Row Member Format --&gt;</t>
  </si>
  <si>
    <t>Grid/Table Name</t>
  </si>
  <si>
    <t>[Measures]</t>
  </si>
  <si>
    <t>Studierende Universitäten</t>
  </si>
  <si>
    <t>Technische Universität Graz</t>
  </si>
  <si>
    <t>&lt;-- writeable Slicer Member Format</t>
  </si>
  <si>
    <t>Slice Format 1</t>
  </si>
  <si>
    <t>&lt;-- Gesamtzeile</t>
  </si>
  <si>
    <t>3) Formatierung der Gesamtspalte und -zeile (siehe E25:E26)</t>
  </si>
  <si>
    <t>Frauen-/Männeranteil in %</t>
  </si>
  <si>
    <t>Institute of Digital Sciences Austria</t>
  </si>
  <si>
    <t>Slicer Button</t>
  </si>
  <si>
    <t>+2009</t>
  </si>
  <si>
    <t>&lt;-- default alternate row cell format</t>
  </si>
  <si>
    <t>&lt;--  written cell format</t>
  </si>
  <si>
    <t>Universität für künstlerische und industrielle Gestaltung Linz</t>
  </si>
  <si>
    <t>Akademie der bildenden Künste Wien</t>
  </si>
  <si>
    <t>Insgesamt (bereinigt)</t>
  </si>
  <si>
    <t>Display Formats For:</t>
  </si>
  <si>
    <t>Enabled?</t>
  </si>
  <si>
    <t>&lt;-- Gesamtspalte</t>
  </si>
  <si>
    <t>Datenprüfung und -aufbereitung: bmfwf, Abt. I/10</t>
  </si>
  <si>
    <t>Bundesland</t>
  </si>
  <si>
    <t>Universität für Musik und darstellende Kunst Graz</t>
  </si>
  <si>
    <t>Universität Graz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</si>
  <si>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</si>
  <si>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</si>
  <si>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</si>
  <si>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</si>
  <si>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</si>
  <si>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</si>
  <si>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[SU Studierende].[Geschlecht]</t>
  </si>
  <si>
    <t>Universität Linz</t>
  </si>
  <si>
    <t>Universität für Bodenkultur Wien</t>
  </si>
  <si>
    <t>Universität Salzburg</t>
  </si>
  <si>
    <t>Medizinische Universität Wien</t>
  </si>
  <si>
    <t>Marital Status</t>
  </si>
  <si>
    <t>Default Writeable Member Format --&gt;</t>
  </si>
  <si>
    <t>Slice Format 2</t>
  </si>
  <si>
    <t>Quelle: Datenmeldungen der Universitäten auf Basis UHSBV zum jeweiligen Stichtag</t>
  </si>
  <si>
    <t>Technische Universität Wien</t>
  </si>
  <si>
    <t>Writeable Member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</si>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</sst>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;;;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Tahoma"/>
      <family val="2"/>
    </font>
    <font>
      <b/>
      <sz val="10"/>
      <name val="Tahoma"/>
      <family val="2"/>
    </font>
    <font>
      <b/>
      <sz val="8"/>
      <color indexed="23"/>
      <name val="Tahoma"/>
      <family val="2"/>
    </font>
    <font>
      <b/>
      <sz val="11"/>
      <color rgb="FF000000"/>
      <name val="Tahoma"/>
      <family val="2"/>
    </font>
    <font>
      <sz val="10"/>
      <color rgb="FF262626"/>
      <name val="Tahoma"/>
      <family val="2"/>
    </font>
    <font>
      <sz val="9"/>
      <name val="Tahoma"/>
      <family val="2"/>
    </font>
    <font>
      <sz val="11"/>
      <color rgb="FF000000"/>
      <name val="Tahoma"/>
      <family val="2"/>
    </font>
    <font>
      <sz val="8"/>
      <name val="Tahoma"/>
      <family val="2"/>
    </font>
    <font>
      <sz val="10"/>
      <color theme="1" tint="0.0499893185216834"/>
      <name val="Tahoma"/>
      <family val="2"/>
    </font>
    <font>
      <sz val="10"/>
      <name val="Tahoma"/>
      <family val="2"/>
    </font>
    <font>
      <sz val="10"/>
      <color theme="1" tint="0.34998626667073579"/>
      <name val="Tahoma"/>
      <family val="2"/>
    </font>
    <font>
      <sz val="10"/>
      <color theme="1" tint="0.14993743705557422"/>
      <name val="Tahoma"/>
      <family val="2"/>
    </font>
    <font>
      <sz val="10"/>
      <color rgb="FF595959"/>
      <name val="Tahoma"/>
    </font>
    <font>
      <b/>
      <sz val="8"/>
      <color rgb="FFFF0000"/>
      <name val="Tahoma"/>
      <family val="2"/>
    </font>
    <font>
      <b/>
      <sz val="11"/>
      <color theme="1"/>
      <name val="Calibri"/>
      <family val="2"/>
      <scheme val="minor"/>
    </font>
    <font>
      <sz val="10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D9D9D9"/>
        <bgColor rgb="FFFFFFFF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rgb="FFC6D9F1"/>
        <bgColor rgb="FFFFFFFF"/>
      </patternFill>
    </fill>
    <fill>
      <patternFill patternType="solid">
        <fgColor rgb="FFC0C0C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rgb="FFD9D9D9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/>
      <top/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2" fillId="0" borderId="0" xfId="0" applyFont="1" applyFill="1" applyBorder="1"/>
    <xf numFmtId="3" fontId="3" fillId="0" borderId="0" xfId="0" applyNumberFormat="1" applyFont="1" applyFill="1" applyBorder="1"/>
    <xf numFmtId="0" fontId="4" fillId="0" borderId="0" xfId="0" quotePrefix="1" applyFont="1" applyFill="1" applyAlignment="1">
      <alignment horizontal="left" vertical="top" wrapText="1"/>
    </xf>
    <xf numFmtId="0" fontId="5" fillId="0" borderId="0" xfId="0" applyFont="1"/>
    <xf numFmtId="0" fontId="6" fillId="0" borderId="0" xfId="0" applyFont="1"/>
    <xf numFmtId="0" fontId="0" fillId="0" borderId="0" xfId="0" applyFill="1" applyAlignment="1"/>
    <xf numFmtId="0" fontId="7" fillId="0" borderId="0" xfId="0" applyFont="1" applyFill="1" applyAlignment="1">
      <alignment vertical="top"/>
    </xf>
    <xf numFmtId="0" fontId="4" fillId="0" borderId="0" xfId="0" applyFont="1" applyFill="1" applyAlignment="1"/>
    <xf numFmtId="0" fontId="8" fillId="0" borderId="1" xfId="0" quotePrefix="1" applyFont="1" applyFill="1" applyBorder="1" applyAlignment="1" applyProtection="1">
      <alignment horizontal="center"/>
    </xf>
    <xf numFmtId="0" fontId="9" fillId="2" borderId="0" xfId="1" applyFont="1" applyFill="1" applyBorder="1" applyAlignment="1">
      <alignment horizontal="center"/>
    </xf>
    <xf numFmtId="0" fontId="10" fillId="0" borderId="0" xfId="0" applyFont="1" applyFill="1" applyAlignment="1">
      <alignment vertical="center"/>
    </xf>
    <xf numFmtId="0" fontId="4" fillId="0" borderId="0" xfId="0" applyFont="1" applyFill="1" applyAlignment="1">
      <alignment vertical="top"/>
    </xf>
    <xf numFmtId="0" fontId="8" fillId="0" borderId="1" xfId="0" applyFont="1" applyFill="1" applyBorder="1" applyAlignment="1" applyProtection="1">
      <alignment horizontal="right"/>
    </xf>
    <xf numFmtId="3" fontId="8" fillId="3" borderId="1" xfId="0" applyNumberFormat="1" applyFont="1" applyFill="1" applyBorder="1" applyAlignment="1" applyProtection="1">
      <alignment horizontal="right"/>
    </xf>
    <xf numFmtId="0" fontId="11" fillId="0" borderId="0" xfId="1" applyFont="1"/>
    <xf numFmtId="0" fontId="12" fillId="0" borderId="0" xfId="0" applyFont="1"/>
    <xf numFmtId="0" fontId="13" fillId="0" borderId="0" xfId="0" applyNumberFormat="1" applyFont="1" applyAlignment="1"/>
    <xf numFmtId="0" fontId="14" fillId="4" borderId="0" xfId="0" applyFont="1" applyFill="1" applyAlignment="1"/>
    <xf numFmtId="0" fontId="6" fillId="0" borderId="0" xfId="0" applyFont="1" applyAlignment="1">
      <alignment horizontal="right"/>
    </xf>
    <xf numFmtId="164" fontId="8" fillId="5" borderId="1" xfId="0" quotePrefix="1" applyNumberFormat="1" applyFont="1" applyFill="1" applyBorder="1" applyAlignment="1" applyProtection="1">
      <alignment horizontal="center"/>
    </xf>
    <xf numFmtId="3" fontId="8" fillId="0" borderId="1" xfId="0" applyNumberFormat="1" applyFont="1" applyFill="1" applyBorder="1" applyAlignment="1" applyProtection="1">
      <alignment horizontal="right"/>
    </xf>
    <xf numFmtId="0" fontId="15" fillId="0" borderId="0" xfId="0" applyFont="1"/>
    <xf numFmtId="0" fontId="16" fillId="6" borderId="2" xfId="0" quotePrefix="1" applyFont="1" applyFill="1" applyBorder="1" applyAlignment="1" applyProtection="1"/>
    <xf numFmtId="164" fontId="8" fillId="3" borderId="1" xfId="0" applyNumberFormat="1" applyFont="1" applyFill="1" applyBorder="1" applyAlignment="1" applyProtection="1">
      <alignment horizontal="right"/>
    </xf>
    <xf numFmtId="0" fontId="13" fillId="0" borderId="0" xfId="0" applyFont="1"/>
    <xf numFmtId="0" fontId="11" fillId="4" borderId="0" xfId="1" applyFont="1" applyFill="1"/>
    <xf numFmtId="0" fontId="8" fillId="0" borderId="3" xfId="0" applyFont="1" applyBorder="1" applyAlignment="1" applyProtection="1">
      <alignment horizontal="right"/>
    </xf>
    <xf numFmtId="164" fontId="8" fillId="5" borderId="1" xfId="0" applyNumberFormat="1" applyFont="1" applyFill="1" applyBorder="1" applyAlignment="1" applyProtection="1">
      <alignment horizontal="right"/>
    </xf>
    <xf numFmtId="0" fontId="13" fillId="0" borderId="0" xfId="0" applyFont="1" applyAlignment="1">
      <alignment horizontal="center"/>
    </xf>
    <xf numFmtId="164" fontId="8" fillId="7" borderId="3" xfId="0" applyNumberFormat="1" applyFont="1" applyFill="1" applyBorder="1" applyAlignment="1" applyProtection="1">
      <alignment horizontal="right"/>
    </xf>
    <xf numFmtId="0" fontId="6" fillId="0" borderId="0" xfId="0" applyFont="1" applyAlignment="1">
      <alignment horizontal="center"/>
    </xf>
    <xf numFmtId="0" fontId="8" fillId="0" borderId="1" xfId="0" quotePrefix="1" applyFont="1" applyBorder="1" applyAlignment="1" applyProtection="1"/>
    <xf numFmtId="0" fontId="17" fillId="0" borderId="0" xfId="0" applyFont="1"/>
    <xf numFmtId="165" fontId="13" fillId="0" borderId="0" xfId="0" applyNumberFormat="1" applyFont="1"/>
    <xf numFmtId="0" fontId="18" fillId="0" borderId="0" xfId="0" applyFont="1"/>
    <xf numFmtId="0" fontId="13" fillId="0" borderId="0" xfId="0" applyNumberFormat="1" applyFont="1"/>
    <xf numFmtId="0" fontId="8" fillId="0" borderId="1" xfId="0" applyFont="1" applyFill="1" applyBorder="1" applyAlignment="1" applyProtection="1">
      <alignment vertical="center"/>
    </xf>
    <xf numFmtId="0" fontId="15" fillId="0" borderId="4" xfId="0" applyFont="1" applyFill="1" applyBorder="1" applyAlignment="1">
      <alignment vertical="center"/>
    </xf>
    <xf numFmtId="0" fontId="18" fillId="0" borderId="0" xfId="0" applyFont="1" applyFill="1" applyAlignment="1"/>
    <xf numFmtId="0" fontId="0" fillId="0" borderId="0" xfId="0" applyFont="1"/>
    <xf numFmtId="3" fontId="5" fillId="0" borderId="0" xfId="0" applyNumberFormat="1" applyFont="1" applyFill="1" applyAlignment="1"/>
    <xf numFmtId="0" fontId="0" fillId="0" borderId="0" xfId="0" applyFont="1" applyFill="1" applyAlignment="1"/>
    <xf numFmtId="0" fontId="9" fillId="2" borderId="5" xfId="1" applyFont="1" applyFill="1" applyBorder="1" applyAlignment="1">
      <alignment horizontal="center"/>
    </xf>
    <xf numFmtId="0" fontId="8" fillId="0" borderId="3" xfId="0" applyFont="1" applyBorder="1" applyAlignment="1" applyProtection="1">
      <alignment horizontal="center"/>
    </xf>
    <xf numFmtId="0" fontId="13" fillId="0" borderId="0" xfId="0" quotePrefix="1" applyFont="1"/>
    <xf numFmtId="3" fontId="13" fillId="0" borderId="0" xfId="0" applyNumberFormat="1" applyFont="1" applyAlignment="1"/>
    <xf numFmtId="0" fontId="15" fillId="0" borderId="4" xfId="0" quotePrefix="1" applyFont="1" applyFill="1" applyBorder="1" applyAlignment="1">
      <alignment horizontal="right"/>
    </xf>
    <xf numFmtId="0" fontId="4" fillId="0" borderId="0" xfId="0" quotePrefix="1" applyFont="1" applyFill="1" applyAlignment="1">
      <alignment vertical="top"/>
    </xf>
    <xf numFmtId="0" fontId="8" fillId="0" borderId="6" xfId="0" applyFont="1" applyBorder="1" applyAlignment="1" applyProtection="1">
      <alignment horizontal="right"/>
    </xf>
    <xf numFmtId="0" fontId="15" fillId="0" borderId="4" xfId="0" quotePrefix="1" applyFont="1" applyFill="1" applyBorder="1" applyAlignment="1"/>
    <xf numFmtId="3" fontId="13" fillId="8" borderId="0" xfId="0" applyNumberFormat="1" applyFont="1" applyFill="1" applyAlignment="1"/>
    <xf numFmtId="0" fontId="13" fillId="0" borderId="0" xfId="0" applyNumberFormat="1" applyFont="1" applyFill="1" applyBorder="1" applyAlignment="1"/>
    <xf numFmtId="0" fontId="8" fillId="9" borderId="1" xfId="0" applyFont="1" applyFill="1" applyBorder="1" applyAlignment="1" applyProtection="1">
      <alignment horizontal="right"/>
    </xf>
    <xf numFmtId="0" fontId="8" fillId="0" borderId="6" xfId="0" applyFont="1" applyBorder="1" applyAlignment="1" applyProtection="1">
      <alignment horizontal="center"/>
    </xf>
    <xf numFmtId="0" fontId="8" fillId="10" borderId="3" xfId="0" applyFont="1" applyFill="1" applyBorder="1" applyAlignment="1" applyProtection="1">
      <alignment vertical="center"/>
    </xf>
    <xf numFmtId="0" fontId="8" fillId="11" borderId="3" xfId="0" applyFont="1" applyFill="1" applyBorder="1" applyAlignment="1" applyProtection="1">
      <alignment horizontal="right"/>
    </xf>
    <xf numFmtId="0" fontId="13" fillId="0" borderId="0" xfId="0" applyFont="1" applyFill="1" applyBorder="1" applyAlignment="1">
      <alignment vertical="center"/>
    </xf>
    <xf numFmtId="0" fontId="11" fillId="12" borderId="0" xfId="1" applyFont="1" applyFill="1"/>
    <xf numFmtId="3" fontId="13" fillId="12" borderId="0" xfId="0" applyNumberFormat="1" applyFont="1" applyFill="1" applyAlignment="1"/>
    <xf numFmtId="0" fontId="13" fillId="0" borderId="0" xfId="0" quotePrefix="1" applyFont="1" applyFill="1"/>
    <xf numFmtId="0" fontId="8" fillId="3" borderId="1" xfId="0" applyFont="1" applyFill="1" applyBorder="1" applyAlignment="1" applyProtection="1">
      <alignment vertical="center"/>
    </xf>
    <xf numFmtId="3" fontId="13" fillId="13" borderId="0" xfId="0" applyNumberFormat="1" applyFont="1" applyFill="1" applyAlignment="1"/>
    <xf numFmtId="0" fontId="8" fillId="10" borderId="7" xfId="0" applyFont="1" applyFill="1" applyBorder="1" applyAlignment="1" applyProtection="1">
      <alignment vertical="center"/>
    </xf>
    <xf numFmtId="2" fontId="13" fillId="0" borderId="0" xfId="0" applyNumberFormat="1" applyFont="1"/>
    <xf numFmtId="0" fontId="8" fillId="11" borderId="7" xfId="0" applyFont="1" applyFill="1" applyBorder="1" applyAlignment="1" applyProtection="1">
      <alignment horizontal="right"/>
    </xf>
    <xf numFmtId="0" fontId="13" fillId="12" borderId="0" xfId="0" applyFont="1" applyFill="1"/>
    <xf numFmtId="164" fontId="8" fillId="7" borderId="3" xfId="0" applyNumberFormat="1" applyFont="1" applyFill="1" applyBorder="1" applyAlignment="1" applyProtection="1">
      <alignment horizontal="center"/>
    </xf>
    <xf numFmtId="0" fontId="13" fillId="12" borderId="0" xfId="0" applyNumberFormat="1" applyFont="1" applyFill="1" applyAlignment="1"/>
    <xf numFmtId="0" fontId="19" fillId="0" borderId="0" xfId="0" applyFont="1"/>
    <xf numFmtId="0" fontId="4" fillId="0" borderId="0" xfId="0" quotePrefix="1" applyFont="1" applyFill="1" applyAlignment="1"/>
    <xf numFmtId="3" fontId="15" fillId="0" borderId="4" xfId="0" applyNumberFormat="1" applyFont="1" applyFill="1" applyBorder="1" applyAlignment="1"/>
    <xf numFmtId="0" fontId="5" fillId="0" borderId="0" xfId="0" applyFont="1" applyFill="1" applyBorder="1" applyAlignment="1">
      <alignment vertical="center"/>
    </xf>
    <xf numFmtId="3" fontId="8" fillId="9" borderId="1" xfId="0" applyNumberFormat="1" applyFont="1" applyFill="1" applyBorder="1" applyAlignment="1" applyProtection="1">
      <alignment horizontal="right"/>
    </xf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2.png" /><Relationship Id="rId2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3697820</xdr:colOff>
      <xdr:row>6</xdr:row>
      <xdr:rowOff>0</xdr:rowOff>
    </xdr:from>
    <xdr:to>
      <xdr:col>5</xdr:col>
      <xdr:colOff>187454</xdr:colOff>
      <xdr:row>7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7820" y="1158875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6</xdr:row>
      <xdr:rowOff>189865</xdr:rowOff>
    </xdr:from>
    <xdr:to>
      <xdr:col>5</xdr:col>
      <xdr:colOff>187454</xdr:colOff>
      <xdr:row>8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1348740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8</xdr:row>
      <xdr:rowOff>0</xdr:rowOff>
    </xdr:from>
    <xdr:to>
      <xdr:col>5</xdr:col>
      <xdr:colOff>187454</xdr:colOff>
      <xdr:row>9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1538605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9</xdr:row>
      <xdr:rowOff>0</xdr:rowOff>
    </xdr:from>
    <xdr:to>
      <xdr:col>5</xdr:col>
      <xdr:colOff>187454</xdr:colOff>
      <xdr:row>9</xdr:row>
      <xdr:rowOff>189865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1728470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88433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79042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69650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0258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693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1096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4431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11974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37"/>
  <sheetViews>
    <sheetView tabSelected="1" workbookViewId="0"/>
  </sheetViews>
  <sheetFormatPr defaultColWidth="11.42578125" defaultRowHeight="14.95"/>
  <cols>
    <col min="1" max="1" width="50.7109375" style="40" customWidth="1"/>
    <col min="2" max="9" width="11.7109375" customWidth="1"/>
    <col min="10" max="10" width="7.85546875" customWidth="1"/>
    <col min="11" max="11" width="11.28515625" customWidth="1"/>
    <col min="12" max="12" width="9.85546875" customWidth="1"/>
    <col min="13" max="13" width="7.28515625" customWidth="1"/>
    <col min="14" max="14" width="11.28515625" customWidth="1"/>
    <col min="15" max="15" width="9.85546875" customWidth="1"/>
    <col min="16" max="16" width="7.28515625" customWidth="1"/>
    <col min="17" max="17" width="11.28515625" customWidth="1"/>
    <col min="18" max="18" width="7.28515625" customWidth="1"/>
    <col min="19" max="19" width="11.28515625" customWidth="1"/>
    <col min="20" max="20" width="9.85546875" customWidth="1"/>
    <col min="21" max="21" width="7.28515625" customWidth="1"/>
    <col min="22" max="22" width="11.28515625" customWidth="1"/>
    <col min="23" max="23" width="9.85546875" customWidth="1"/>
    <col min="24" max="24" width="7.28515625" customWidth="1"/>
    <col min="25" max="25" width="11.28515625" customWidth="1"/>
    <col min="26" max="26" width="17.140625" customWidth="1"/>
    <col min="27" max="27" width="6.7109375" customWidth="1"/>
    <col min="28" max="28" width="7.140625" customWidth="1"/>
    <col min="29" max="29" width="17.140625" customWidth="1"/>
    <col min="30" max="30" width="6.7109375" customWidth="1"/>
    <col min="31" max="31" width="7.140625" customWidth="1"/>
    <col min="32" max="32" width="17.140625" customWidth="1"/>
    <col min="33" max="33" width="6.7109375" customWidth="1"/>
    <col min="34" max="34" width="7.140625" customWidth="1"/>
  </cols>
  <sheetData>
    <row>
      <c s="11" t="s">
        <v>53</v>
      </c>
      <c s="11"/>
      <c s="11"/>
      <c s="11"/>
      <c s="11"/>
      <c s="6"/>
    </row>
    <row s="35" customFormat="1">
      <c s="7" t="s">
        <v>35</v>
      </c>
      <c s="7"/>
      <c s="7"/>
      <c s="7"/>
      <c s="7"/>
      <c s="39"/>
    </row>
    <row s="35" customFormat="1">
      <c s="3" t="s">
        <v>16</v>
      </c>
      <c s="3"/>
      <c s="3"/>
      <c s="3"/>
      <c s="3"/>
      <c s="3"/>
      <c s="3"/>
      <c s="3"/>
    </row>
    <row>
      <c s="70" t="s">
        <v>89</v>
      </c>
      <c s="8"/>
      <c s="8"/>
      <c s="8"/>
      <c s="8"/>
      <c s="8"/>
    </row>
    <row>
      <c s="48" t="s">
        <v>71</v>
      </c>
      <c s="12"/>
      <c s="12"/>
      <c s="12"/>
      <c s="12"/>
      <c s="6"/>
    </row>
    <row ht="16.5" customHeight="1">
      <c s="42"/>
      <c s="6"/>
      <c s="6"/>
      <c s="6"/>
      <c s="6"/>
      <c s="6"/>
    </row>
    <row>
      <c s="23" t="s">
        <v>2</v>
      </c>
      <c s="32" t="s">
        <v>15</v>
      </c>
      <c s="6"/>
      <c s="6"/>
      <c s="6"/>
      <c s="6" t="s">
        <v>28</v>
      </c>
    </row>
    <row>
      <c s="23" t="s">
        <v>9</v>
      </c>
      <c s="32" t="s">
        <v>22</v>
      </c>
      <c s="6"/>
      <c s="6"/>
      <c s="6"/>
      <c s="6" t="s">
        <v>28</v>
      </c>
    </row>
    <row>
      <c s="23" t="s">
        <v>72</v>
      </c>
      <c s="32" t="s">
        <v>22</v>
      </c>
      <c s="6"/>
      <c s="6"/>
      <c s="6"/>
      <c s="6" t="s">
        <v>28</v>
      </c>
    </row>
    <row>
      <c s="23" t="s">
        <v>45</v>
      </c>
      <c s="32" t="s">
        <v>22</v>
      </c>
      <c s="6"/>
      <c s="6"/>
      <c s="6"/>
      <c s="6" t="s">
        <v>28</v>
      </c>
    </row>
    <row>
      <c/>
      <c r="C11" s="6"/>
      <c s="6"/>
      <c s="6"/>
      <c s="6"/>
    </row>
    <row>
      <c/>
      <c r="C12" s="6"/>
      <c s="6"/>
      <c s="6"/>
      <c s="6"/>
    </row>
    <row>
      <c/>
      <c s="9" t="s">
        <v>17</v>
      </c>
      <c s="9"/>
      <c s="9"/>
      <c s="9"/>
      <c s="9"/>
    </row>
    <row ht="15" customHeight="1">
      <c/>
      <c s="9" t="s">
        <v>10</v>
      </c>
      <c s="9"/>
      <c s="9"/>
      <c s="20" t="s">
        <v>59</v>
      </c>
      <c s="20"/>
    </row>
    <row ht="15" customHeight="1">
      <c s="23" t="s">
        <v>0</v>
      </c>
      <c s="13" t="s">
        <v>3</v>
      </c>
      <c s="13" t="s">
        <v>37</v>
      </c>
      <c s="53" t="s">
        <v>22</v>
      </c>
      <c s="13" t="s">
        <v>3</v>
      </c>
      <c s="13" t="s">
        <v>37</v>
      </c>
    </row>
    <row>
      <c s="37" t="s">
        <v>19</v>
      </c>
      <c s="21">
        <v>49577</v>
      </c>
      <c s="21">
        <v>29572</v>
      </c>
      <c s="73">
        <v>79149</v>
      </c>
      <c s="28">
        <v>0.62637557012722844</v>
      </c>
      <c s="28">
        <v>0.37362442987277161</v>
      </c>
    </row>
    <row>
      <c s="37" t="s">
        <v>74</v>
      </c>
      <c s="21">
        <v>17105</v>
      </c>
      <c s="21">
        <v>10452</v>
      </c>
      <c s="73">
        <v>27557</v>
      </c>
      <c s="28">
        <v>0.62071343034437709</v>
      </c>
      <c s="28">
        <v>0.37928656965562291</v>
      </c>
    </row>
    <row>
      <c s="37" t="s">
        <v>47</v>
      </c>
      <c s="21">
        <v>14363</v>
      </c>
      <c s="21">
        <v>12487</v>
      </c>
      <c s="73">
        <v>26850</v>
      </c>
      <c s="28">
        <v>0.53493482309124762</v>
      </c>
      <c s="28">
        <v>0.46506517690875232</v>
      </c>
    </row>
    <row>
      <c s="37" t="s">
        <v>85</v>
      </c>
      <c s="21">
        <v>4300</v>
      </c>
      <c s="21">
        <v>3374</v>
      </c>
      <c s="73">
        <v>7674</v>
      </c>
      <c s="28">
        <v>0.5603335939536096</v>
      </c>
      <c s="28">
        <v>0.4396664060463904</v>
      </c>
    </row>
    <row>
      <c s="37" t="s">
        <v>46</v>
      </c>
      <c s="21">
        <v>2819</v>
      </c>
      <c s="21">
        <v>2173</v>
      </c>
      <c s="73">
        <v>4992</v>
      </c>
      <c s="28">
        <v>0.56470352564102566</v>
      </c>
      <c s="28">
        <v>0.43529647435897434</v>
      </c>
    </row>
    <row>
      <c s="37" t="s">
        <v>36</v>
      </c>
      <c s="21">
        <v>2104</v>
      </c>
      <c s="21">
        <v>1595</v>
      </c>
      <c s="73">
        <v>3699</v>
      </c>
      <c s="28">
        <v>0.56880237902135711</v>
      </c>
      <c s="28">
        <v>0.43119762097864289</v>
      </c>
    </row>
    <row>
      <c s="37" t="s">
        <v>84</v>
      </c>
      <c s="21">
        <v>9763</v>
      </c>
      <c s="21">
        <v>5239</v>
      </c>
      <c s="73">
        <v>15002</v>
      </c>
      <c s="28">
        <v>0.65077989601386477</v>
      </c>
      <c s="28">
        <v>0.34922010398613518</v>
      </c>
    </row>
    <row>
      <c s="37" t="s">
        <v>90</v>
      </c>
      <c s="21">
        <v>8044</v>
      </c>
      <c s="21">
        <v>17274</v>
      </c>
      <c s="73">
        <v>25318</v>
      </c>
      <c s="28">
        <v>0.317718619164231</v>
      </c>
      <c s="28">
        <v>0.68228138083576906</v>
      </c>
    </row>
    <row>
      <c s="37" t="s">
        <v>54</v>
      </c>
      <c s="21">
        <v>5798</v>
      </c>
      <c s="21">
        <v>10984</v>
      </c>
      <c s="73">
        <v>16782</v>
      </c>
      <c s="28">
        <v>0.3454892146347277</v>
      </c>
      <c s="28">
        <v>0.6545107853652723</v>
      </c>
    </row>
    <row>
      <c s="37" t="s">
        <v>40</v>
      </c>
      <c s="21">
        <v>710</v>
      </c>
      <c s="21">
        <v>1934</v>
      </c>
      <c s="73">
        <v>2644</v>
      </c>
      <c s="28">
        <v>0.26853252647503784</v>
      </c>
      <c s="28">
        <v>0.73146747352496222</v>
      </c>
    </row>
    <row>
      <c s="37" t="s">
        <v>83</v>
      </c>
      <c s="21">
        <v>5394</v>
      </c>
      <c s="21">
        <v>4805</v>
      </c>
      <c s="73">
        <v>10199</v>
      </c>
      <c s="28">
        <v>0.52887537993920974</v>
      </c>
      <c s="28">
        <v>0.47112462006079026</v>
      </c>
    </row>
    <row>
      <c s="37" t="s">
        <v>39</v>
      </c>
      <c s="21">
        <v>1894</v>
      </c>
      <c s="21">
        <v>569</v>
      </c>
      <c s="73">
        <v>2463</v>
      </c>
      <c s="28">
        <v>0.76898091758018672</v>
      </c>
      <c s="28">
        <v>0.23101908241981323</v>
      </c>
    </row>
    <row>
      <c s="37" t="s">
        <v>1</v>
      </c>
      <c s="21">
        <v>9716</v>
      </c>
      <c s="21">
        <v>11264</v>
      </c>
      <c s="73">
        <v>20980</v>
      </c>
      <c s="28">
        <v>0.4631077216396568</v>
      </c>
      <c s="28">
        <v>0.53689227836034314</v>
      </c>
    </row>
    <row>
      <c s="37" t="s">
        <v>82</v>
      </c>
      <c s="21">
        <v>12562</v>
      </c>
      <c s="21">
        <v>11829</v>
      </c>
      <c s="73">
        <v>24391</v>
      </c>
      <c s="28">
        <v>0.51502603419294002</v>
      </c>
      <c s="28">
        <v>0.48497396580705998</v>
      </c>
    </row>
    <row>
      <c s="37" t="s">
        <v>24</v>
      </c>
      <c s="21">
        <v>7741</v>
      </c>
      <c s="21">
        <v>4791</v>
      </c>
      <c s="73">
        <v>12532</v>
      </c>
      <c s="28">
        <v>0.61769869135014366</v>
      </c>
      <c s="28">
        <v>0.38230130864985634</v>
      </c>
    </row>
    <row>
      <c s="37" t="s">
        <v>18</v>
      </c>
      <c s="21">
        <v>1299</v>
      </c>
      <c s="21">
        <v>697</v>
      </c>
      <c s="73">
        <v>1996</v>
      </c>
      <c s="28">
        <v>0.65080160320641278</v>
      </c>
      <c s="28">
        <v>0.34919839679358716</v>
      </c>
    </row>
    <row>
      <c s="37" t="s">
        <v>11</v>
      </c>
      <c s="21">
        <v>1432</v>
      </c>
      <c s="21">
        <v>1209</v>
      </c>
      <c s="73">
        <v>2641</v>
      </c>
      <c s="28">
        <v>0.54221885649375234</v>
      </c>
      <c s="28">
        <v>0.45778114350624766</v>
      </c>
    </row>
    <row>
      <c s="37" t="s">
        <v>23</v>
      </c>
      <c s="21">
        <v>1357</v>
      </c>
      <c s="21">
        <v>688</v>
      </c>
      <c s="73">
        <v>2045</v>
      </c>
      <c s="28">
        <v>0.66356968215158929</v>
      </c>
      <c s="28">
        <v>0.33643031784841076</v>
      </c>
    </row>
    <row>
      <c s="37" t="s">
        <v>73</v>
      </c>
      <c s="21">
        <v>982</v>
      </c>
      <c s="21">
        <v>1022</v>
      </c>
      <c s="73">
        <v>2004</v>
      </c>
      <c s="28">
        <v>0.49001996007984033</v>
      </c>
      <c s="28">
        <v>0.50998003992015972</v>
      </c>
    </row>
    <row>
      <c s="37" t="s">
        <v>65</v>
      </c>
      <c s="21">
        <v>1099</v>
      </c>
      <c s="21">
        <v>500</v>
      </c>
      <c s="73">
        <v>1599</v>
      </c>
      <c s="28">
        <v>0.68730456535334583</v>
      </c>
      <c s="28">
        <v>0.31269543464665417</v>
      </c>
    </row>
    <row>
      <c s="37" t="s">
        <v>66</v>
      </c>
      <c s="21">
        <v>1161</v>
      </c>
      <c s="21">
        <v>539</v>
      </c>
      <c s="73">
        <v>1700</v>
      </c>
      <c s="28">
        <v>0.68294117647058827</v>
      </c>
      <c s="28">
        <v>0.31705882352941178</v>
      </c>
    </row>
    <row>
      <c s="37" t="s">
        <v>41</v>
      </c>
      <c s="21">
        <v>23</v>
      </c>
      <c s="21">
        <v>14</v>
      </c>
      <c s="73">
        <v>37</v>
      </c>
      <c s="28">
        <v>0.6216216216216216</v>
      </c>
      <c s="28">
        <v>0.3783783783783784</v>
      </c>
    </row>
    <row>
      <c s="37" t="s">
        <v>60</v>
      </c>
      <c s="21">
        <v>5</v>
      </c>
      <c s="21">
        <v>7</v>
      </c>
      <c s="73">
        <v>12</v>
      </c>
      <c s="28">
        <v>0.41666666666666669</v>
      </c>
      <c s="28">
        <v>0.58333333333333337</v>
      </c>
    </row>
    <row>
      <c s="61" t="s">
        <v>67</v>
      </c>
      <c s="14">
        <v>143288</v>
      </c>
      <c s="14">
        <v>121639</v>
      </c>
      <c s="14">
        <v>264927</v>
      </c>
      <c s="24">
        <v>0.5408584251510794</v>
      </c>
      <c s="24">
        <v>0.45914157484892065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72"/>
      <c s="2"/>
      <c s="2"/>
      <c s="2"/>
      <c s="2"/>
      <c s="2"/>
      <c s="2"/>
      <c s="2"/>
      <c s="2"/>
      <c s="2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4">
    <mergeCell ref="A3:H3"/>
    <mergeCell ref="B13:F13"/>
    <mergeCell ref="B14:D14"/>
    <mergeCell ref="E14:F14"/>
  </mergeCells>
  <pageMargins left="0.70866141732283472" right="0.70866141732283472" top="0.78740157480314965" bottom="0.78740157480314965" header="0.31496062992125984" footer="0.31496062992125984"/>
  <pageSetup paperSize="9" scale="84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32"/>
  <sheetViews>
    <sheetView workbookViewId="0">
      <selection activeCell="E32" sqref="E32"/>
    </sheetView>
  </sheetViews>
  <sheetFormatPr defaultColWidth="9.140625" defaultRowHeight="13.6"/>
  <cols>
    <col min="1" max="1" width="13.42578125" style="25" customWidth="1"/>
    <col min="2" max="2" width="40.85546875" style="25" customWidth="1"/>
    <col min="3" max="3" width="28.140625" style="25" customWidth="1"/>
    <col min="4" max="4" width="16.28515625" style="25" customWidth="1"/>
    <col min="5" max="5" width="19.42578125" style="25" customWidth="1"/>
    <col min="6" max="6" width="11.140625" style="25" customWidth="1"/>
    <col min="7" max="7" width="9.140625" style="25" customWidth="1"/>
    <col min="8" max="8" width="17.28515625" style="25" customWidth="1"/>
    <col min="9" max="9" width="19.42578125" style="25" customWidth="1"/>
    <col min="10" max="12" width="12.42578125" style="25" customWidth="1"/>
    <col min="13" max="13" width="16" style="25" customWidth="1"/>
    <col min="14" max="14" width="14.28515625" style="25" customWidth="1"/>
    <col min="15" max="15" width="18.28515625" style="25" customWidth="1"/>
    <col min="16" max="25" width="9.140625" style="25" customWidth="1"/>
    <col min="26" max="26" width="9.140625" style="25" hidden="1" customWidth="1"/>
    <col min="27" max="27" width="9.140625" style="25" customWidth="1"/>
    <col min="28" max="16384" width="9.140625" style="25"/>
  </cols>
  <sheetData>
    <row>
      <c s="36"/>
      <c r="H1" s="34">
        <v>129806172700000000</v>
      </c>
      <c r="Z1" s="64" t="b">
        <f>0=1</f>
        <v>0</v>
      </c>
    </row>
    <row>
      <c r="Z2" s="64" t="b">
        <f>1=1</f>
        <v>1</v>
      </c>
    </row>
    <row>
      <c r="Z3" s="64"/>
    </row>
    <row>
      <c r="I4" s="25" t="s">
        <v>38</v>
      </c>
      <c s="43" t="s">
        <v>68</v>
      </c>
      <c s="10"/>
      <c s="10"/>
      <c s="10"/>
      <c s="10"/>
      <c s="10"/>
    </row>
    <row>
      <c r="J5" s="26" t="s">
        <v>29</v>
      </c>
      <c s="15" t="s">
        <v>48</v>
      </c>
      <c s="15" t="s">
        <v>61</v>
      </c>
      <c s="26" t="s">
        <v>92</v>
      </c>
      <c s="58" t="s">
        <v>75</v>
      </c>
      <c s="15" t="s">
        <v>4</v>
      </c>
    </row>
    <row>
      <c r="B6" s="19" t="s">
        <v>76</v>
      </c>
      <c s="18" t="s">
        <v>86</v>
      </c>
      <c s="50" t="s">
        <v>12</v>
      </c>
      <c s="5" t="s">
        <v>49</v>
      </c>
    </row>
    <row>
      <c r="C7" s="16"/>
      <c s="22" t="s">
        <v>13</v>
      </c>
      <c s="5" t="s">
        <v>55</v>
      </c>
    </row>
    <row>
      <c r="C8" s="22" t="s">
        <v>5</v>
      </c>
      <c s="16"/>
    </row>
    <row>
      <c r="C9" s="16"/>
      <c s="18" t="s">
        <v>30</v>
      </c>
      <c s="33"/>
    </row>
    <row>
      <c r="C10" s="18" t="s">
        <v>42</v>
      </c>
      <c s="47" t="s">
        <v>62</v>
      </c>
      <c s="5" t="s">
        <v>20</v>
      </c>
    </row>
    <row>
      <c r="B11" s="19" t="s">
        <v>50</v>
      </c>
      <c s="38" t="s">
        <v>43</v>
      </c>
      <c s="71">
        <v>60398</v>
      </c>
      <c s="5" t="s">
        <v>31</v>
      </c>
    </row>
    <row>
      <c r="B12" s="19"/>
      <c s="57"/>
      <c s="52"/>
      <c s="31" t="s">
        <v>69</v>
      </c>
    </row>
    <row>
      <c r="B13" s="19" t="s">
        <v>44</v>
      </c>
      <c s="66" t="s">
        <v>25</v>
      </c>
      <c s="59">
        <v>1212</v>
      </c>
      <c s="25" t="b">
        <v>0</v>
      </c>
      <c s="5" t="s">
        <v>63</v>
      </c>
    </row>
    <row ht="12.75" hidden="1">
      <c r="B14" s="19"/>
      <c s="66"/>
      <c s="68"/>
      <c s="25" t="b">
        <v>0</v>
      </c>
    </row>
    <row>
      <c r="B15" s="19" t="s">
        <v>87</v>
      </c>
      <c s="25" t="s">
        <v>91</v>
      </c>
      <c s="46">
        <v>1212</v>
      </c>
      <c s="25" t="b">
        <v>0</v>
      </c>
      <c s="5" t="s">
        <v>26</v>
      </c>
    </row>
    <row ht="12.75" hidden="1">
      <c r="B16" s="19"/>
      <c r="D16" s="17"/>
      <c s="25" t="b">
        <v>0</v>
      </c>
      <c s="5"/>
    </row>
    <row>
      <c r="B17" s="19"/>
      <c s="25" t="s">
        <v>32</v>
      </c>
      <c s="62">
        <v>3434</v>
      </c>
      <c s="25" t="b">
        <v>0</v>
      </c>
      <c s="5" t="s">
        <v>64</v>
      </c>
    </row>
    <row>
      <c r="B18" s="19"/>
      <c r="D18" s="17"/>
      <c s="25" t="b">
        <v>0</v>
      </c>
      <c s="5"/>
    </row>
    <row>
      <c r="B19" s="19"/>
      <c s="25" t="s">
        <v>6</v>
      </c>
      <c s="51">
        <v>3434</v>
      </c>
      <c s="25" t="b">
        <v>0</v>
      </c>
      <c s="5" t="s">
        <v>77</v>
      </c>
    </row>
    <row>
      <c r="B20" s="19"/>
      <c r="D20" s="17"/>
      <c s="25" t="b">
        <v>0</v>
      </c>
      <c s="5"/>
    </row>
    <row>
      <c r="B21" s="19"/>
      <c s="25" t="s">
        <v>78</v>
      </c>
      <c s="41">
        <v>5656</v>
      </c>
      <c s="25" t="b">
        <v>0</v>
      </c>
      <c s="5" t="s">
        <v>93</v>
      </c>
    </row>
    <row>
      <c r="B22" s="19"/>
      <c r="E22" s="5"/>
      <c r="I22" s="69"/>
    </row>
    <row>
      <c r="B23" s="29" t="s">
        <v>7</v>
      </c>
      <c s="29"/>
    </row>
    <row>
      <c r="B24" s="4" t="s">
        <v>51</v>
      </c>
      <c s="4" t="s">
        <v>33</v>
      </c>
      <c s="4" t="s">
        <v>14</v>
      </c>
      <c s="4" t="s">
        <v>79</v>
      </c>
      <c s="4"/>
      <c s="4"/>
      <c s="4" t="s">
        <v>94</v>
      </c>
    </row>
    <row>
      <c s="25" t="s">
        <v>56</v>
      </c>
      <c r="C25" s="60" t="s">
        <v>52</v>
      </c>
      <c s="27" t="s">
        <v>27</v>
      </c>
      <c s="27">
        <v>1234.5599999999999</v>
      </c>
      <c s="5" t="s">
        <v>70</v>
      </c>
      <c r="H25" s="25" t="s">
        <v>80</v>
      </c>
    </row>
    <row>
      <c s="25" t="s">
        <v>88</v>
      </c>
      <c r="C26" s="60" t="s">
        <v>52</v>
      </c>
      <c s="27" t="s">
        <v>27</v>
      </c>
      <c s="27">
        <v>1234.5599999999999</v>
      </c>
      <c s="5" t="s">
        <v>57</v>
      </c>
      <c r="H26" s="25" t="s">
        <v>95</v>
      </c>
    </row>
    <row>
      <c r="C27" s="60" t="s">
        <v>52</v>
      </c>
      <c s="44" t="s">
        <v>27</v>
      </c>
      <c s="27">
        <v>1234.5599999999999</v>
      </c>
      <c r="H27" s="25" t="s">
        <v>58</v>
      </c>
    </row>
    <row>
      <c r="C28" s="45" t="s">
        <v>8</v>
      </c>
      <c s="44" t="s">
        <v>10</v>
      </c>
      <c s="27">
        <v>1234.5599999999999</v>
      </c>
      <c r="H28" s="25" t="s">
        <v>34</v>
      </c>
    </row>
    <row>
      <c r="C29" s="45" t="s">
        <v>8</v>
      </c>
      <c s="67" t="s">
        <v>59</v>
      </c>
      <c s="30">
        <v>1234.5599999999999</v>
      </c>
      <c r="H29" s="25" t="s">
        <v>96</v>
      </c>
    </row>
    <row>
      <c r="C30" s="45" t="s">
        <v>81</v>
      </c>
      <c s="56" t="s">
        <v>22</v>
      </c>
      <c s="65">
        <v>1234.5599999999999</v>
      </c>
    </row>
    <row>
      <c r="C31" s="45" t="s">
        <v>21</v>
      </c>
      <c s="55" t="s">
        <v>67</v>
      </c>
      <c s="63">
        <v>1234.5599999999999</v>
      </c>
    </row>
    <row>
      <c r="C32" s="45" t="s">
        <v>52</v>
      </c>
      <c s="54" t="s">
        <v>17</v>
      </c>
      <c s="49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
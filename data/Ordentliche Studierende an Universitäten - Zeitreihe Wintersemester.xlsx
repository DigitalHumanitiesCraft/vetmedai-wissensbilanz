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2165"/>
  </bookViews>
  <sheets>
    <sheet name="Tab" sheetId="1" r:id="rId1"/>
    <sheet name="Tab (2)" sheetId="2" state="hidden" r:id="rId2"/>
    <sheet name="XLCubedFormats" sheetId="3" state="hidden" r:id="rId3"/>
  </sheets>
  <definedNames>
    <definedName name="XL3DisableCameraObjects" hidden="1">XLCubedFormats!A1</definedName>
    <definedName name="XL3ObjLocationadb698ba_d60f_4618_a0e2_938a02423e92">Tab!$A$7</definedName>
    <definedName name="XL3ObjLocatione3609128_9eaf_4475_9931_957f96994f04">'Tab (2)'!$A$7</definedName>
  </definedNames>
  <calcPr calcId="40001"/>
</workbook>
</file>

<file path=xl/sharedStrings.xml><?xml version="1.0" encoding="utf-8"?>
<sst xmlns="http://schemas.openxmlformats.org/spreadsheetml/2006/main" uniqueCount="128">
  <si>
    <t>Universität</t>
  </si>
  <si>
    <t>Semester und Datenstichtag</t>
  </si>
  <si>
    <t>Frauen</t>
  </si>
  <si>
    <t>Wintersemester 2001 (Stichtag: 28.02.2002)</t>
  </si>
  <si>
    <t>Wintersemester 2016 (Stichtag: 28.02.2017)</t>
  </si>
  <si>
    <t>Slicer Button Background</t>
  </si>
  <si>
    <t>Grid Title</t>
  </si>
  <si>
    <t>Oth Written Member</t>
  </si>
  <si>
    <t>Fill in Grid Name, Dimension or Both</t>
  </si>
  <si>
    <t>[ALLG Wertart].[Wertart]</t>
  </si>
  <si>
    <t>Staatengruppe (Ö, EU, andere)</t>
  </si>
  <si>
    <t>Absolutwert</t>
  </si>
  <si>
    <t>All Marital Status</t>
  </si>
  <si>
    <t>Male</t>
  </si>
  <si>
    <t>Member1 Name</t>
  </si>
  <si>
    <t>WS 2003</t>
  </si>
  <si>
    <t>WS 2010</t>
  </si>
  <si>
    <t>WS 2021</t>
  </si>
  <si>
    <t>Wintersemester 2024 (Stichtag: 28.02.2025)</t>
  </si>
  <si>
    <t>Anmerkung: Ab dem WS 2016 erfolgt die zähltechnische Abbildung der Studierenden auf Basis des Verteilungsschlüssels gemäß § 22 Abs. 2 UHSBV.</t>
  </si>
  <si>
    <t>ord. Studierende (PU)</t>
  </si>
  <si>
    <t>Wintersemester 2003 (Stichtag: 28.02.2004)</t>
  </si>
  <si>
    <t>Wintersemester 2018 (Stichtag: 28.02.2019)</t>
  </si>
  <si>
    <t>&lt;-- default Column Member Format</t>
  </si>
  <si>
    <t>WS 2007</t>
  </si>
  <si>
    <t>WS 2014</t>
  </si>
  <si>
    <t>WS 2018</t>
  </si>
  <si>
    <t>Gesamt</t>
  </si>
  <si>
    <t>Wintersemester 2011 (Stichtag: 28.02.2012)</t>
  </si>
  <si>
    <t>Alternate Rows</t>
  </si>
  <si>
    <t>&lt;--  writeable cell format</t>
  </si>
  <si>
    <t xml:space="preserve"> </t>
  </si>
  <si>
    <t>Wintersemester 2005 (Stichtag: 28.02.2006)</t>
  </si>
  <si>
    <t>Slicer Title</t>
  </si>
  <si>
    <t>Calendar Period</t>
  </si>
  <si>
    <t>&lt;-- default cell format</t>
  </si>
  <si>
    <t>Written Member</t>
  </si>
  <si>
    <t>Dimension/Column</t>
  </si>
  <si>
    <t xml:space="preserve">Erstzugelassene </t>
  </si>
  <si>
    <t>4) Prozentangaben werden standardmäßig mit einer Kommastelle angezeigt</t>
  </si>
  <si>
    <t>Wertart</t>
  </si>
  <si>
    <t>Männer</t>
  </si>
  <si>
    <t>Wintersemester 2013 (Stichtag: 28.02.2014)</t>
  </si>
  <si>
    <t>Slice Name (Optional)</t>
  </si>
  <si>
    <t>LEVEL: 2</t>
  </si>
  <si>
    <t>WS 2000</t>
  </si>
  <si>
    <t>WS 2004</t>
  </si>
  <si>
    <t>WS 2011</t>
  </si>
  <si>
    <t>Measures</t>
  </si>
  <si>
    <t>Wintersemester 2009 (Stichtag: 28.02.2010)</t>
  </si>
  <si>
    <t>Wintersemester 2021 (Stichtag: 28.02.2022)</t>
  </si>
  <si>
    <t>Wintersemester 2007 (Stichtag: 28.02.2008)</t>
  </si>
  <si>
    <t>WS 2008</t>
  </si>
  <si>
    <t>WS 2015</t>
  </si>
  <si>
    <t>WS 2019</t>
  </si>
  <si>
    <t>WS 2022</t>
  </si>
  <si>
    <t>Ordentliche Studierende an Universitäten - Zeitreihe Wintersemester</t>
  </si>
  <si>
    <t>Wintersemester 2000 (Stichtag: 28.02.2001)</t>
  </si>
  <si>
    <t>Wintersemester 2015 (Stichtag: 28.02.2016)</t>
  </si>
  <si>
    <t>Customer</t>
  </si>
  <si>
    <t>-All Customer</t>
  </si>
  <si>
    <t>Default Alternate Row Member Format --&gt;</t>
  </si>
  <si>
    <t>ALLG Semester.Semester (Kurzbezeichnung)</t>
  </si>
  <si>
    <t>Slicer Item</t>
  </si>
  <si>
    <t>&lt;-- default Slicer Member Format</t>
  </si>
  <si>
    <t>Default Row Member Format --&gt;</t>
  </si>
  <si>
    <t>Grid/Table Name</t>
  </si>
  <si>
    <t>[Measures]</t>
  </si>
  <si>
    <t>Wintersemester 2019 (Stichtag: 22.11.2019)</t>
  </si>
  <si>
    <t>Wintersemester 2023 (Stichtag: 28.02.2024)</t>
  </si>
  <si>
    <t>Studierende Universitäten</t>
  </si>
  <si>
    <t>Wintersemester 2002 (Stichtag: 28.02.2003)</t>
  </si>
  <si>
    <t>Wintersemester 2017 (Stichtag: 28.02.2018)</t>
  </si>
  <si>
    <t>Wintersemester 2019 (Stichtag: 28.02.2020)</t>
  </si>
  <si>
    <t>&lt;-- writeable Slicer Member Format</t>
  </si>
  <si>
    <t>Slice Format 1</t>
  </si>
  <si>
    <t>&lt;-- Gesamtzeile</t>
  </si>
  <si>
    <t>3) Formatierung der Gesamtspalte und -zeile (siehe E25:E26)</t>
  </si>
  <si>
    <t>WS 2001</t>
  </si>
  <si>
    <t>WS 2012</t>
  </si>
  <si>
    <t>Frauen-/Männeranteil in %</t>
  </si>
  <si>
    <t>Wintersemester 2010 (Stichtag: 28.02.2011)</t>
  </si>
  <si>
    <t>Slicer Button</t>
  </si>
  <si>
    <t>+2009</t>
  </si>
  <si>
    <t>&lt;-- default alternate row cell format</t>
  </si>
  <si>
    <t>&lt;--  written cell format</t>
  </si>
  <si>
    <t>WS 2005</t>
  </si>
  <si>
    <t>WS 2009</t>
  </si>
  <si>
    <t>WS 2016</t>
  </si>
  <si>
    <t>WS 2023</t>
  </si>
  <si>
    <t>Insgesamt (bereinigt)</t>
  </si>
  <si>
    <t>Wintersemester 2004 (Stichtag: 28.02.2005)</t>
  </si>
  <si>
    <t>Display Formats For:</t>
  </si>
  <si>
    <t>Enabled?</t>
  </si>
  <si>
    <t>&lt;-- Gesamtspalte</t>
  </si>
  <si>
    <t>Datenprüfung und -aufbereitung: bmfwf, Abt. I/10</t>
  </si>
  <si>
    <t>Bundesland</t>
  </si>
  <si>
    <t>Wintersemester 2012 (Stichtag: 28.02.2013)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</si>
  <si>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</si>
  <si>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</si>
  <si>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</si>
  <si>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</si>
  <si>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</si>
  <si>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</si>
  <si>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[SU Studierende].[Geschlecht]</t>
  </si>
  <si>
    <t>Wintersemester 2006 (Stichtag: 28.02.2007)</t>
  </si>
  <si>
    <t>Wintersemester 2020 (Stichtag: 28.02.2021)</t>
  </si>
  <si>
    <t>Marital Status</t>
  </si>
  <si>
    <t>Default Writeable Member Format --&gt;</t>
  </si>
  <si>
    <t>Slice Format 2</t>
  </si>
  <si>
    <t>WS 2002</t>
  </si>
  <si>
    <t>WS 2013</t>
  </si>
  <si>
    <t>WS 2020</t>
  </si>
  <si>
    <t>Quelle: Datenmeldungen der Universitäten auf Basis UHSBV zum jeweiligen Stichtag</t>
  </si>
  <si>
    <t>Wintersemester 2014 (Stichtag: 28.02.2015)</t>
  </si>
  <si>
    <t>Writeable Member</t>
  </si>
  <si>
    <t>WS 2017</t>
  </si>
  <si>
    <t>WS 2024</t>
  </si>
  <si>
    <t>WS 2006</t>
  </si>
  <si>
    <t>Geschlecht</t>
  </si>
  <si>
    <t>Wintersemester 2022 (Stichtag: 28.02.2023)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</si>
  <si>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</si>
  <si>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</si>
  <si>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</si>
  <si>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</si>
  <si>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</si>
  <si>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[SU Studierende].[Semester-plus-Stichtag]</t>
  </si>
  <si>
    <t>Wintersemester 2008 (Stichtag: 28.02.2009)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</si>
</sst>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;;;"/>
  </numFmts>
  <fonts count="3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Tahoma"/>
      <family val="2"/>
    </font>
    <font>
      <sz val="10"/>
      <color rgb="FF262626"/>
      <name val="Tahoma"/>
      <family val="2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10"/>
      <name val="Tahoma"/>
      <family val="2"/>
    </font>
    <font>
      <sz val="10"/>
      <color rgb="FF595959"/>
      <name val="Tahoma"/>
      <family val="2"/>
    </font>
    <font>
      <b/>
      <sz val="10"/>
      <name val="Tahoma"/>
      <family val="2"/>
    </font>
    <font>
      <b/>
      <sz val="8"/>
      <color indexed="23"/>
      <name val="Tahoma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 tint="0.0499893185216834"/>
      <name val="Tahoma"/>
      <family val="2"/>
    </font>
    <font>
      <sz val="8"/>
      <name val="Tahoma"/>
      <family val="2"/>
    </font>
    <font>
      <sz val="10"/>
      <color theme="1" tint="0.34998626667073579"/>
      <name val="Tahoma"/>
      <family val="2"/>
    </font>
    <font>
      <sz val="10"/>
      <color theme="1" tint="0.14996795556505021"/>
      <name val="Tahoma"/>
      <family val="2"/>
    </font>
    <font>
      <b/>
      <sz val="8"/>
      <color rgb="FFFF0000"/>
      <name val="Tahoma"/>
      <family val="2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sz val="10"/>
      <color theme="1" tint="0.34998626667073579"/>
      <name val="+mn-lt"/>
    </font>
    <font>
      <sz val="9"/>
      <color theme="1" tint="0.34998626667073579"/>
      <name val="+mn-lt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6"/>
      <color theme="1" tint="0.34998626667073579"/>
      <name val="+mn-lt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rgb="FFC0C0C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</fills>
  <borders count="9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rgb="FFC0C0C0"/>
      </left>
      <right/>
      <top/>
      <bottom/>
      <diagonal/>
    </border>
    <border>
      <left style="thin">
        <color indexed="23"/>
      </left>
      <right/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2" fillId="0" borderId="0" xfId="0" applyFont="1" applyFill="1" applyBorder="1"/>
    <xf numFmtId="3" fontId="3" fillId="0" borderId="0" xfId="0" applyNumberFormat="1" applyFont="1" applyFill="1" applyBorder="1"/>
    <xf numFmtId="0" fontId="0" fillId="0" borderId="0" xfId="0" applyFill="1" applyAlignment="1"/>
    <xf numFmtId="0" fontId="4" fillId="0" borderId="0" xfId="0" quotePrefix="1" applyFont="1" applyFill="1" applyAlignment="1">
      <alignment horizontal="left" vertical="top" wrapText="1"/>
    </xf>
    <xf numFmtId="0" fontId="4" fillId="0" borderId="0" xfId="0" applyFont="1" applyFill="1" applyAlignment="1"/>
    <xf numFmtId="0" fontId="5" fillId="0" borderId="1" xfId="0" quotePrefix="1" applyFont="1" applyFill="1" applyBorder="1" applyAlignment="1" applyProtection="1">
      <alignment horizontal="center"/>
    </xf>
    <xf numFmtId="0" fontId="6" fillId="0" borderId="0" xfId="0" applyFont="1" applyFill="1" applyAlignment="1">
      <alignment vertical="top"/>
    </xf>
    <xf numFmtId="0" fontId="7" fillId="0" borderId="0" xfId="0" applyFont="1" applyFill="1" applyAlignment="1">
      <alignment vertical="center"/>
    </xf>
    <xf numFmtId="0" fontId="4" fillId="0" borderId="0" xfId="0" applyFont="1" applyFill="1" applyAlignment="1">
      <alignment vertical="top"/>
    </xf>
    <xf numFmtId="0" fontId="8" fillId="0" borderId="0" xfId="0" quotePrefix="1" applyFont="1"/>
    <xf numFmtId="0" fontId="5" fillId="0" borderId="1" xfId="0" applyFont="1" applyFill="1" applyBorder="1" applyAlignment="1" applyProtection="1">
      <alignment horizontal="right"/>
    </xf>
    <xf numFmtId="0" fontId="9" fillId="2" borderId="2" xfId="0" quotePrefix="1" applyFont="1" applyFill="1" applyBorder="1" applyAlignment="1" applyProtection="1"/>
    <xf numFmtId="0" fontId="10" fillId="0" borderId="0" xfId="0" applyFont="1"/>
    <xf numFmtId="0" fontId="4" fillId="0" borderId="0" xfId="0" applyFont="1" applyFill="1" applyAlignment="1">
      <alignment vertical="top" wrapText="1"/>
    </xf>
    <xf numFmtId="0" fontId="11" fillId="0" borderId="0" xfId="0" applyFont="1"/>
    <xf numFmtId="0" fontId="12" fillId="3" borderId="0" xfId="1" applyFont="1" applyFill="1" applyBorder="1" applyAlignment="1">
      <alignment horizontal="center"/>
    </xf>
    <xf numFmtId="164" fontId="5" fillId="4" borderId="1" xfId="0" quotePrefix="1" applyNumberFormat="1" applyFont="1" applyFill="1" applyBorder="1" applyAlignment="1" applyProtection="1">
      <alignment horizontal="center"/>
    </xf>
    <xf numFmtId="0" fontId="13" fillId="0" borderId="0" xfId="0" applyFont="1" applyFill="1" applyAlignment="1"/>
    <xf numFmtId="3" fontId="5" fillId="0" borderId="1" xfId="0" applyNumberFormat="1" applyFont="1" applyFill="1" applyBorder="1" applyAlignment="1" applyProtection="1">
      <alignment horizontal="right"/>
    </xf>
    <xf numFmtId="164" fontId="5" fillId="4" borderId="1" xfId="0" applyNumberFormat="1" applyFont="1" applyFill="1" applyBorder="1" applyAlignment="1" applyProtection="1">
      <alignment horizontal="right"/>
    </xf>
    <xf numFmtId="0" fontId="8" fillId="0" borderId="0" xfId="0" applyNumberFormat="1" applyFont="1" applyAlignment="1"/>
    <xf numFmtId="0" fontId="14" fillId="0" borderId="0" xfId="0" applyFont="1"/>
    <xf numFmtId="0" fontId="5" fillId="0" borderId="3" xfId="0" applyFont="1" applyBorder="1" applyAlignment="1" applyProtection="1">
      <alignment horizontal="right"/>
    </xf>
    <xf numFmtId="0" fontId="15" fillId="0" borderId="0" xfId="1" applyFont="1"/>
    <xf numFmtId="0" fontId="16" fillId="5" borderId="0" xfId="0" applyFont="1" applyFill="1" applyAlignment="1"/>
    <xf numFmtId="0" fontId="5" fillId="0" borderId="4" xfId="0" applyFont="1" applyBorder="1" applyAlignment="1" applyProtection="1">
      <alignment horizontal="right"/>
    </xf>
    <xf numFmtId="3" fontId="5" fillId="6" borderId="1" xfId="0" applyNumberFormat="1" applyFont="1" applyFill="1" applyBorder="1" applyAlignment="1" applyProtection="1">
      <alignment horizontal="right"/>
    </xf>
    <xf numFmtId="0" fontId="4" fillId="0" borderId="0" xfId="0" quotePrefix="1" applyFont="1" applyFill="1" applyAlignment="1">
      <alignment vertical="top"/>
    </xf>
    <xf numFmtId="0" fontId="4" fillId="0" borderId="0" xfId="0" quotePrefix="1" applyFont="1" applyFill="1" applyAlignment="1"/>
    <xf numFmtId="0" fontId="8" fillId="0" borderId="0" xfId="0" applyFont="1"/>
    <xf numFmtId="0" fontId="0" fillId="0" borderId="0" xfId="0" applyFont="1"/>
    <xf numFmtId="0" fontId="5" fillId="6" borderId="1" xfId="0" applyFont="1" applyFill="1" applyBorder="1" applyAlignment="1" applyProtection="1">
      <alignment horizontal="right"/>
    </xf>
    <xf numFmtId="0" fontId="10" fillId="0" borderId="0" xfId="0" applyFont="1" applyFill="1" applyBorder="1" applyAlignment="1">
      <alignment vertical="center"/>
    </xf>
    <xf numFmtId="0" fontId="5" fillId="0" borderId="1" xfId="0" quotePrefix="1" applyFont="1" applyBorder="1" applyAlignment="1" applyProtection="1"/>
    <xf numFmtId="0" fontId="15" fillId="5" borderId="0" xfId="1" applyFont="1" applyFill="1"/>
    <xf numFmtId="0" fontId="8" fillId="0" borderId="0" xfId="0" applyFont="1" applyAlignment="1">
      <alignment horizontal="center"/>
    </xf>
    <xf numFmtId="0" fontId="17" fillId="0" borderId="0" xfId="0" applyFont="1"/>
    <xf numFmtId="0" fontId="0" fillId="0" borderId="0" xfId="0" applyFont="1" applyFill="1" applyAlignment="1"/>
    <xf numFmtId="0" fontId="0" fillId="0" borderId="0" xfId="0" applyBorder="1" applyAlignment="1">
      <alignment horizontal="center"/>
    </xf>
    <xf numFmtId="0" fontId="5" fillId="0" borderId="1" xfId="0" applyFont="1" applyFill="1" applyBorder="1" applyAlignment="1" applyProtection="1">
      <alignment vertical="center"/>
    </xf>
    <xf numFmtId="0" fontId="13" fillId="0" borderId="0" xfId="0" applyFont="1"/>
    <xf numFmtId="0" fontId="11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164" fontId="5" fillId="7" borderId="5" xfId="0" applyNumberFormat="1" applyFont="1" applyFill="1" applyBorder="1" applyAlignment="1" applyProtection="1">
      <alignment horizontal="center"/>
    </xf>
    <xf numFmtId="3" fontId="8" fillId="0" borderId="0" xfId="0" applyNumberFormat="1" applyFont="1" applyAlignment="1"/>
    <xf numFmtId="3" fontId="5" fillId="0" borderId="1" xfId="0" applyNumberFormat="1" applyFont="1" applyBorder="1" applyAlignment="1" applyProtection="1">
      <alignment horizontal="right"/>
    </xf>
    <xf numFmtId="0" fontId="8" fillId="0" borderId="0" xfId="0" applyFont="1" applyFill="1" applyBorder="1" applyAlignment="1">
      <alignment vertical="center"/>
    </xf>
    <xf numFmtId="0" fontId="8" fillId="0" borderId="0" xfId="0" applyNumberFormat="1" applyFont="1" applyFill="1" applyBorder="1" applyAlignment="1"/>
    <xf numFmtId="165" fontId="8" fillId="0" borderId="0" xfId="0" applyNumberFormat="1" applyFont="1"/>
    <xf numFmtId="0" fontId="12" fillId="3" borderId="6" xfId="1" applyFont="1" applyFill="1" applyBorder="1" applyAlignment="1">
      <alignment horizontal="center"/>
    </xf>
    <xf numFmtId="0" fontId="17" fillId="0" borderId="7" xfId="0" quotePrefix="1" applyFont="1" applyFill="1" applyBorder="1" applyAlignment="1">
      <alignment horizontal="right"/>
    </xf>
    <xf numFmtId="0" fontId="18" fillId="0" borderId="0" xfId="0" applyFont="1"/>
    <xf numFmtId="3" fontId="8" fillId="8" borderId="0" xfId="0" applyNumberFormat="1" applyFont="1" applyFill="1" applyAlignment="1"/>
    <xf numFmtId="0" fontId="5" fillId="9" borderId="4" xfId="0" applyFont="1" applyFill="1" applyBorder="1" applyAlignment="1" applyProtection="1">
      <alignment horizontal="right"/>
    </xf>
    <xf numFmtId="0" fontId="15" fillId="10" borderId="0" xfId="1" applyFont="1" applyFill="1"/>
    <xf numFmtId="0" fontId="17" fillId="0" borderId="7" xfId="0" quotePrefix="1" applyFont="1" applyFill="1" applyBorder="1" applyAlignment="1"/>
    <xf numFmtId="2" fontId="8" fillId="0" borderId="0" xfId="0" applyNumberFormat="1" applyFont="1"/>
    <xf numFmtId="0" fontId="19" fillId="0" borderId="0" xfId="0" applyFont="1"/>
    <xf numFmtId="3" fontId="8" fillId="10" borderId="0" xfId="0" applyNumberFormat="1" applyFont="1" applyFill="1" applyAlignment="1"/>
    <xf numFmtId="0" fontId="17" fillId="0" borderId="7" xfId="0" applyFont="1" applyFill="1" applyBorder="1" applyAlignment="1">
      <alignment vertical="center"/>
    </xf>
    <xf numFmtId="0" fontId="5" fillId="0" borderId="4" xfId="0" applyFont="1" applyBorder="1" applyAlignment="1" applyProtection="1">
      <alignment horizontal="center"/>
    </xf>
    <xf numFmtId="3" fontId="8" fillId="11" borderId="0" xfId="0" applyNumberFormat="1" applyFont="1" applyFill="1" applyAlignment="1"/>
    <xf numFmtId="0" fontId="5" fillId="0" borderId="3" xfId="0" applyFont="1" applyBorder="1" applyAlignment="1" applyProtection="1">
      <alignment horizontal="center"/>
    </xf>
    <xf numFmtId="0" fontId="8" fillId="0" borderId="0" xfId="0" applyNumberFormat="1" applyFont="1"/>
    <xf numFmtId="3" fontId="10" fillId="0" borderId="0" xfId="0" applyNumberFormat="1" applyFont="1" applyFill="1" applyAlignment="1"/>
    <xf numFmtId="0" fontId="8" fillId="10" borderId="0" xfId="0" applyNumberFormat="1" applyFont="1" applyFill="1" applyAlignment="1"/>
    <xf numFmtId="0" fontId="8" fillId="10" borderId="0" xfId="0" applyFont="1" applyFill="1"/>
    <xf numFmtId="164" fontId="5" fillId="7" borderId="5" xfId="0" applyNumberFormat="1" applyFont="1" applyFill="1" applyBorder="1" applyAlignment="1" applyProtection="1">
      <alignment horizontal="right"/>
    </xf>
    <xf numFmtId="0" fontId="8" fillId="0" borderId="0" xfId="0" quotePrefix="1" applyFont="1" applyFill="1" applyAlignment="1">
      <alignment horizontal="center"/>
    </xf>
    <xf numFmtId="0" fontId="5" fillId="9" borderId="8" xfId="0" applyFont="1" applyFill="1" applyBorder="1" applyAlignment="1" applyProtection="1">
      <alignment horizontal="right"/>
    </xf>
    <xf numFmtId="3" fontId="17" fillId="0" borderId="7" xfId="0" applyNumberFormat="1" applyFont="1" applyFill="1" applyBorder="1" applyAlignment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strRef>
          <c:f>Tab!$A$2</c:f>
          <c:strCache/>
        </c:strRef>
      </c:tx>
      <c:overlay val="0"/>
      <c:spPr>
        <a:noFill/>
        <a:ln>
          <a:noFill/>
        </a:ln>
      </c:spPr>
      <c:txPr>
        <a:bodyPr/>
        <a:lstStyle/>
        <a:p>
          <a:pPr>
            <a:defRPr sz="1600" b="0"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 sz="1600" b="0"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title>
    <c:plotArea>
      <c:lineChart>
        <c:grouping val="standard"/>
        <c:varyColors val="0"/>
        <c:ser>
          <c:idx val="0"/>
          <c:order val="0"/>
          <c:tx>
            <c:strRef>
              <c:f>'Tab (2)'!$B$15</c:f>
              <c:strCache/>
            </c:strRef>
          </c:tx>
          <c:spPr>
            <a:ln cap="rnd">
              <a:solidFill>
                <a:srgbClr val="DD2327"/>
              </a:solidFill>
            </a:ln>
          </c:spPr>
          <c:marker>
            <c:symbol val="circle"/>
            <c:size val="5"/>
            <c:spPr>
              <a:solidFill>
                <a:srgbClr val="DD2327"/>
              </a:solidFill>
              <a:ln>
                <a:solidFill>
                  <a:srgbClr val="DD2327"/>
                </a:solidFill>
              </a:ln>
            </c:spPr>
          </c:marker>
          <c:cat>
            <c:strRef>
              <c:f>'Tab (2)'!$A$16:$A$35</c:f>
              <c:strCache/>
            </c:strRef>
          </c:cat>
          <c:val>
            <c:numRef>
              <c:f>'Tab (2)'!$B$16:$B$35</c:f>
              <c:numCache/>
            </c:numRef>
          </c:val>
          <c:smooth val="0"/>
        </c:ser>
        <c:ser>
          <c:idx val="1"/>
          <c:order val="1"/>
          <c:tx>
            <c:strRef>
              <c:f>'Tab (2)'!$C$15</c:f>
              <c:strCache/>
            </c:strRef>
          </c:tx>
          <c:spPr>
            <a:ln cap="rnd">
              <a:solidFill>
                <a:srgbClr val="1B39BB"/>
              </a:solidFill>
            </a:ln>
          </c:spPr>
          <c:marker>
            <c:symbol val="circle"/>
            <c:size val="5"/>
            <c:spPr>
              <a:solidFill>
                <a:srgbClr val="1B39BB"/>
              </a:solidFill>
              <a:ln>
                <a:solidFill>
                  <a:srgbClr val="1B39BB"/>
                </a:solidFill>
              </a:ln>
            </c:spPr>
          </c:marker>
          <c:cat>
            <c:strRef>
              <c:f>'Tab (2)'!$A$16:$A$35</c:f>
              <c:strCache/>
            </c:strRef>
          </c:cat>
          <c:val>
            <c:numRef>
              <c:f>'Tab (2)'!$C$16:$C$35</c:f>
              <c:numCache/>
            </c:numRef>
          </c:val>
          <c:smooth val="0"/>
        </c:ser>
        <c:ser>
          <c:idx val="2"/>
          <c:order val="2"/>
          <c:tx>
            <c:strRef>
              <c:f>'Tab (2)'!$D$15</c:f>
              <c:strCache/>
            </c:strRef>
          </c:tx>
          <c:spPr>
            <a:ln cap="rnd">
              <a:solidFill>
                <a:schemeClr val="dk1">
                  <a:lumMod val="50000"/>
                  <a:lumOff val="50000"/>
                </a:schemeClr>
              </a:solidFill>
            </a:ln>
          </c:spPr>
          <c:marker>
            <c:symbol val="circle"/>
            <c:size val="5"/>
            <c:spPr>
              <a:solidFill>
                <a:schemeClr val="dk1">
                  <a:lumMod val="50000"/>
                  <a:lumOff val="50000"/>
                </a:schemeClr>
              </a:solidFill>
              <a:ln>
                <a:solidFill>
                  <a:schemeClr val="dk1">
                    <a:lumMod val="50000"/>
                    <a:lumOff val="50000"/>
                  </a:schemeClr>
                </a:solidFill>
              </a:ln>
            </c:spPr>
          </c:marker>
          <c:cat>
            <c:strRef>
              <c:f>'Tab (2)'!$A$16:$A$35</c:f>
              <c:strCache/>
            </c:strRef>
          </c:cat>
          <c:val>
            <c:numRef>
              <c:f>'Tab (2)'!$D$16:$D$35</c:f>
              <c:numCache/>
            </c:numRef>
          </c:val>
          <c:smooth val="0"/>
        </c:ser>
        <c:marker val="1"/>
        <c:smooth val="0"/>
        <c:axId val="0"/>
        <c:axId val="1"/>
      </c:lineChart>
      <c:catAx>
        <c:axId val="0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ln>
            <a:solidFill>
              <a:schemeClr val="dk1">
                <a:lumMod val="15000"/>
                <a:lumOff val="85000"/>
              </a:schemeClr>
            </a:solidFill>
          </a:ln>
        </c:spPr>
        <c:txPr>
          <a:bodyPr rot="-5400000" vert="horz"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1"/>
        <c:crosses val="autoZero"/>
        <c:auto val="1"/>
        <c:lblAlgn val="ctr"/>
        <c:lblOffset val="100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</c:spPr>
        </c:majorGridlines>
        <c:title>
          <c:tx>
            <c:strRef>
              <c:f>Tab!$B$13</c:f>
              <c:strCache/>
            </c:strRef>
          </c:tx>
          <c:overlay val="0"/>
          <c:spPr>
            <a:noFill/>
            <a:ln>
              <a:noFill/>
            </a:ln>
          </c:spPr>
          <c:txPr>
            <a:bodyPr/>
            <a:lstStyle/>
            <a:p>
              <a:pPr>
                <a:defRPr sz="1000" b="0">
                  <a:solidFill>
                    <a:schemeClr val="dk1">
                      <a:lumMod val="65001"/>
                      <a:lumOff val="34999"/>
                    </a:schemeClr>
                  </a:solidFill>
                  <a:latin typeface="+mn-lt"/>
                </a:defRPr>
              </a:pPr>
              <a:endParaRPr sz="1000" b="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endParaRPr>
            </a:p>
          </c:txPr>
        </c:title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0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legend>
    <c:plotVisOnly val="1"/>
    <c:dispBlanksAs val="gap"/>
    <c:showDLblsOverMax val="0"/>
  </c:chart>
  <c:spPr>
    <a:solidFill>
      <a:schemeClr val="lt1"/>
    </a:solidFill>
    <a:ln>
      <a:solidFill>
        <a:schemeClr val="dk1">
          <a:lumMod val="15000"/>
          <a:lumOff val="85000"/>
        </a:schemeClr>
      </a:solidFill>
    </a:ln>
  </c:spPr>
  <c:printSettings>
    <c:pageMargins l="0.7" r="0.7" t="0.787401575" b="0.787401575" header="0.3" footer="0.3"/>
    <c:pageSetup orientation="portrait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image" Target="../media/image2.png" /><Relationship Id="rId3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8</xdr:col>
      <xdr:colOff>0</xdr:colOff>
      <xdr:row>13</xdr:row>
      <xdr:rowOff>0</xdr:rowOff>
    </xdr:from>
    <xdr:to>
      <xdr:col>20</xdr:col>
      <xdr:colOff>0</xdr:colOff>
      <xdr:row>40</xdr:row>
      <xdr:rowOff>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 editAs="oneCell">
    <xdr:from>
      <xdr:col>1</xdr:col>
      <xdr:colOff>0</xdr:colOff>
      <xdr:row>6</xdr:row>
      <xdr:rowOff>0</xdr:rowOff>
    </xdr:from>
    <xdr:to>
      <xdr:col>5</xdr:col>
      <xdr:colOff>187454</xdr:colOff>
      <xdr:row>7</xdr:row>
      <xdr:rowOff>0</xdr:rowOff>
    </xdr:to>
    <xdr:pic>
      <xdr:nvPicPr>
        <xdr:cNvPr id="21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273810"/>
          <a:ext cx="3603280" cy="1905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5</xdr:col>
      <xdr:colOff>187454</xdr:colOff>
      <xdr:row>8</xdr:row>
      <xdr:rowOff>0</xdr:rowOff>
    </xdr:to>
    <xdr:pic>
      <xdr:nvPicPr>
        <xdr:cNvPr id="22" name="Picture 4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68624" y="1464310"/>
          <a:ext cx="3603280" cy="1905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5</xdr:col>
      <xdr:colOff>187454</xdr:colOff>
      <xdr:row>9</xdr:row>
      <xdr:rowOff>0</xdr:rowOff>
    </xdr:to>
    <xdr:pic>
      <xdr:nvPicPr>
        <xdr:cNvPr id="23" name="Picture 5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68624" y="1654810"/>
          <a:ext cx="3603280" cy="1905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637"/>
  <sheetViews>
    <sheetView tabSelected="1" workbookViewId="0"/>
  </sheetViews>
  <sheetFormatPr defaultColWidth="11.42578125" defaultRowHeight="14.95"/>
  <cols>
    <col min="1" max="1" width="40.7109375" style="31" customWidth="1"/>
    <col min="2" max="23" width="11.7109375" customWidth="1"/>
    <col min="24" max="24" width="9.85546875" customWidth="1"/>
    <col min="25" max="25" width="7.28515625" customWidth="1"/>
    <col min="26" max="26" width="11.28515625" customWidth="1"/>
    <col min="27" max="27" width="17.140625" customWidth="1"/>
    <col min="28" max="28" width="6.7109375" customWidth="1"/>
    <col min="29" max="29" width="7.140625" customWidth="1"/>
    <col min="30" max="30" width="17.140625" customWidth="1"/>
    <col min="31" max="31" width="6.7109375" customWidth="1"/>
    <col min="32" max="32" width="7.140625" customWidth="1"/>
    <col min="33" max="33" width="17.140625" customWidth="1"/>
    <col min="34" max="34" width="6.7109375" customWidth="1"/>
    <col min="35" max="35" width="7.140625" customWidth="1"/>
  </cols>
  <sheetData>
    <row>
      <c s="8" t="s">
        <v>70</v>
      </c>
      <c s="8"/>
      <c s="8"/>
      <c s="8"/>
      <c s="8"/>
      <c s="3"/>
      <c s="3"/>
    </row>
    <row s="41" customFormat="1">
      <c s="7" t="s">
        <v>56</v>
      </c>
      <c s="7"/>
      <c s="7"/>
      <c s="7"/>
      <c s="7"/>
      <c s="18"/>
      <c s="18"/>
    </row>
    <row ht="25.5" customHeight="1" s="41" customFormat="1">
      <c s="4" t="s">
        <v>19</v>
      </c>
      <c s="4"/>
      <c s="4"/>
      <c s="4"/>
      <c s="4"/>
      <c s="4"/>
      <c s="4"/>
      <c s="14"/>
      <c s="14"/>
      <c s="14"/>
    </row>
    <row>
      <c s="29" t="s">
        <v>113</v>
      </c>
      <c s="5"/>
      <c s="5"/>
      <c s="5"/>
      <c s="5"/>
      <c s="5"/>
      <c s="5"/>
    </row>
    <row>
      <c s="28" t="s">
        <v>95</v>
      </c>
      <c s="9"/>
      <c s="9"/>
      <c s="9"/>
      <c s="9"/>
      <c s="3"/>
      <c s="3"/>
    </row>
    <row ht="15" customHeight="1">
      <c s="38"/>
      <c s="3"/>
      <c s="3"/>
      <c s="3"/>
      <c s="3"/>
      <c s="3"/>
      <c s="3"/>
    </row>
    <row ht="15" customHeight="1">
      <c s="12" t="s">
        <v>0</v>
      </c>
      <c s="34" t="s">
        <v>90</v>
      </c>
      <c s="3"/>
      <c s="3"/>
      <c s="3"/>
      <c s="3" t="s">
        <v>31</v>
      </c>
      <c s="3"/>
    </row>
    <row ht="15" customHeight="1">
      <c s="12" t="s">
        <v>10</v>
      </c>
      <c s="34" t="s">
        <v>27</v>
      </c>
      <c s="3"/>
      <c s="3"/>
      <c s="3"/>
      <c s="3" t="s">
        <v>31</v>
      </c>
      <c s="3"/>
    </row>
    <row ht="15" customHeight="1">
      <c s="12" t="s">
        <v>96</v>
      </c>
      <c s="34" t="s">
        <v>27</v>
      </c>
      <c s="3"/>
      <c s="3"/>
      <c s="3"/>
      <c s="3" t="s">
        <v>31</v>
      </c>
      <c s="3"/>
    </row>
    <row ht="15" customHeight="1">
      <c/>
      <c r="C10" s="3"/>
      <c s="3"/>
      <c s="3"/>
      <c s="3" t="s">
        <v>31</v>
      </c>
      <c s="3"/>
    </row>
    <row ht="15" customHeight="1">
      <c/>
      <c r="C11" s="3"/>
      <c s="3"/>
      <c s="3"/>
      <c s="3"/>
      <c s="3"/>
    </row>
    <row ht="15" customHeight="1">
      <c/>
      <c s="6" t="s">
        <v>20</v>
      </c>
      <c s="6"/>
      <c s="6"/>
      <c s="6"/>
      <c s="6"/>
      <c s="3"/>
    </row>
    <row ht="15" customHeight="1">
      <c/>
      <c s="6" t="s">
        <v>11</v>
      </c>
      <c s="6"/>
      <c s="6"/>
      <c s="17" t="s">
        <v>80</v>
      </c>
      <c s="17"/>
    </row>
    <row ht="15" customHeight="1">
      <c s="12" t="s">
        <v>1</v>
      </c>
      <c s="11" t="s">
        <v>2</v>
      </c>
      <c s="11" t="s">
        <v>41</v>
      </c>
      <c s="32" t="s">
        <v>27</v>
      </c>
      <c s="11" t="s">
        <v>2</v>
      </c>
      <c s="11" t="s">
        <v>41</v>
      </c>
      <c s="39"/>
    </row>
    <row ht="15" customHeight="1">
      <c s="40" t="s">
        <v>18</v>
      </c>
      <c s="19">
        <v>143288</v>
      </c>
      <c s="19">
        <v>121639</v>
      </c>
      <c s="27">
        <v>264927</v>
      </c>
      <c s="20">
        <v>0.5408584251510794</v>
      </c>
      <c s="20">
        <v>0.45914157484892065</v>
      </c>
    </row>
    <row ht="15" customHeight="1">
      <c s="40" t="s">
        <v>69</v>
      </c>
      <c s="19">
        <v>141917</v>
      </c>
      <c s="19">
        <v>120510</v>
      </c>
      <c s="27">
        <v>262427</v>
      </c>
      <c s="20">
        <v>0.54078658064909479</v>
      </c>
      <c s="20">
        <v>0.45921341935090521</v>
      </c>
    </row>
    <row>
      <c s="40" t="s">
        <v>120</v>
      </c>
      <c s="19">
        <v>142394</v>
      </c>
      <c s="19">
        <v>120981</v>
      </c>
      <c s="27">
        <v>263375</v>
      </c>
      <c s="20">
        <v>0.54065116279069769</v>
      </c>
      <c s="20">
        <v>0.45934883720930231</v>
      </c>
    </row>
    <row>
      <c s="40" t="s">
        <v>50</v>
      </c>
      <c s="19">
        <v>143983</v>
      </c>
      <c s="19">
        <v>122340</v>
      </c>
      <c s="27">
        <v>266323</v>
      </c>
      <c s="20">
        <v>0.54063299076685079</v>
      </c>
      <c s="20">
        <v>0.45936700923314921</v>
      </c>
    </row>
    <row>
      <c s="40" t="s">
        <v>106</v>
      </c>
      <c s="19">
        <v>144618</v>
      </c>
      <c s="19">
        <v>123622</v>
      </c>
      <c s="27">
        <v>268240</v>
      </c>
      <c s="20">
        <v>0.53913659409484049</v>
      </c>
      <c s="20">
        <v>0.46086340590515956</v>
      </c>
    </row>
    <row>
      <c s="40" t="s">
        <v>73</v>
      </c>
      <c s="19">
        <v>142132</v>
      </c>
      <c s="19">
        <v>122813</v>
      </c>
      <c s="27">
        <v>264945</v>
      </c>
      <c s="20">
        <v>0.53645851025684577</v>
      </c>
      <c s="20">
        <v>0.46354148974315423</v>
      </c>
    </row>
    <row>
      <c s="40" t="s">
        <v>22</v>
      </c>
      <c s="19">
        <v>143650</v>
      </c>
      <c s="19">
        <v>124936</v>
      </c>
      <c s="27">
        <v>268586</v>
      </c>
      <c s="20">
        <v>0.53483800347002453</v>
      </c>
      <c s="20">
        <v>0.46516199652997547</v>
      </c>
    </row>
    <row>
      <c s="40" t="s">
        <v>72</v>
      </c>
      <c s="19">
        <v>147526</v>
      </c>
      <c s="19">
        <v>130526</v>
      </c>
      <c s="27">
        <v>278052</v>
      </c>
      <c s="20">
        <v>0.53056982147224263</v>
      </c>
      <c s="20">
        <v>0.46943017852775742</v>
      </c>
    </row>
    <row>
      <c s="40" t="s">
        <v>4</v>
      </c>
      <c s="19">
        <v>148529</v>
      </c>
      <c s="19">
        <v>132254</v>
      </c>
      <c s="27">
        <v>280783</v>
      </c>
      <c s="20">
        <v>0.52898145542999397</v>
      </c>
      <c s="20">
        <v>0.47101854457000603</v>
      </c>
    </row>
    <row>
      <c s="40" t="s">
        <v>58</v>
      </c>
      <c s="19">
        <v>148434</v>
      </c>
      <c s="19">
        <v>132011</v>
      </c>
      <c s="27">
        <v>280445</v>
      </c>
      <c s="20">
        <v>0.52928025102961362</v>
      </c>
      <c s="20">
        <v>0.47071974897038638</v>
      </c>
    </row>
    <row>
      <c s="40" t="s">
        <v>114</v>
      </c>
      <c s="19">
        <v>147032</v>
      </c>
      <c s="19">
        <v>130476</v>
      </c>
      <c s="27">
        <v>277508</v>
      </c>
      <c s="20">
        <v>0.52982977067327786</v>
      </c>
      <c s="20">
        <v>0.47017022932672209</v>
      </c>
    </row>
    <row>
      <c s="40" t="s">
        <v>42</v>
      </c>
      <c s="19">
        <v>145031</v>
      </c>
      <c s="19">
        <v>128249</v>
      </c>
      <c s="27">
        <v>273280</v>
      </c>
      <c s="20">
        <v>0.53070477166276342</v>
      </c>
      <c s="20">
        <v>0.46929522833723653</v>
      </c>
    </row>
    <row>
      <c s="40" t="s">
        <v>97</v>
      </c>
      <c s="19">
        <v>146549</v>
      </c>
      <c s="19">
        <v>128974</v>
      </c>
      <c s="27">
        <v>275523</v>
      </c>
      <c s="20">
        <v>0.531893889076411</v>
      </c>
      <c s="20">
        <v>0.46810611092358895</v>
      </c>
    </row>
    <row>
      <c s="40" t="s">
        <v>28</v>
      </c>
      <c s="19">
        <v>145327</v>
      </c>
      <c s="19">
        <v>126734</v>
      </c>
      <c s="27">
        <v>272061</v>
      </c>
      <c s="20">
        <v>0.53417064555375449</v>
      </c>
      <c s="20">
        <v>0.46582935444624551</v>
      </c>
    </row>
    <row>
      <c s="40" t="s">
        <v>81</v>
      </c>
      <c s="19">
        <v>142221</v>
      </c>
      <c s="19">
        <v>122809</v>
      </c>
      <c s="27">
        <v>265030</v>
      </c>
      <c s="20">
        <v>0.53662226917707434</v>
      </c>
      <c s="20">
        <v>0.46337773082292572</v>
      </c>
    </row>
    <row>
      <c s="40" t="s">
        <v>49</v>
      </c>
      <c s="19">
        <v>137234</v>
      </c>
      <c s="19">
        <v>118327</v>
      </c>
      <c s="27">
        <v>255561</v>
      </c>
      <c s="20">
        <v>0.53699116844901995</v>
      </c>
      <c s="20">
        <v>0.46300883155097999</v>
      </c>
    </row>
    <row>
      <c s="40" t="s">
        <v>127</v>
      </c>
      <c s="19">
        <v>120382</v>
      </c>
      <c s="19">
        <v>103180</v>
      </c>
      <c s="27">
        <v>223562</v>
      </c>
      <c s="20">
        <v>0.53847254900206654</v>
      </c>
      <c s="20">
        <v>0.46152745099793346</v>
      </c>
    </row>
    <row>
      <c s="40" t="s">
        <v>51</v>
      </c>
      <c s="19">
        <v>117019</v>
      </c>
      <c s="19">
        <v>100568</v>
      </c>
      <c s="27">
        <v>217587</v>
      </c>
      <c s="20">
        <v>0.53780326949679902</v>
      </c>
      <c s="20">
        <v>0.46219673050320104</v>
      </c>
    </row>
    <row>
      <c s="40" t="s">
        <v>105</v>
      </c>
      <c s="19">
        <v>112518</v>
      </c>
      <c s="19">
        <v>96898</v>
      </c>
      <c s="27">
        <v>209416</v>
      </c>
      <c s="20">
        <v>0.53729418955571684</v>
      </c>
      <c s="20">
        <v>0.46270581044428316</v>
      </c>
    </row>
    <row>
      <c s="40" t="s">
        <v>32</v>
      </c>
      <c s="19">
        <v>109111</v>
      </c>
      <c s="19">
        <v>94342</v>
      </c>
      <c s="27">
        <v>203453</v>
      </c>
      <c s="20">
        <v>0.53629585211326447</v>
      </c>
      <c s="20">
        <v>0.46370414788673553</v>
      </c>
    </row>
    <row>
      <c s="40" t="s">
        <v>91</v>
      </c>
      <c s="19">
        <v>104709</v>
      </c>
      <c s="19">
        <v>91054</v>
      </c>
      <c s="27">
        <v>195763</v>
      </c>
      <c s="20">
        <v>0.53487635559324287</v>
      </c>
      <c s="20">
        <v>0.46512364440675713</v>
      </c>
    </row>
    <row>
      <c s="40" t="s">
        <v>21</v>
      </c>
      <c s="19">
        <v>102490</v>
      </c>
      <c s="19">
        <v>90070</v>
      </c>
      <c s="27">
        <v>192560</v>
      </c>
      <c s="20">
        <v>0.5322496884088076</v>
      </c>
      <c s="20">
        <v>0.46775031159119235</v>
      </c>
    </row>
    <row>
      <c s="40" t="s">
        <v>71</v>
      </c>
      <c s="19">
        <v>98195</v>
      </c>
      <c s="19">
        <v>88031</v>
      </c>
      <c s="27">
        <v>186226</v>
      </c>
      <c s="20">
        <v>0.52728942252961453</v>
      </c>
      <c s="20">
        <v>0.47271057747038542</v>
      </c>
    </row>
    <row>
      <c s="40" t="s">
        <v>3</v>
      </c>
      <c s="19">
        <v>95537</v>
      </c>
      <c s="19">
        <v>87268</v>
      </c>
      <c s="27">
        <v>182805</v>
      </c>
      <c s="20">
        <v>0.52261699625283775</v>
      </c>
      <c s="20">
        <v>0.4773830037471623</v>
      </c>
    </row>
    <row>
      <c s="40" t="s">
        <v>57</v>
      </c>
      <c s="19">
        <v>116763</v>
      </c>
      <c s="19">
        <v>111185</v>
      </c>
      <c s="27">
        <v>227948</v>
      </c>
      <c s="20">
        <v>0.51223524663519748</v>
      </c>
      <c s="20">
        <v>0.48776475336480252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33"/>
      <c s="2"/>
      <c s="2"/>
      <c s="2"/>
      <c s="2"/>
      <c s="2"/>
      <c s="2"/>
      <c s="2"/>
      <c s="2"/>
      <c s="2"/>
      <c s="2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4">
    <mergeCell ref="A3:G3"/>
    <mergeCell ref="B12:F12"/>
    <mergeCell ref="B13:D13"/>
    <mergeCell ref="E13:F13"/>
  </mergeCells>
  <pageMargins left="0.70866141732283472" right="0.70866141732283472" top="0.78740157480314965" bottom="0.78740157480314965" header="0.31496062992125984" footer="0.31496062992125984"/>
  <pageSetup paperSize="9" scale="74" fitToWidth="2" fitToHeight="0" orientation="landscape"/>
  <headerFooter>
    <oddHeader>&amp;L&amp;"Tahoma,Standard"&amp;10unidata.gv.at&amp;R&amp;"Tahoma,Standard"&amp;10&amp;D</oddHeader>
    <oddFooter>&amp;R&amp;"Tahoma,Standard"&amp;10&amp;P/&amp;N</oddFooter>
  </headerFooter>
  <colBreaks count="1" manualBreakCount="1">
    <brk id="7" max="1048575" man="1"/>
  </colBreaks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L637"/>
  <sheetViews>
    <sheetView workbookViewId="0">
      <selection activeCell="A40" sqref="A40"/>
    </sheetView>
  </sheetViews>
  <sheetFormatPr defaultColWidth="11.42578125" defaultRowHeight="15"/>
  <cols>
    <col min="1" max="1" width="40.7109375" style="31" customWidth="1"/>
    <col min="2" max="23" width="11.7109375" customWidth="1"/>
    <col min="24" max="24" width="9.85546875" customWidth="1"/>
    <col min="25" max="25" width="7.28515625" customWidth="1"/>
    <col min="26" max="26" width="11.28515625" customWidth="1"/>
    <col min="27" max="27" width="17.140625" customWidth="1"/>
    <col min="28" max="28" width="6.7109375" customWidth="1"/>
    <col min="29" max="29" width="7.140625" customWidth="1"/>
    <col min="30" max="30" width="17.140625" customWidth="1"/>
    <col min="31" max="31" width="6.7109375" customWidth="1"/>
    <col min="32" max="32" width="7.140625" customWidth="1"/>
    <col min="33" max="33" width="17.140625" customWidth="1"/>
    <col min="34" max="34" width="6.7109375" customWidth="1"/>
    <col min="35" max="35" width="7.140625" customWidth="1"/>
  </cols>
  <sheetData>
    <row ht="14.95">
      <c s="8" t="s">
        <v>70</v>
      </c>
      <c s="8"/>
      <c s="8"/>
      <c s="8"/>
      <c s="8"/>
      <c s="3"/>
      <c s="3"/>
    </row>
    <row ht="14.95" s="41" customFormat="1">
      <c s="7" t="s">
        <v>56</v>
      </c>
      <c s="7"/>
      <c s="7"/>
      <c s="7"/>
      <c s="7"/>
      <c s="18"/>
      <c s="18"/>
    </row>
    <row ht="25.5" customHeight="1" s="41" customFormat="1">
      <c s="4" t="s">
        <v>19</v>
      </c>
      <c s="4"/>
      <c s="4"/>
      <c s="4"/>
      <c s="4"/>
      <c s="4"/>
      <c s="4"/>
      <c s="14"/>
      <c s="14"/>
      <c s="14"/>
    </row>
    <row ht="14.95">
      <c s="29" t="s">
        <v>113</v>
      </c>
      <c s="5"/>
      <c s="5"/>
      <c s="5"/>
      <c s="5"/>
      <c s="5"/>
      <c s="5"/>
    </row>
    <row ht="14.95">
      <c s="28" t="s">
        <v>95</v>
      </c>
      <c s="9"/>
      <c s="9"/>
      <c s="9"/>
      <c s="9"/>
      <c s="3"/>
      <c s="3"/>
    </row>
    <row ht="15" customHeight="1">
      <c s="38"/>
      <c s="3"/>
      <c s="3"/>
      <c s="3"/>
      <c s="3"/>
      <c s="3"/>
      <c s="3"/>
    </row>
    <row ht="15" customHeight="1">
      <c s="12" t="s">
        <v>0</v>
      </c>
      <c s="34" t="s">
        <v>90</v>
      </c>
      <c s="3"/>
      <c s="3"/>
      <c s="3"/>
      <c s="3" t="s">
        <v>31</v>
      </c>
      <c s="3"/>
    </row>
    <row ht="15" customHeight="1">
      <c s="12" t="s">
        <v>10</v>
      </c>
      <c s="34" t="s">
        <v>27</v>
      </c>
      <c s="3"/>
      <c s="3"/>
      <c s="3"/>
      <c s="3" t="s">
        <v>31</v>
      </c>
      <c s="3"/>
    </row>
    <row ht="15" customHeight="1">
      <c s="12" t="s">
        <v>96</v>
      </c>
      <c s="34" t="s">
        <v>27</v>
      </c>
      <c s="3"/>
      <c s="3"/>
      <c s="3"/>
      <c s="3" t="s">
        <v>31</v>
      </c>
      <c s="3"/>
    </row>
    <row ht="15" customHeight="1">
      <c/>
      <c r="C10" s="3"/>
      <c s="3"/>
      <c s="3"/>
      <c s="3" t="s">
        <v>31</v>
      </c>
      <c s="3"/>
    </row>
    <row ht="15" customHeight="1">
      <c/>
      <c r="C11" s="3"/>
      <c s="3"/>
      <c s="3"/>
      <c s="3"/>
      <c s="3"/>
    </row>
    <row ht="15" customHeight="1">
      <c/>
      <c s="12" t="s">
        <v>48</v>
      </c>
      <c s="12" t="s">
        <v>40</v>
      </c>
      <c s="12" t="s">
        <v>119</v>
      </c>
      <c s="3"/>
      <c s="3"/>
      <c s="3"/>
    </row>
    <row ht="15" hidden="1" customHeight="1">
      <c/>
      <c s="6" t="s">
        <v>20</v>
      </c>
      <c s="6"/>
      <c s="6"/>
      <c s="6"/>
      <c s="6"/>
    </row>
    <row ht="15" customHeight="1">
      <c/>
      <c s="6" t="s">
        <v>11</v>
      </c>
      <c s="6"/>
      <c s="6"/>
      <c s="17" t="s">
        <v>80</v>
      </c>
      <c s="17"/>
      <c s="39"/>
    </row>
    <row ht="15" customHeight="1">
      <c s="12" t="s">
        <v>62</v>
      </c>
      <c s="11" t="s">
        <v>2</v>
      </c>
      <c s="11" t="s">
        <v>41</v>
      </c>
      <c s="32" t="s">
        <v>27</v>
      </c>
      <c s="11" t="s">
        <v>2</v>
      </c>
      <c s="11" t="s">
        <v>41</v>
      </c>
    </row>
    <row ht="15" customHeight="1">
      <c s="40" t="s">
        <v>117</v>
      </c>
      <c s="19">
        <v>143288</v>
      </c>
      <c s="19">
        <v>121639</v>
      </c>
      <c s="27">
        <v>264927</v>
      </c>
      <c s="20">
        <v>0.5408584251510794</v>
      </c>
      <c s="20">
        <v>0.45914157484892065</v>
      </c>
    </row>
    <row ht="14.95">
      <c s="40" t="s">
        <v>89</v>
      </c>
      <c s="19">
        <v>141917</v>
      </c>
      <c s="19">
        <v>120510</v>
      </c>
      <c s="27">
        <v>262427</v>
      </c>
      <c s="20">
        <v>0.54078658064909479</v>
      </c>
      <c s="20">
        <v>0.45921341935090521</v>
      </c>
    </row>
    <row ht="14.95">
      <c s="40" t="s">
        <v>55</v>
      </c>
      <c s="19">
        <v>142394</v>
      </c>
      <c s="19">
        <v>120981</v>
      </c>
      <c s="27">
        <v>263375</v>
      </c>
      <c s="20">
        <v>0.54065116279069769</v>
      </c>
      <c s="20">
        <v>0.45934883720930231</v>
      </c>
    </row>
    <row ht="14.95">
      <c s="40" t="s">
        <v>17</v>
      </c>
      <c s="19">
        <v>143983</v>
      </c>
      <c s="19">
        <v>122340</v>
      </c>
      <c s="27">
        <v>266323</v>
      </c>
      <c s="20">
        <v>0.54063299076685079</v>
      </c>
      <c s="20">
        <v>0.45936700923314921</v>
      </c>
    </row>
    <row ht="14.95">
      <c s="40" t="s">
        <v>112</v>
      </c>
      <c s="19">
        <v>144618</v>
      </c>
      <c s="19">
        <v>123622</v>
      </c>
      <c s="27">
        <v>268240</v>
      </c>
      <c s="20">
        <v>0.53913659409484049</v>
      </c>
      <c s="20">
        <v>0.46086340590515956</v>
      </c>
    </row>
    <row ht="14.95">
      <c s="40" t="s">
        <v>54</v>
      </c>
      <c s="19">
        <v>142132</v>
      </c>
      <c s="19">
        <v>122813</v>
      </c>
      <c s="27">
        <v>264945</v>
      </c>
      <c s="20">
        <v>0.53645851025684577</v>
      </c>
      <c s="20">
        <v>0.46354148974315423</v>
      </c>
    </row>
    <row ht="14.95">
      <c s="40" t="s">
        <v>26</v>
      </c>
      <c s="19">
        <v>143650</v>
      </c>
      <c s="19">
        <v>124936</v>
      </c>
      <c s="27">
        <v>268586</v>
      </c>
      <c s="20">
        <v>0.53483800347002453</v>
      </c>
      <c s="20">
        <v>0.46516199652997547</v>
      </c>
    </row>
    <row ht="14.95">
      <c s="40" t="s">
        <v>116</v>
      </c>
      <c s="19">
        <v>147526</v>
      </c>
      <c s="19">
        <v>130526</v>
      </c>
      <c s="27">
        <v>278052</v>
      </c>
      <c s="20">
        <v>0.53056982147224263</v>
      </c>
      <c s="20">
        <v>0.46943017852775742</v>
      </c>
    </row>
    <row ht="14.95">
      <c s="40" t="s">
        <v>88</v>
      </c>
      <c s="19">
        <v>148529</v>
      </c>
      <c s="19">
        <v>132254</v>
      </c>
      <c s="27">
        <v>280783</v>
      </c>
      <c s="20">
        <v>0.52898145542999397</v>
      </c>
      <c s="20">
        <v>0.47101854457000603</v>
      </c>
    </row>
    <row ht="14.95">
      <c s="40" t="s">
        <v>53</v>
      </c>
      <c s="19">
        <v>148434</v>
      </c>
      <c s="19">
        <v>132011</v>
      </c>
      <c s="27">
        <v>280445</v>
      </c>
      <c s="20">
        <v>0.52928025102961362</v>
      </c>
      <c s="20">
        <v>0.47071974897038638</v>
      </c>
    </row>
    <row ht="14.95">
      <c s="40" t="s">
        <v>25</v>
      </c>
      <c s="19">
        <v>147032</v>
      </c>
      <c s="19">
        <v>130476</v>
      </c>
      <c s="27">
        <v>277508</v>
      </c>
      <c s="20">
        <v>0.52982977067327786</v>
      </c>
      <c s="20">
        <v>0.47017022932672209</v>
      </c>
    </row>
    <row ht="14.95">
      <c s="40" t="s">
        <v>111</v>
      </c>
      <c s="19">
        <v>145031</v>
      </c>
      <c s="19">
        <v>128249</v>
      </c>
      <c s="27">
        <v>273280</v>
      </c>
      <c s="20">
        <v>0.53070477166276342</v>
      </c>
      <c s="20">
        <v>0.46929522833723653</v>
      </c>
    </row>
    <row ht="14.95">
      <c s="40" t="s">
        <v>79</v>
      </c>
      <c s="19">
        <v>146549</v>
      </c>
      <c s="19">
        <v>128974</v>
      </c>
      <c s="27">
        <v>275523</v>
      </c>
      <c s="20">
        <v>0.531893889076411</v>
      </c>
      <c s="20">
        <v>0.46810611092358895</v>
      </c>
    </row>
    <row ht="14.95">
      <c s="40" t="s">
        <v>47</v>
      </c>
      <c s="19">
        <v>145327</v>
      </c>
      <c s="19">
        <v>126734</v>
      </c>
      <c s="27">
        <v>272061</v>
      </c>
      <c s="20">
        <v>0.53417064555375449</v>
      </c>
      <c s="20">
        <v>0.46582935444624551</v>
      </c>
    </row>
    <row ht="14.95">
      <c s="40" t="s">
        <v>16</v>
      </c>
      <c s="19">
        <v>142221</v>
      </c>
      <c s="19">
        <v>122809</v>
      </c>
      <c s="27">
        <v>265030</v>
      </c>
      <c s="20">
        <v>0.53662226917707434</v>
      </c>
      <c s="20">
        <v>0.46337773082292572</v>
      </c>
    </row>
    <row ht="14.95">
      <c s="40" t="s">
        <v>87</v>
      </c>
      <c s="19">
        <v>137234</v>
      </c>
      <c s="19">
        <v>118327</v>
      </c>
      <c s="27">
        <v>255561</v>
      </c>
      <c s="20">
        <v>0.53699116844901995</v>
      </c>
      <c s="20">
        <v>0.46300883155097999</v>
      </c>
    </row>
    <row ht="14.95">
      <c s="40" t="s">
        <v>52</v>
      </c>
      <c s="19">
        <v>120382</v>
      </c>
      <c s="19">
        <v>103180</v>
      </c>
      <c s="27">
        <v>223562</v>
      </c>
      <c s="20">
        <v>0.53847254900206654</v>
      </c>
      <c s="20">
        <v>0.46152745099793346</v>
      </c>
    </row>
    <row ht="14.95">
      <c s="40" t="s">
        <v>24</v>
      </c>
      <c s="19">
        <v>117019</v>
      </c>
      <c s="19">
        <v>100568</v>
      </c>
      <c s="27">
        <v>217587</v>
      </c>
      <c s="20">
        <v>0.53780326949679902</v>
      </c>
      <c s="20">
        <v>0.46219673050320104</v>
      </c>
    </row>
    <row ht="14.95">
      <c s="40" t="s">
        <v>118</v>
      </c>
      <c s="19">
        <v>112518</v>
      </c>
      <c s="19">
        <v>96898</v>
      </c>
      <c s="27">
        <v>209416</v>
      </c>
      <c s="20">
        <v>0.53729418955571684</v>
      </c>
      <c s="20">
        <v>0.46270581044428316</v>
      </c>
    </row>
    <row ht="14.95">
      <c s="40" t="s">
        <v>86</v>
      </c>
      <c s="19">
        <v>109111</v>
      </c>
      <c s="19">
        <v>94342</v>
      </c>
      <c s="27">
        <v>203453</v>
      </c>
      <c s="20">
        <v>0.53629585211326447</v>
      </c>
      <c s="20">
        <v>0.46370414788673553</v>
      </c>
    </row>
    <row ht="14.95">
      <c s="40" t="s">
        <v>46</v>
      </c>
      <c s="19">
        <v>104709</v>
      </c>
      <c s="19">
        <v>91054</v>
      </c>
      <c s="27">
        <v>195763</v>
      </c>
      <c s="20">
        <v>0.53487635559324287</v>
      </c>
      <c s="20">
        <v>0.46512364440675713</v>
      </c>
    </row>
    <row ht="14.95">
      <c s="40" t="s">
        <v>15</v>
      </c>
      <c s="19">
        <v>102490</v>
      </c>
      <c s="19">
        <v>90070</v>
      </c>
      <c s="27">
        <v>192560</v>
      </c>
      <c s="20">
        <v>0.5322496884088076</v>
      </c>
      <c s="20">
        <v>0.46775031159119235</v>
      </c>
    </row>
    <row ht="14.95">
      <c s="40" t="s">
        <v>110</v>
      </c>
      <c s="19">
        <v>98195</v>
      </c>
      <c s="19">
        <v>88031</v>
      </c>
      <c s="27">
        <v>186226</v>
      </c>
      <c s="20">
        <v>0.52728942252961453</v>
      </c>
      <c s="20">
        <v>0.47271057747038542</v>
      </c>
    </row>
    <row ht="14.95">
      <c s="40" t="s">
        <v>78</v>
      </c>
      <c s="19">
        <v>95537</v>
      </c>
      <c s="19">
        <v>87268</v>
      </c>
      <c s="27">
        <v>182805</v>
      </c>
      <c s="20">
        <v>0.52261699625283775</v>
      </c>
      <c s="20">
        <v>0.4773830037471623</v>
      </c>
    </row>
    <row ht="14.95">
      <c s="40" t="s">
        <v>45</v>
      </c>
      <c s="19">
        <v>116763</v>
      </c>
      <c s="19">
        <v>111185</v>
      </c>
      <c s="27">
        <v>227948</v>
      </c>
      <c s="20">
        <v>0.51223524663519748</v>
      </c>
      <c s="20">
        <v>0.48776475336480252</v>
      </c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 s="1"/>
      <c s="1"/>
      <c s="1"/>
      <c s="1"/>
      <c s="1"/>
      <c s="1"/>
      <c s="1"/>
      <c s="1"/>
      <c s="1"/>
      <c s="1"/>
      <c s="1"/>
      <c s="1"/>
    </row>
    <row ht="14.95">
      <c s="1"/>
      <c s="1"/>
      <c s="1"/>
      <c s="1"/>
      <c s="1"/>
      <c s="1"/>
      <c s="1"/>
      <c s="1"/>
      <c s="1"/>
      <c s="1"/>
      <c s="1"/>
      <c s="1"/>
    </row>
    <row ht="14.95">
      <c s="1"/>
      <c s="1"/>
      <c s="1"/>
      <c s="1"/>
      <c s="1"/>
      <c s="1"/>
      <c s="1"/>
      <c s="1"/>
      <c s="1"/>
      <c s="1"/>
      <c s="1"/>
      <c s="1"/>
    </row>
    <row ht="14.95">
      <c s="33"/>
      <c s="2"/>
      <c s="2"/>
      <c s="2"/>
      <c s="2"/>
      <c s="2"/>
      <c s="2"/>
      <c s="2"/>
      <c s="2"/>
      <c s="2"/>
      <c s="2"/>
      <c s="1"/>
    </row>
    <row ht="14.95">
      <c s="1"/>
      <c s="1"/>
      <c s="1"/>
      <c s="1"/>
      <c s="1"/>
      <c s="1"/>
      <c s="1"/>
      <c s="1"/>
      <c s="1"/>
      <c s="1"/>
      <c s="1"/>
      <c s="1"/>
    </row>
    <row ht="14.95">
      <c s="1"/>
      <c s="1"/>
      <c s="1"/>
      <c s="1"/>
      <c s="1"/>
      <c s="1"/>
      <c s="1"/>
      <c s="1"/>
      <c s="1"/>
      <c s="1"/>
      <c s="1"/>
      <c s="1"/>
    </row>
    <row ht="14.95">
      <c s="1"/>
      <c s="1"/>
      <c s="1"/>
      <c s="1"/>
      <c s="1"/>
      <c s="1"/>
      <c s="1"/>
      <c s="1"/>
      <c s="1"/>
      <c s="1"/>
      <c s="1"/>
      <c s="1"/>
    </row>
    <row ht="14.95">
      <c s="1"/>
      <c s="1"/>
      <c s="1"/>
      <c s="1"/>
      <c s="1"/>
      <c s="1"/>
      <c s="1"/>
      <c s="1"/>
      <c s="1"/>
      <c s="1"/>
      <c s="1"/>
      <c s="1"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  <row ht="14.95">
      <c/>
    </row>
  </sheetData>
  <mergeCells count="4">
    <mergeCell ref="A3:G3"/>
    <mergeCell ref="B13:F13"/>
    <mergeCell ref="B14:D14"/>
    <mergeCell ref="E14:F14"/>
  </mergeCells>
  <pageMargins left="0.70866141732283472" right="0.70866141732283472" top="0.78740157480314965" bottom="0.78740157480314965" header="0.31496062992125984" footer="0.31496062992125984"/>
  <pageSetup paperSize="9" scale="74" fitToWidth="2" fitToHeight="0" orientation="landscape"/>
  <headerFooter>
    <oddHeader>&amp;L&amp;"Tahoma,Standard"&amp;10bmbwf, Abt. IV/10&amp;R&amp;"Tahoma,Standard"&amp;10unidata/&amp;D</oddHeader>
    <oddFooter>&amp;R&amp;"Tahoma,Standard"&amp;10&amp;P/&amp;N</oddFooter>
  </headerFooter>
  <colBreaks count="1" manualBreakCount="1">
    <brk id="7" max="1048575" man="1"/>
  </colBreaks>
</worksheet>
</file>

<file path=xl/worksheets/sheet3.xml><?xml version="1.0" encoding="utf-8"?>
<worksheet xmlns:r="http://schemas.openxmlformats.org/officeDocument/2006/relationships" xmlns="http://schemas.openxmlformats.org/spreadsheetml/2006/main">
  <dimension ref="A1:Z33"/>
  <sheetViews>
    <sheetView workbookViewId="0">
      <selection activeCell="E25" sqref="E25:E32"/>
    </sheetView>
  </sheetViews>
  <sheetFormatPr defaultColWidth="9.140625" defaultRowHeight="13.6"/>
  <cols>
    <col min="1" max="1" width="13.5703125" style="30" customWidth="1"/>
    <col min="2" max="2" width="40.85546875" style="30" customWidth="1"/>
    <col min="3" max="3" width="28.140625" style="30" customWidth="1"/>
    <col min="4" max="4" width="16.28515625" style="30" customWidth="1"/>
    <col min="5" max="5" width="19.42578125" style="30" customWidth="1"/>
    <col min="6" max="6" width="11.140625" style="30" customWidth="1"/>
    <col min="7" max="7" width="9.140625" style="30" customWidth="1"/>
    <col min="8" max="8" width="17.28515625" style="30" customWidth="1"/>
    <col min="9" max="9" width="19.5703125" style="30" customWidth="1"/>
    <col min="10" max="12" width="12.42578125" style="30" customWidth="1"/>
    <col min="13" max="13" width="16" style="30" customWidth="1"/>
    <col min="14" max="14" width="14.28515625" style="30" customWidth="1"/>
    <col min="15" max="15" width="18.28515625" style="30" customWidth="1"/>
    <col min="16" max="25" width="9.140625" style="30" customWidth="1"/>
    <col min="26" max="26" width="9.140625" style="30" hidden="1" customWidth="1"/>
    <col min="27" max="27" width="9.140625" style="30" customWidth="1"/>
    <col min="28" max="16384" width="9.140625" style="30"/>
  </cols>
  <sheetData>
    <row>
      <c s="64"/>
      <c r="H1" s="49">
        <v>129806172700000000</v>
      </c>
      <c r="Z1" s="57" t="b">
        <f>0=1</f>
        <v>0</v>
      </c>
    </row>
    <row>
      <c r="Z2" s="57" t="b">
        <f>1=1</f>
        <v>1</v>
      </c>
    </row>
    <row>
      <c r="Z3" s="57"/>
    </row>
    <row>
      <c r="I4" s="30" t="s">
        <v>43</v>
      </c>
      <c s="50" t="s">
        <v>92</v>
      </c>
      <c s="16"/>
      <c s="16"/>
      <c s="16"/>
      <c s="16"/>
      <c s="16"/>
    </row>
    <row>
      <c r="J5" s="35" t="s">
        <v>33</v>
      </c>
      <c s="24" t="s">
        <v>63</v>
      </c>
      <c s="24" t="s">
        <v>82</v>
      </c>
      <c s="35" t="s">
        <v>121</v>
      </c>
      <c s="55" t="s">
        <v>98</v>
      </c>
      <c s="24" t="s">
        <v>5</v>
      </c>
    </row>
    <row>
      <c r="B6" s="42" t="s">
        <v>99</v>
      </c>
      <c s="25" t="s">
        <v>107</v>
      </c>
      <c s="56" t="s">
        <v>12</v>
      </c>
      <c s="15" t="s">
        <v>64</v>
      </c>
    </row>
    <row>
      <c r="C7" s="22"/>
      <c s="37" t="s">
        <v>13</v>
      </c>
      <c s="15" t="s">
        <v>74</v>
      </c>
    </row>
    <row>
      <c r="C8" s="37" t="s">
        <v>6</v>
      </c>
      <c s="22"/>
    </row>
    <row>
      <c r="C9" s="22"/>
      <c s="25" t="s">
        <v>34</v>
      </c>
      <c s="52"/>
    </row>
    <row>
      <c r="C10" s="25" t="s">
        <v>59</v>
      </c>
      <c s="51" t="s">
        <v>83</v>
      </c>
      <c s="15" t="s">
        <v>23</v>
      </c>
    </row>
    <row>
      <c r="B11" s="42" t="s">
        <v>65</v>
      </c>
      <c s="60" t="s">
        <v>60</v>
      </c>
      <c s="71">
        <v>60398</v>
      </c>
      <c s="15" t="s">
        <v>35</v>
      </c>
    </row>
    <row>
      <c r="B12" s="42"/>
      <c s="47"/>
      <c s="48"/>
      <c s="43" t="s">
        <v>93</v>
      </c>
    </row>
    <row>
      <c r="B13" s="42" t="s">
        <v>61</v>
      </c>
      <c s="67" t="s">
        <v>29</v>
      </c>
      <c s="59">
        <v>1212</v>
      </c>
      <c s="30" t="b">
        <v>0</v>
      </c>
      <c s="15" t="s">
        <v>84</v>
      </c>
    </row>
    <row ht="12.75" hidden="1">
      <c r="B14" s="42"/>
      <c s="67"/>
      <c s="66"/>
      <c s="30" t="b">
        <v>0</v>
      </c>
    </row>
    <row>
      <c r="B15" s="42" t="s">
        <v>108</v>
      </c>
      <c s="30" t="s">
        <v>115</v>
      </c>
      <c s="45">
        <v>1212</v>
      </c>
      <c s="30" t="b">
        <v>0</v>
      </c>
      <c s="15" t="s">
        <v>30</v>
      </c>
    </row>
    <row ht="12.75" hidden="1">
      <c r="B16" s="42"/>
      <c r="D16" s="21"/>
      <c s="30" t="b">
        <v>0</v>
      </c>
      <c s="15"/>
    </row>
    <row>
      <c r="B17" s="42"/>
      <c s="30" t="s">
        <v>36</v>
      </c>
      <c s="53">
        <v>3434</v>
      </c>
      <c s="30" t="b">
        <v>0</v>
      </c>
      <c s="15" t="s">
        <v>85</v>
      </c>
    </row>
    <row>
      <c r="B18" s="42"/>
      <c r="D18" s="21"/>
      <c s="30" t="b">
        <v>0</v>
      </c>
      <c s="15"/>
    </row>
    <row>
      <c r="B19" s="42"/>
      <c s="30" t="s">
        <v>7</v>
      </c>
      <c s="62">
        <v>3434</v>
      </c>
      <c s="30" t="b">
        <v>0</v>
      </c>
      <c s="15" t="s">
        <v>100</v>
      </c>
    </row>
    <row>
      <c r="B20" s="42"/>
      <c r="D20" s="21"/>
      <c s="30" t="b">
        <v>0</v>
      </c>
      <c s="15"/>
    </row>
    <row>
      <c r="B21" s="42"/>
      <c s="30" t="s">
        <v>101</v>
      </c>
      <c s="65">
        <v>5656</v>
      </c>
      <c s="30" t="b">
        <v>0</v>
      </c>
      <c s="15" t="s">
        <v>122</v>
      </c>
    </row>
    <row>
      <c r="B22" s="42"/>
      <c r="E22" s="15"/>
      <c r="I22" s="58"/>
    </row>
    <row>
      <c r="B23" s="36" t="s">
        <v>8</v>
      </c>
      <c s="36"/>
    </row>
    <row>
      <c r="B24" s="13" t="s">
        <v>66</v>
      </c>
      <c s="13" t="s">
        <v>37</v>
      </c>
      <c s="13" t="s">
        <v>14</v>
      </c>
      <c s="13" t="s">
        <v>102</v>
      </c>
      <c s="13"/>
      <c s="13"/>
      <c s="13" t="s">
        <v>123</v>
      </c>
    </row>
    <row>
      <c s="30" t="s">
        <v>75</v>
      </c>
      <c r="C25" s="69" t="s">
        <v>67</v>
      </c>
      <c s="26" t="s">
        <v>38</v>
      </c>
      <c s="26">
        <v>1234.5599999999999</v>
      </c>
      <c s="15" t="s">
        <v>94</v>
      </c>
      <c r="H25" s="30" t="s">
        <v>103</v>
      </c>
    </row>
    <row>
      <c s="30" t="s">
        <v>109</v>
      </c>
      <c r="C26" s="69" t="s">
        <v>67</v>
      </c>
      <c s="26" t="s">
        <v>38</v>
      </c>
      <c s="26">
        <v>1234.5599999999999</v>
      </c>
      <c s="15" t="s">
        <v>76</v>
      </c>
      <c r="H26" s="30" t="s">
        <v>124</v>
      </c>
    </row>
    <row>
      <c r="C27" s="69" t="s">
        <v>67</v>
      </c>
      <c s="26" t="s">
        <v>38</v>
      </c>
      <c s="26">
        <v>1234.5599999999999</v>
      </c>
      <c r="H27" s="30" t="s">
        <v>77</v>
      </c>
    </row>
    <row>
      <c r="C28" s="10" t="s">
        <v>9</v>
      </c>
      <c s="23" t="s">
        <v>11</v>
      </c>
      <c s="23">
        <v>1234.5599999999999</v>
      </c>
      <c r="H28" s="30" t="s">
        <v>39</v>
      </c>
    </row>
    <row>
      <c r="C29" s="10" t="s">
        <v>9</v>
      </c>
      <c s="44" t="s">
        <v>80</v>
      </c>
      <c s="68">
        <v>1234.5599999999999</v>
      </c>
      <c r="H29" s="30" t="s">
        <v>125</v>
      </c>
    </row>
    <row>
      <c r="C30" s="10" t="s">
        <v>104</v>
      </c>
      <c s="54" t="s">
        <v>27</v>
      </c>
      <c s="70">
        <v>1234.5599999999999</v>
      </c>
    </row>
    <row>
      <c r="C31" s="10" t="s">
        <v>67</v>
      </c>
      <c s="61" t="s">
        <v>20</v>
      </c>
      <c s="26">
        <v>1234.5599999999999</v>
      </c>
    </row>
    <row>
      <c r="C32" s="10" t="s">
        <v>9</v>
      </c>
      <c s="63" t="s">
        <v>44</v>
      </c>
      <c s="23">
        <v>1234.5599999999999</v>
      </c>
    </row>
    <row>
      <c r="C33" s="10" t="s">
        <v>126</v>
      </c>
      <c s="10" t="s">
        <v>68</v>
      </c>
      <c s="10" t="s">
        <v>67</v>
      </c>
      <c s="10" t="s">
        <v>20</v>
      </c>
      <c s="10" t="s">
        <v>9</v>
      </c>
      <c s="10" t="s">
        <v>11</v>
      </c>
      <c s="10" t="s">
        <v>104</v>
      </c>
      <c s="10" t="s">
        <v>2</v>
      </c>
      <c s="46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
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0065"/>
  </bookViews>
  <sheets>
    <sheet name="Tab" sheetId="1" r:id="rId1"/>
    <sheet name="XLCubedFormats" sheetId="2" state="hidden" r:id="rId2"/>
  </sheets>
  <definedNames>
    <definedName name="_xlnm.Print_Area" localSheetId="0">Tab!$A$1:$J$27</definedName>
    <definedName name="XL3DisableCameraObjects" hidden="1">XLCubedFormats!A1</definedName>
    <definedName name="XL3ObjLocation6dd36f0e_b97c_4129_8553_f637565fde5f">Tab!$A$9</definedName>
  </definedNames>
  <calcPr calcId="40001"/>
</workbook>
</file>

<file path=xl/sharedStrings.xml><?xml version="1.0" encoding="utf-8"?>
<sst xmlns="http://schemas.openxmlformats.org/spreadsheetml/2006/main" uniqueCount="86">
  <si>
    <t>Universität</t>
  </si>
  <si>
    <t>Semester und Datenstichtag</t>
  </si>
  <si>
    <t xml:space="preserve">Ordentliche Studien 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</si>
  <si>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</si>
  <si>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</si>
  <si>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</si>
  <si>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</si>
  <si>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</si>
  <si>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</si>
  <si>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(Members of Studienfach (Fachcode)) - (Erweiterungsstudium, Zweitfach)</t>
  </si>
  <si>
    <t>Wintersemester 2024 (Stichtag: 28.02.2025)</t>
  </si>
  <si>
    <t>Absolutwert</t>
  </si>
  <si>
    <t>Diplomstudium</t>
  </si>
  <si>
    <t>All Marital Status</t>
  </si>
  <si>
    <t>Male</t>
  </si>
  <si>
    <t>Member1 Name</t>
  </si>
  <si>
    <t>Staatengruppe (Ö, EU, andere)</t>
  </si>
  <si>
    <t>Studien Universitäten</t>
  </si>
  <si>
    <t>ord. Studium</t>
  </si>
  <si>
    <t>&lt;-- default Column Member Format</t>
  </si>
  <si>
    <t>Begonnene Studien</t>
  </si>
  <si>
    <t>Gesamt</t>
  </si>
  <si>
    <t>Alternate Rows</t>
  </si>
  <si>
    <t>&lt;--  writeable cell format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</si>
  <si>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</si>
  <si>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</si>
  <si>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</si>
  <si>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</si>
  <si>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</si>
  <si>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</si>
  <si>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</si>
  <si>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Dadurch sind Studien auf ganze Zahlen zu runden und es kann zu Abweichungen zwischen der Gesamtsumme und den addierten Detailergebnissen kommen.</t>
  </si>
  <si>
    <t>Ordentliche Studien an Universitäten nach Studienart</t>
  </si>
  <si>
    <t>Bachelorstudium</t>
  </si>
  <si>
    <t>Männer</t>
  </si>
  <si>
    <t>Slice Name (Optional)</t>
  </si>
  <si>
    <t>[STU Studium].[Studienart]</t>
  </si>
  <si>
    <t>Customer</t>
  </si>
  <si>
    <t>-All Customer</t>
  </si>
  <si>
    <t>Default Alternate Row Member Format --&gt;</t>
  </si>
  <si>
    <t>Studien von Erstzugelassenen</t>
  </si>
  <si>
    <t>Studientyp</t>
  </si>
  <si>
    <t>Bundesland Universität</t>
  </si>
  <si>
    <t>Doktoratsstudium</t>
  </si>
  <si>
    <t>Slicer Item</t>
  </si>
  <si>
    <t>&lt;-- default Slicer Member Format</t>
  </si>
  <si>
    <t>Default Row Member Format --&gt;</t>
  </si>
  <si>
    <t>Grid/Table Name</t>
  </si>
  <si>
    <t>[Measures]</t>
  </si>
  <si>
    <t>ISCED2013 3.Ebene (Code, Langtext)</t>
  </si>
  <si>
    <t>&lt;-- writeable Slicer Member Format</t>
  </si>
  <si>
    <t>Slice Format 1</t>
  </si>
  <si>
    <t>&lt;-- Gesamtzeile</t>
  </si>
  <si>
    <t>3) Formatierung der Gesamtspalte und -zeile (siehe E25:E26)</t>
  </si>
  <si>
    <t>(ohne Erweiterungsstudien; bei kombinationspflichtigen Studien bis STJ 2015/16 nur Erstfach gezählt)</t>
  </si>
  <si>
    <t>Studienfach (Fachcode)</t>
  </si>
  <si>
    <t>Frauen-/Männeranteil in %</t>
  </si>
  <si>
    <t>Slicer Button</t>
  </si>
  <si>
    <t>+2009</t>
  </si>
  <si>
    <t>&lt;-- default alternate row cell format</t>
  </si>
  <si>
    <t>&lt;--  written cell format</t>
  </si>
  <si>
    <t>Studienart</t>
  </si>
  <si>
    <t>Display Formats For:</t>
  </si>
  <si>
    <t>Enabled?</t>
  </si>
  <si>
    <t>&lt;-- Gesamtspalte</t>
  </si>
  <si>
    <t>Datenprüfung und -aufbereitung: bmfwf, Abt. I/10</t>
  </si>
  <si>
    <t>Universität-Ausrichtung</t>
  </si>
  <si>
    <t>Masterstudium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</si>
  <si>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</si>
  <si>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</si>
  <si>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</si>
  <si>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</si>
  <si>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</si>
  <si>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[SU Studierende].[Geschlecht]</t>
  </si>
  <si>
    <t>1) Spaltenüberschrift mittels Menüpunkt Daten/Gruppieren/Gruppieren ausblenden</t>
  </si>
  <si>
    <t>Marital Status</t>
  </si>
  <si>
    <t>Default Writeable Member Format --&gt;</t>
  </si>
  <si>
    <t>Slice Format 2</t>
  </si>
  <si>
    <t>Quelle: Datenmeldungen der Universitäten auf Basis UHSBV zum jeweiligen Stichtag</t>
  </si>
  <si>
    <t>Writeable Member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</si>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</sst>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262626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rgb="FF595959"/>
      <name val="Tahoma"/>
    </font>
    <font>
      <sz val="10"/>
      <color theme="1" tint="0.14996795556505021"/>
      <name val="Tahoma"/>
      <family val="2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3" fontId="4" fillId="0" borderId="0" xfId="0" applyNumberFormat="1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Fill="1" applyAlignment="1"/>
    <xf numFmtId="0" fontId="3" fillId="0" borderId="0" xfId="0" applyFont="1" applyFill="1" applyAlignment="1"/>
    <xf numFmtId="0" fontId="7" fillId="0" borderId="1" xfId="0" quotePrefix="1" applyFont="1" applyFill="1" applyBorder="1" applyAlignment="1" applyProtection="1">
      <alignment horizont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top"/>
    </xf>
    <xf numFmtId="0" fontId="10" fillId="2" borderId="0" xfId="1" applyFont="1" applyFill="1" applyBorder="1" applyAlignment="1">
      <alignment horizontal="center"/>
    </xf>
    <xf numFmtId="0" fontId="9" fillId="0" borderId="0" xfId="0" applyFont="1" applyFill="1" applyAlignment="1">
      <alignment horizontal="left" vertical="top"/>
    </xf>
    <xf numFmtId="0" fontId="7" fillId="0" borderId="1" xfId="0" applyFont="1" applyFill="1" applyBorder="1" applyAlignment="1" applyProtection="1">
      <alignment horizontal="right"/>
    </xf>
    <xf numFmtId="0" fontId="3" fillId="0" borderId="0" xfId="0" applyFont="1" applyFill="1" applyAlignment="1">
      <alignment vertical="top"/>
    </xf>
    <xf numFmtId="0" fontId="11" fillId="0" borderId="0" xfId="0" applyNumberFormat="1" applyFont="1" applyAlignment="1"/>
    <xf numFmtId="0" fontId="12" fillId="3" borderId="0" xfId="0" applyFont="1" applyFill="1" applyAlignment="1"/>
    <xf numFmtId="0" fontId="13" fillId="0" borderId="0" xfId="1" applyFont="1"/>
    <xf numFmtId="0" fontId="14" fillId="0" borderId="0" xfId="0" applyFont="1"/>
    <xf numFmtId="3" fontId="7" fillId="4" borderId="1" xfId="0" applyNumberFormat="1" applyFont="1" applyFill="1" applyBorder="1" applyAlignment="1" applyProtection="1">
      <alignment horizontal="right" vertical="center"/>
    </xf>
    <xf numFmtId="0" fontId="7" fillId="0" borderId="2" xfId="0" applyFont="1" applyBorder="1" applyAlignment="1" applyProtection="1">
      <alignment horizontal="right"/>
    </xf>
    <xf numFmtId="0" fontId="7" fillId="5" borderId="3" xfId="0" applyFont="1" applyFill="1" applyBorder="1" applyAlignment="1" applyProtection="1">
      <alignment horizontal="right"/>
    </xf>
    <xf numFmtId="3" fontId="7" fillId="0" borderId="1" xfId="0" applyNumberFormat="1" applyFont="1" applyFill="1" applyBorder="1" applyAlignment="1" applyProtection="1">
      <alignment horizontal="right"/>
    </xf>
    <xf numFmtId="0" fontId="11" fillId="0" borderId="0" xfId="0" applyFont="1"/>
    <xf numFmtId="0" fontId="7" fillId="5" borderId="2" xfId="0" applyFont="1" applyFill="1" applyBorder="1" applyAlignment="1" applyProtection="1">
      <alignment horizontal="right"/>
    </xf>
    <xf numFmtId="0" fontId="6" fillId="0" borderId="0" xfId="0" applyFont="1" applyAlignment="1">
      <alignment horizontal="right"/>
    </xf>
    <xf numFmtId="164" fontId="7" fillId="6" borderId="1" xfId="0" applyNumberFormat="1" applyFont="1" applyFill="1" applyBorder="1" applyAlignment="1" applyProtection="1">
      <alignment horizontal="right"/>
    </xf>
    <xf numFmtId="0" fontId="11" fillId="0" borderId="0" xfId="0" applyFont="1" applyAlignment="1">
      <alignment horizontal="center"/>
    </xf>
    <xf numFmtId="0" fontId="15" fillId="7" borderId="4" xfId="0" quotePrefix="1" applyFont="1" applyFill="1" applyBorder="1" applyAlignment="1" applyProtection="1"/>
    <xf numFmtId="0" fontId="16" fillId="0" borderId="0" xfId="0" applyFont="1"/>
    <xf numFmtId="0" fontId="13" fillId="3" borderId="0" xfId="1" applyFont="1" applyFill="1"/>
    <xf numFmtId="164" fontId="7" fillId="6" borderId="1" xfId="0" quotePrefix="1" applyNumberFormat="1" applyFont="1" applyFill="1" applyBorder="1" applyAlignment="1" applyProtection="1">
      <alignment horizontal="center"/>
    </xf>
    <xf numFmtId="164" fontId="7" fillId="4" borderId="1" xfId="0" applyNumberFormat="1" applyFont="1" applyFill="1" applyBorder="1" applyAlignment="1" applyProtection="1">
      <alignment horizontal="right" vertical="center"/>
    </xf>
    <xf numFmtId="0" fontId="17" fillId="0" borderId="0" xfId="0" applyFont="1"/>
    <xf numFmtId="164" fontId="7" fillId="8" borderId="2" xfId="0" applyNumberFormat="1" applyFont="1" applyFill="1" applyBorder="1" applyAlignment="1" applyProtection="1">
      <alignment horizontal="right"/>
    </xf>
    <xf numFmtId="0" fontId="10" fillId="2" borderId="5" xfId="1" applyFont="1" applyFill="1" applyBorder="1" applyAlignment="1">
      <alignment horizontal="center"/>
    </xf>
    <xf numFmtId="3" fontId="11" fillId="0" borderId="0" xfId="0" applyNumberFormat="1" applyFont="1" applyAlignment="1"/>
    <xf numFmtId="0" fontId="3" fillId="0" borderId="0" xfId="0" quotePrefix="1" applyFont="1" applyFill="1" applyAlignment="1">
      <alignment horizontal="left" vertical="top"/>
    </xf>
    <xf numFmtId="0" fontId="7" fillId="0" borderId="3" xfId="0" applyFont="1" applyBorder="1" applyAlignment="1" applyProtection="1">
      <alignment horizontal="right"/>
    </xf>
    <xf numFmtId="3" fontId="5" fillId="0" borderId="0" xfId="0" applyNumberFormat="1" applyFont="1" applyFill="1" applyAlignment="1"/>
    <xf numFmtId="0" fontId="3" fillId="0" borderId="0" xfId="0" quotePrefix="1" applyFont="1" applyFill="1" applyAlignment="1"/>
    <xf numFmtId="0" fontId="11" fillId="0" borderId="0" xfId="0" applyNumberFormat="1" applyFont="1" applyFill="1" applyBorder="1" applyAlignment="1"/>
    <xf numFmtId="0" fontId="7" fillId="4" borderId="1" xfId="0" applyFont="1" applyFill="1" applyBorder="1" applyAlignment="1" applyProtection="1">
      <alignment vertical="center"/>
    </xf>
    <xf numFmtId="0" fontId="11" fillId="0" borderId="0" xfId="0" quotePrefix="1" applyFont="1" applyFill="1"/>
    <xf numFmtId="0" fontId="7" fillId="9" borderId="1" xfId="0" applyFont="1" applyFill="1" applyBorder="1" applyAlignment="1" applyProtection="1">
      <alignment horizontal="right"/>
    </xf>
    <xf numFmtId="0" fontId="6" fillId="0" borderId="0" xfId="0" applyFont="1" applyAlignment="1">
      <alignment horizontal="center"/>
    </xf>
    <xf numFmtId="0" fontId="11" fillId="0" borderId="0" xfId="0" applyFont="1" applyFill="1" applyBorder="1" applyAlignment="1">
      <alignment vertical="center"/>
    </xf>
    <xf numFmtId="3" fontId="11" fillId="10" borderId="0" xfId="0" applyNumberFormat="1" applyFont="1" applyFill="1" applyAlignment="1"/>
    <xf numFmtId="3" fontId="11" fillId="11" borderId="0" xfId="0" applyNumberFormat="1" applyFont="1" applyFill="1" applyAlignment="1"/>
    <xf numFmtId="2" fontId="11" fillId="0" borderId="0" xfId="0" applyNumberFormat="1" applyFont="1"/>
    <xf numFmtId="0" fontId="7" fillId="12" borderId="1" xfId="0" applyFont="1" applyFill="1" applyBorder="1" applyAlignment="1" applyProtection="1">
      <alignment vertical="center"/>
    </xf>
    <xf numFmtId="0" fontId="18" fillId="0" borderId="0" xfId="0" applyFont="1" applyFill="1" applyAlignment="1"/>
    <xf numFmtId="0" fontId="11" fillId="0" borderId="0" xfId="0" applyNumberFormat="1" applyFont="1"/>
    <xf numFmtId="0" fontId="11" fillId="10" borderId="0" xfId="0" applyNumberFormat="1" applyFont="1" applyFill="1" applyAlignment="1"/>
    <xf numFmtId="0" fontId="11" fillId="10" borderId="0" xfId="0" applyFont="1" applyFill="1"/>
    <xf numFmtId="0" fontId="11" fillId="0" borderId="0" xfId="0" quotePrefix="1" applyFont="1"/>
    <xf numFmtId="0" fontId="7" fillId="0" borderId="1" xfId="0" quotePrefix="1" applyFont="1" applyBorder="1" applyAlignment="1" applyProtection="1"/>
    <xf numFmtId="0" fontId="0" fillId="0" borderId="0" xfId="0" applyFont="1" applyFill="1" applyAlignment="1"/>
    <xf numFmtId="0" fontId="13" fillId="10" borderId="0" xfId="1" applyFont="1" applyFill="1"/>
    <xf numFmtId="3" fontId="7" fillId="9" borderId="1" xfId="0" applyNumberFormat="1" applyFont="1" applyFill="1" applyBorder="1" applyAlignment="1" applyProtection="1">
      <alignment horizontal="right"/>
    </xf>
    <xf numFmtId="0" fontId="16" fillId="0" borderId="6" xfId="0" quotePrefix="1" applyFont="1" applyFill="1" applyBorder="1" applyAlignment="1">
      <alignment horizontal="right"/>
    </xf>
    <xf numFmtId="0" fontId="0" fillId="0" borderId="0" xfId="0" applyAlignment="1">
      <alignment horizontal="left"/>
    </xf>
    <xf numFmtId="165" fontId="11" fillId="0" borderId="0" xfId="0" applyNumberFormat="1" applyFont="1"/>
    <xf numFmtId="0" fontId="18" fillId="0" borderId="0" xfId="0" applyFont="1"/>
    <xf numFmtId="0" fontId="16" fillId="0" borderId="6" xfId="0" applyFont="1" applyFill="1" applyBorder="1" applyAlignment="1">
      <alignment vertical="center"/>
    </xf>
    <xf numFmtId="0" fontId="3" fillId="0" borderId="0" xfId="0" quotePrefix="1" applyFont="1" applyFill="1" applyAlignment="1">
      <alignment vertical="top"/>
    </xf>
    <xf numFmtId="0" fontId="19" fillId="0" borderId="0" xfId="0" applyFont="1"/>
    <xf numFmtId="0" fontId="16" fillId="0" borderId="6" xfId="0" quotePrefix="1" applyFont="1" applyFill="1" applyBorder="1" applyAlignment="1"/>
    <xf numFmtId="0" fontId="5" fillId="0" borderId="0" xfId="0" applyFont="1" applyFill="1" applyBorder="1" applyAlignment="1">
      <alignment vertical="center"/>
    </xf>
    <xf numFmtId="0" fontId="7" fillId="0" borderId="1" xfId="0" applyFont="1" applyFill="1" applyBorder="1" applyAlignment="1" applyProtection="1">
      <alignment vertical="center"/>
    </xf>
    <xf numFmtId="0" fontId="7" fillId="12" borderId="7" xfId="0" applyFont="1" applyFill="1" applyBorder="1" applyAlignment="1" applyProtection="1">
      <alignment vertical="center"/>
    </xf>
    <xf numFmtId="3" fontId="11" fillId="13" borderId="0" xfId="0" applyNumberFormat="1" applyFont="1" applyFill="1" applyAlignment="1"/>
    <xf numFmtId="0" fontId="0" fillId="0" borderId="0" xfId="0" applyFont="1"/>
    <xf numFmtId="164" fontId="7" fillId="8" borderId="2" xfId="0" applyNumberFormat="1" applyFont="1" applyFill="1" applyBorder="1" applyAlignment="1" applyProtection="1">
      <alignment horizontal="center"/>
    </xf>
    <xf numFmtId="3" fontId="16" fillId="0" borderId="6" xfId="0" applyNumberFormat="1" applyFont="1" applyFill="1" applyBorder="1" applyAlignment="1"/>
    <xf numFmtId="0" fontId="7" fillId="0" borderId="2" xfId="0" applyFont="1" applyBorder="1" applyAlignment="1" applyProtection="1">
      <alignment horizont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2531107</xdr:colOff>
      <xdr:row>8</xdr:row>
      <xdr:rowOff>0</xdr:rowOff>
    </xdr:from>
    <xdr:to>
      <xdr:col>5</xdr:col>
      <xdr:colOff>281181</xdr:colOff>
      <xdr:row>9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1107" y="153987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8</xdr:row>
      <xdr:rowOff>189865</xdr:rowOff>
    </xdr:from>
    <xdr:to>
      <xdr:col>5</xdr:col>
      <xdr:colOff>281181</xdr:colOff>
      <xdr:row>9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172974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9</xdr:row>
      <xdr:rowOff>189865</xdr:rowOff>
    </xdr:from>
    <xdr:to>
      <xdr:col>5</xdr:col>
      <xdr:colOff>281181</xdr:colOff>
      <xdr:row>11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191960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11</xdr:row>
      <xdr:rowOff>0</xdr:rowOff>
    </xdr:from>
    <xdr:to>
      <xdr:col>5</xdr:col>
      <xdr:colOff>281181</xdr:colOff>
      <xdr:row>11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210947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12</xdr:row>
      <xdr:rowOff>0</xdr:rowOff>
    </xdr:from>
    <xdr:to>
      <xdr:col>5</xdr:col>
      <xdr:colOff>281181</xdr:colOff>
      <xdr:row>13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229933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13</xdr:row>
      <xdr:rowOff>0</xdr:rowOff>
    </xdr:from>
    <xdr:to>
      <xdr:col>5</xdr:col>
      <xdr:colOff>281181</xdr:colOff>
      <xdr:row>14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248920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9"/>
  <sheetViews>
    <sheetView tabSelected="1" workbookViewId="0"/>
  </sheetViews>
  <sheetFormatPr defaultColWidth="11.28515625" defaultRowHeight="14.95"/>
  <cols>
    <col min="1" max="1" width="34.7109375" style="72" customWidth="1"/>
    <col min="2" max="10" width="11.71093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9" t="s">
        <v>17</v>
      </c>
      <c s="9"/>
      <c s="9"/>
      <c s="9"/>
      <c s="9"/>
      <c s="6"/>
    </row>
    <row s="63" customFormat="1">
      <c s="10" t="s">
        <v>32</v>
      </c>
      <c s="10"/>
      <c s="10"/>
      <c s="10"/>
      <c s="10"/>
      <c s="51"/>
    </row>
    <row ht="15" customHeight="1" s="63" customFormat="1">
      <c s="37" t="s">
        <v>54</v>
      </c>
      <c s="12"/>
      <c s="12"/>
      <c s="12"/>
      <c s="12"/>
      <c s="51"/>
    </row>
    <row s="63" customFormat="1">
      <c s="2" t="s">
        <v>85</v>
      </c>
      <c s="2"/>
      <c s="2"/>
      <c s="2"/>
      <c s="2"/>
      <c s="2"/>
      <c s="2"/>
      <c s="2"/>
      <c s="2"/>
      <c s="2"/>
    </row>
    <row s="63" customFormat="1">
      <c s="2" t="s">
        <v>31</v>
      </c>
      <c s="2"/>
      <c s="2"/>
      <c s="2"/>
      <c s="2"/>
      <c s="2"/>
      <c s="2"/>
      <c s="2"/>
      <c s="2"/>
      <c s="2"/>
    </row>
    <row ht="15" customHeight="1">
      <c s="40" t="s">
        <v>78</v>
      </c>
      <c s="7"/>
      <c s="7"/>
      <c s="7"/>
      <c s="7"/>
      <c s="7"/>
    </row>
    <row>
      <c s="65" t="s">
        <v>65</v>
      </c>
      <c s="14"/>
      <c s="14"/>
      <c s="14"/>
      <c s="14"/>
      <c s="6"/>
    </row>
    <row ht="16.5" customHeight="1">
      <c s="57"/>
      <c s="6"/>
      <c s="6"/>
      <c s="6"/>
      <c s="6"/>
      <c s="6"/>
      <c r="I8" s="61"/>
    </row>
    <row>
      <c s="28" t="s">
        <v>1</v>
      </c>
      <c s="56" t="s">
        <v>10</v>
      </c>
      <c r="F9" t="s">
        <v>24</v>
      </c>
    </row>
    <row>
      <c s="28" t="s">
        <v>0</v>
      </c>
      <c s="56" t="s">
        <v>21</v>
      </c>
      <c r="F10" t="s">
        <v>24</v>
      </c>
    </row>
    <row>
      <c s="28" t="s">
        <v>49</v>
      </c>
      <c s="56" t="s">
        <v>21</v>
      </c>
      <c r="F11" t="s">
        <v>24</v>
      </c>
    </row>
    <row>
      <c s="28" t="s">
        <v>16</v>
      </c>
      <c s="56" t="s">
        <v>21</v>
      </c>
      <c r="F12" t="s">
        <v>24</v>
      </c>
    </row>
    <row>
      <c s="28" t="s">
        <v>42</v>
      </c>
      <c s="56" t="s">
        <v>21</v>
      </c>
      <c r="F13" t="s">
        <v>24</v>
      </c>
    </row>
    <row>
      <c s="28" t="s">
        <v>66</v>
      </c>
      <c s="56" t="s">
        <v>21</v>
      </c>
      <c r="F14" t="s">
        <v>24</v>
      </c>
    </row>
    <row ht="15" hidden="1">
      <c s="28" t="s">
        <v>55</v>
      </c>
      <c s="56" t="s">
        <v>9</v>
      </c>
    </row>
    <row ht="15" hidden="1">
      <c s="28" t="s">
        <v>41</v>
      </c>
      <c s="56" t="s">
        <v>18</v>
      </c>
    </row>
    <row>
      <c/>
    </row>
    <row>
      <c/>
    </row>
    <row>
      <c/>
      <c s="8" t="s">
        <v>2</v>
      </c>
      <c s="8"/>
      <c s="8"/>
      <c s="8"/>
      <c s="8"/>
    </row>
    <row ht="15" customHeight="1">
      <c/>
      <c s="8" t="s">
        <v>11</v>
      </c>
      <c s="8"/>
      <c s="8"/>
      <c s="31" t="s">
        <v>56</v>
      </c>
      <c s="31"/>
    </row>
    <row>
      <c s="28" t="s">
        <v>61</v>
      </c>
      <c s="13" t="s">
        <v>3</v>
      </c>
      <c s="13" t="s">
        <v>34</v>
      </c>
      <c s="44" t="s">
        <v>21</v>
      </c>
      <c s="13" t="s">
        <v>3</v>
      </c>
      <c s="13" t="s">
        <v>34</v>
      </c>
    </row>
    <row>
      <c s="69" t="s">
        <v>33</v>
      </c>
      <c s="22">
        <v>82415.512950000091</v>
      </c>
      <c s="22">
        <v>72925.442450000104</v>
      </c>
      <c s="59">
        <v>155340.95540000015</v>
      </c>
      <c s="26">
        <v>0.53054593837009456</v>
      </c>
      <c s="26">
        <v>0.46945406162990572</v>
      </c>
    </row>
    <row>
      <c s="69" t="s">
        <v>12</v>
      </c>
      <c s="22">
        <v>22285</v>
      </c>
      <c s="22">
        <v>14804</v>
      </c>
      <c s="59">
        <v>37089</v>
      </c>
      <c s="26">
        <v>0.60085200463749355</v>
      </c>
      <c s="26">
        <v>0.39914799536250639</v>
      </c>
    </row>
    <row>
      <c s="69" t="s">
        <v>67</v>
      </c>
      <c s="22">
        <v>43273.348699999995</v>
      </c>
      <c s="22">
        <v>36472.257000000005</v>
      </c>
      <c s="59">
        <v>79745.605699999956</v>
      </c>
      <c s="26">
        <v>0.54264242299184162</v>
      </c>
      <c s="26">
        <v>0.45735757700815888</v>
      </c>
    </row>
    <row>
      <c s="69" t="s">
        <v>43</v>
      </c>
      <c s="22">
        <v>9605.9999999999982</v>
      </c>
      <c s="22">
        <v>11074.000000000002</v>
      </c>
      <c s="59">
        <v>20680</v>
      </c>
      <c s="26">
        <v>0.46450676982591865</v>
      </c>
      <c s="26">
        <v>0.53549323017408135</v>
      </c>
    </row>
    <row>
      <c s="42" t="s">
        <v>21</v>
      </c>
      <c s="19">
        <v>157579.86165000009</v>
      </c>
      <c s="19">
        <v>135275.6994500001</v>
      </c>
      <c s="19">
        <v>292855.56110000011</v>
      </c>
      <c s="32">
        <v>0.53808048260415986</v>
      </c>
      <c s="32">
        <v>0.46191951739584042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8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4:J4"/>
    <mergeCell ref="A5:J5"/>
    <mergeCell ref="B19:F19"/>
    <mergeCell ref="B20:D20"/>
    <mergeCell ref="E20:F20"/>
  </mergeCells>
  <pageMargins left="0.70866141732283472" right="0.70866141732283472" top="0.78740157480314965" bottom="0.78740157480314965" header="0.31496062992125984" footer="0.31496062992125984"/>
  <pageSetup paperSize="9" scale="93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2" sqref="E32"/>
    </sheetView>
  </sheetViews>
  <sheetFormatPr defaultColWidth="9.140625" defaultRowHeight="13.6"/>
  <cols>
    <col min="1" max="1" width="13.7109375" style="23" customWidth="1"/>
    <col min="2" max="2" width="40.85546875" style="23" customWidth="1"/>
    <col min="3" max="3" width="28.140625" style="23" customWidth="1"/>
    <col min="4" max="4" width="16.28515625" style="23" customWidth="1"/>
    <col min="5" max="5" width="19.28515625" style="23" customWidth="1"/>
    <col min="6" max="6" width="11.140625" style="23" customWidth="1"/>
    <col min="7" max="7" width="9.140625" style="23" customWidth="1"/>
    <col min="8" max="8" width="17.28515625" style="23" customWidth="1"/>
    <col min="9" max="9" width="19.7109375" style="23" customWidth="1"/>
    <col min="10" max="12" width="12.28515625" style="23" customWidth="1"/>
    <col min="13" max="13" width="16" style="23" customWidth="1"/>
    <col min="14" max="14" width="14.28515625" style="23" customWidth="1"/>
    <col min="15" max="15" width="18.28515625" style="23" customWidth="1"/>
    <col min="16" max="25" width="9.140625" style="23" customWidth="1"/>
    <col min="26" max="26" width="9.140625" style="23" hidden="1" customWidth="1"/>
    <col min="27" max="27" width="9.140625" style="23" customWidth="1"/>
    <col min="28" max="16384" width="9.140625" style="23"/>
  </cols>
  <sheetData>
    <row>
      <c s="52"/>
      <c r="H1" s="62">
        <v>129806172700000000</v>
      </c>
      <c r="Z1" s="49" t="b">
        <f>0=1</f>
        <v>0</v>
      </c>
    </row>
    <row>
      <c r="Z2" s="49" t="b">
        <f>1=1</f>
        <v>1</v>
      </c>
    </row>
    <row>
      <c r="Z3" s="49"/>
    </row>
    <row>
      <c r="I4" s="23" t="s">
        <v>35</v>
      </c>
      <c s="35" t="s">
        <v>62</v>
      </c>
      <c s="11"/>
      <c s="11"/>
      <c s="11"/>
      <c s="11"/>
      <c s="11"/>
    </row>
    <row>
      <c r="J5" s="30" t="s">
        <v>25</v>
      </c>
      <c s="17" t="s">
        <v>44</v>
      </c>
      <c s="17" t="s">
        <v>57</v>
      </c>
      <c s="30" t="s">
        <v>80</v>
      </c>
      <c s="58" t="s">
        <v>68</v>
      </c>
      <c s="17" t="s">
        <v>4</v>
      </c>
    </row>
    <row>
      <c r="B6" s="25" t="s">
        <v>69</v>
      </c>
      <c s="16" t="s">
        <v>75</v>
      </c>
      <c s="67" t="s">
        <v>13</v>
      </c>
      <c s="5" t="s">
        <v>45</v>
      </c>
    </row>
    <row>
      <c r="C7" s="18"/>
      <c s="29" t="s">
        <v>14</v>
      </c>
      <c s="5" t="s">
        <v>50</v>
      </c>
    </row>
    <row>
      <c r="C8" s="29" t="s">
        <v>5</v>
      </c>
      <c s="18"/>
    </row>
    <row>
      <c r="C9" s="18"/>
      <c s="16" t="s">
        <v>26</v>
      </c>
      <c s="66"/>
    </row>
    <row>
      <c r="C10" s="16" t="s">
        <v>37</v>
      </c>
      <c s="60" t="s">
        <v>58</v>
      </c>
      <c s="5" t="s">
        <v>19</v>
      </c>
    </row>
    <row>
      <c r="B11" s="25" t="s">
        <v>46</v>
      </c>
      <c s="64" t="s">
        <v>38</v>
      </c>
      <c s="74">
        <v>60398</v>
      </c>
      <c s="5" t="s">
        <v>27</v>
      </c>
    </row>
    <row>
      <c r="B12" s="25"/>
      <c s="46"/>
      <c s="41"/>
      <c s="45" t="s">
        <v>63</v>
      </c>
    </row>
    <row>
      <c r="B13" s="25" t="s">
        <v>39</v>
      </c>
      <c s="54" t="s">
        <v>22</v>
      </c>
      <c s="47">
        <v>1212</v>
      </c>
      <c s="23" t="b">
        <v>0</v>
      </c>
      <c s="5" t="s">
        <v>59</v>
      </c>
    </row>
    <row ht="12.75" hidden="1">
      <c r="B14" s="25"/>
      <c s="54"/>
      <c s="53"/>
      <c s="23" t="b">
        <v>0</v>
      </c>
    </row>
    <row>
      <c r="B15" s="25" t="s">
        <v>76</v>
      </c>
      <c s="23" t="s">
        <v>79</v>
      </c>
      <c s="36">
        <v>1212</v>
      </c>
      <c s="23" t="b">
        <v>0</v>
      </c>
      <c s="5" t="s">
        <v>23</v>
      </c>
    </row>
    <row ht="12.75" hidden="1">
      <c r="B16" s="25"/>
      <c r="D16" s="15"/>
      <c s="23" t="b">
        <v>0</v>
      </c>
      <c s="5"/>
    </row>
    <row>
      <c r="B17" s="25"/>
      <c s="23" t="s">
        <v>28</v>
      </c>
      <c s="48">
        <v>3434</v>
      </c>
      <c s="23" t="b">
        <v>0</v>
      </c>
      <c s="5" t="s">
        <v>60</v>
      </c>
    </row>
    <row>
      <c r="B18" s="25"/>
      <c r="D18" s="15"/>
      <c s="23" t="b">
        <v>0</v>
      </c>
      <c s="5"/>
    </row>
    <row>
      <c r="B19" s="25"/>
      <c s="23" t="s">
        <v>6</v>
      </c>
      <c s="71">
        <v>3434</v>
      </c>
      <c s="23" t="b">
        <v>0</v>
      </c>
      <c s="5" t="s">
        <v>70</v>
      </c>
    </row>
    <row>
      <c r="B20" s="25"/>
      <c r="D20" s="15"/>
      <c s="23" t="b">
        <v>0</v>
      </c>
      <c s="5"/>
    </row>
    <row>
      <c r="B21" s="25"/>
      <c s="23" t="s">
        <v>71</v>
      </c>
      <c s="39">
        <v>5656</v>
      </c>
      <c s="23" t="b">
        <v>0</v>
      </c>
      <c s="5" t="s">
        <v>81</v>
      </c>
    </row>
    <row>
      <c r="B22" s="25"/>
      <c r="E22" s="5"/>
      <c r="I22" s="33"/>
    </row>
    <row>
      <c r="B23" s="27" t="s">
        <v>7</v>
      </c>
      <c s="27"/>
    </row>
    <row>
      <c r="B24" s="4" t="s">
        <v>47</v>
      </c>
      <c s="4" t="s">
        <v>29</v>
      </c>
      <c s="4" t="s">
        <v>15</v>
      </c>
      <c s="4" t="s">
        <v>72</v>
      </c>
      <c s="4"/>
      <c s="4"/>
      <c s="4" t="s">
        <v>82</v>
      </c>
    </row>
    <row>
      <c s="23" t="s">
        <v>51</v>
      </c>
      <c r="C25" s="43" t="s">
        <v>73</v>
      </c>
      <c s="24" t="s">
        <v>21</v>
      </c>
      <c s="21">
        <v>1234.5599999999999</v>
      </c>
      <c s="5" t="s">
        <v>64</v>
      </c>
      <c r="H25" s="23" t="s">
        <v>74</v>
      </c>
    </row>
    <row>
      <c s="23" t="s">
        <v>77</v>
      </c>
      <c r="C26" s="43" t="s">
        <v>73</v>
      </c>
      <c s="20" t="s">
        <v>21</v>
      </c>
      <c s="38">
        <v>1234.5599999999999</v>
      </c>
      <c s="5" t="s">
        <v>52</v>
      </c>
      <c r="H26" s="23" t="s">
        <v>83</v>
      </c>
    </row>
    <row>
      <c r="C27" s="43" t="s">
        <v>73</v>
      </c>
      <c s="24" t="s">
        <v>21</v>
      </c>
      <c s="21">
        <v>1234.5599999999999</v>
      </c>
      <c r="H27" s="23" t="s">
        <v>53</v>
      </c>
    </row>
    <row>
      <c r="C28" s="55" t="s">
        <v>48</v>
      </c>
      <c s="75" t="s">
        <v>2</v>
      </c>
      <c s="20">
        <v>1234.5599999999999</v>
      </c>
      <c r="H28" s="23" t="s">
        <v>30</v>
      </c>
    </row>
    <row>
      <c r="C29" s="55" t="s">
        <v>48</v>
      </c>
      <c s="75" t="s">
        <v>40</v>
      </c>
      <c s="20">
        <v>1234.5599999999999</v>
      </c>
      <c r="H29" s="23" t="s">
        <v>84</v>
      </c>
    </row>
    <row>
      <c r="C30" s="55" t="s">
        <v>48</v>
      </c>
      <c s="75" t="s">
        <v>20</v>
      </c>
      <c s="20">
        <v>1234.5599999999999</v>
      </c>
    </row>
    <row>
      <c r="C31" s="55" t="s">
        <v>8</v>
      </c>
      <c s="75" t="s">
        <v>11</v>
      </c>
      <c s="20">
        <v>1234.5599999999999</v>
      </c>
    </row>
    <row>
      <c r="C32" s="55" t="s">
        <v>8</v>
      </c>
      <c s="73" t="s">
        <v>56</v>
      </c>
      <c s="34">
        <v>1234.5599999999999</v>
      </c>
    </row>
    <row>
      <c r="C33" s="55" t="s">
        <v>36</v>
      </c>
      <c s="70" t="s">
        <v>21</v>
      </c>
      <c s="50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
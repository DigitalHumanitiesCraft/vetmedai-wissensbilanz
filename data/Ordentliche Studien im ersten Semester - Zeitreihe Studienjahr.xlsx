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0725" windowHeight="8370"/>
  </bookViews>
  <sheets>
    <sheet name="Tab" sheetId="1" r:id="rId1"/>
    <sheet name="XLCubedFormats" sheetId="2" state="hidden" r:id="rId2"/>
    <sheet name="Tabelle1" sheetId="3" state="hidden" r:id="rId3"/>
  </sheets>
  <definedNames>
    <definedName name="XL3DisableCameraObjects" hidden="1">XLCubedFormats!A1</definedName>
    <definedName name="XL3ObjLocation326979b1_7281_4dfa_bf52_03d90c942f46">Tabelle1!$A$1</definedName>
    <definedName name="XL3ObjLocation83659f47_d897_4b71_8fad_d4866abf20c0">Tab!$A$9</definedName>
  </definedNames>
  <calcPr calcId="40001"/>
</workbook>
</file>

<file path=xl/sharedStrings.xml><?xml version="1.0" encoding="utf-8"?>
<sst xmlns="http://schemas.openxmlformats.org/spreadsheetml/2006/main" uniqueCount="188">
  <si>
    <t>Ordentliche Studien im ersten Semester - Zeitreihe Studienjahr</t>
  </si>
  <si>
    <t>Universität</t>
  </si>
  <si>
    <t>Semester und Datenstichtag</t>
  </si>
  <si>
    <t>Frauen</t>
  </si>
  <si>
    <t>Sommersemester 2016 (Stichtag: 30.09.2016)</t>
  </si>
  <si>
    <t>Wintersemester 2016 (Stichtag: 28.02.2017)</t>
  </si>
  <si>
    <t>Wintersemester 2001 (Stichtag: 28.02.2002)</t>
  </si>
  <si>
    <t>Studienjahr 2004/05</t>
  </si>
  <si>
    <t>Studienjahr 2022/23</t>
  </si>
  <si>
    <t>Slicer Button Background</t>
  </si>
  <si>
    <t>Grid Title</t>
  </si>
  <si>
    <t>Oth Written Member</t>
  </si>
  <si>
    <t>Fill in Grid Name, Dimension or Both</t>
  </si>
  <si>
    <t xml:space="preserve">Ordentliche Studien </t>
  </si>
  <si>
    <t>[ALLG Wertart].[Wertart]</t>
  </si>
  <si>
    <t>Sommersemester 2001 (Stichtag: 30.09.2001)</t>
  </si>
  <si>
    <t>2008/09</t>
  </si>
  <si>
    <t>Staatengruppe (Ö, EU, andere)</t>
  </si>
  <si>
    <t>(Members of Studienfach (Fachcode)) - (Erweiterungsstudium, Zweitfach)</t>
  </si>
  <si>
    <t>Absolutwert</t>
  </si>
  <si>
    <t>Sommersemester 2024 (Stichtag: 30.09.2024)</t>
  </si>
  <si>
    <t>All Marital Status</t>
  </si>
  <si>
    <t>Male</t>
  </si>
  <si>
    <t>Member1 Name</t>
  </si>
  <si>
    <t>2019/20</t>
  </si>
  <si>
    <t>2021/22</t>
  </si>
  <si>
    <t>ALLG Semester.Studienjahr (Kurzbezeichnung)</t>
  </si>
  <si>
    <t>Studienjahr 2016/17</t>
  </si>
  <si>
    <t>Wintersemester 2024 (Stichtag: 28.02.2025)</t>
  </si>
  <si>
    <t>Studien Universitäten</t>
  </si>
  <si>
    <t>ord. Studium</t>
  </si>
  <si>
    <t>Begonnene Studien</t>
  </si>
  <si>
    <t>Sommersemester 2018 (Stichtag: 30.09.2018)</t>
  </si>
  <si>
    <t>Wintersemester 2018 (Stichtag: 28.02.2019)</t>
  </si>
  <si>
    <t>Sommersemester 2003 (Stichtag: 30.09.2003)</t>
  </si>
  <si>
    <t>Wintersemester 2003 (Stichtag: 28.02.2004)</t>
  </si>
  <si>
    <t>Studienjahr 2009/10</t>
  </si>
  <si>
    <t>Studienjahr 2011/12</t>
  </si>
  <si>
    <t>&lt;-- default Column Member Format</t>
  </si>
  <si>
    <t>2003/04</t>
  </si>
  <si>
    <t>2015/16</t>
  </si>
  <si>
    <t>Gesamt</t>
  </si>
  <si>
    <t>Studienjahr 2005/06</t>
  </si>
  <si>
    <t>Studienjahr 2023/24</t>
  </si>
  <si>
    <t>Wintersemester 2011 (Stichtag: 28.02.2012)</t>
  </si>
  <si>
    <t>Alternate Rows</t>
  </si>
  <si>
    <t>&lt;--  writeable cell format</t>
  </si>
  <si>
    <t>Sommersemester 2011 (Stichtag: 30.09.2011)</t>
  </si>
  <si>
    <t>2010/11</t>
  </si>
  <si>
    <t xml:space="preserve"> </t>
  </si>
  <si>
    <t>Sommersemester 2005 (Stichtag: 30.09.2005)</t>
  </si>
  <si>
    <t>Studienjahr 2000/01</t>
  </si>
  <si>
    <t>Studienjahr 2017/18</t>
  </si>
  <si>
    <t>Wintersemester 2005 (Stichtag: 28.02.2006)</t>
  </si>
  <si>
    <t>Slicer Title</t>
  </si>
  <si>
    <t>Calendar Period</t>
  </si>
  <si>
    <t>&lt;-- default cell format</t>
  </si>
  <si>
    <t>Written Member</t>
  </si>
  <si>
    <t>Dimension/Column</t>
  </si>
  <si>
    <t>4) Prozentangaben werden standardmäßig mit einer Kommastelle angezeigt</t>
  </si>
  <si>
    <t>2022/23</t>
  </si>
  <si>
    <t>Wertart</t>
  </si>
  <si>
    <t>Männer</t>
  </si>
  <si>
    <t>Wintersemester 2013 (Stichtag: 28.02.2014)</t>
  </si>
  <si>
    <t>Studienjahr 2012/13</t>
  </si>
  <si>
    <t>Slice Name (Optional)</t>
  </si>
  <si>
    <t>2004/05</t>
  </si>
  <si>
    <t>2016/17</t>
  </si>
  <si>
    <t>Sommersemester 2013 (Stichtag: 30.09.2013)</t>
  </si>
  <si>
    <t>Measures</t>
  </si>
  <si>
    <t>Wintersemester 2021 (Stichtag: 28.02.2022)</t>
  </si>
  <si>
    <t>Studienjahr 2006/07</t>
  </si>
  <si>
    <t>Wintersemester 2007 (Stichtag: 28.02.2008)</t>
  </si>
  <si>
    <t>Studienjahr 2024/25</t>
  </si>
  <si>
    <t>Sommersemester 2021 (Stichtag: 30.09.2021)</t>
  </si>
  <si>
    <t>Wintersemester 2009 (Stichtag: 28.02.2010)</t>
  </si>
  <si>
    <t>2011/12</t>
  </si>
  <si>
    <t>Sommersemester 2007 (Stichtag: 30.09.2007)</t>
  </si>
  <si>
    <t>Wintersemester 2000 (Stichtag: 28.02.2001)</t>
  </si>
  <si>
    <t>Sommersemester 2015 (Stichtag: 30.09.2015)</t>
  </si>
  <si>
    <t>Sommersemester 2025 (Stichtag: 20.06.2025)</t>
  </si>
  <si>
    <t>Studienjahr 2001/02</t>
  </si>
  <si>
    <t>Wintersemester 2015 (Stichtag: 28.02.2016)</t>
  </si>
  <si>
    <t>Studienjahr 2018/19</t>
  </si>
  <si>
    <t>Customer</t>
  </si>
  <si>
    <t>-All Customer</t>
  </si>
  <si>
    <t>Default Alternate Row Member Format --&gt;</t>
  </si>
  <si>
    <t>2009/10</t>
  </si>
  <si>
    <t>2023/24</t>
  </si>
  <si>
    <t>ALLG Semester.Studienjahr (Langbezeichnung)</t>
  </si>
  <si>
    <t>Bundesland Universität</t>
  </si>
  <si>
    <t>Studientyp</t>
  </si>
  <si>
    <t>Sommersemester 2009 (Stichtag: 30.09.2009)</t>
  </si>
  <si>
    <t>Studienjahr 2013/14</t>
  </si>
  <si>
    <t>Slicer Item</t>
  </si>
  <si>
    <t>&lt;-- default Slicer Member Format</t>
  </si>
  <si>
    <t>Default Row Member Format --&gt;</t>
  </si>
  <si>
    <t>Grid/Table Name</t>
  </si>
  <si>
    <t>[Measures]</t>
  </si>
  <si>
    <t>Wintersemester 2023 (Stichtag: 28.02.2024)</t>
  </si>
  <si>
    <t>2005/06</t>
  </si>
  <si>
    <t>2017/18</t>
  </si>
  <si>
    <t>Sommersemester 2023 (Stichtag: 30.09.2023)</t>
  </si>
  <si>
    <t>(Members of Universität (Codex)) - (!, ?, ~, Unknown, FA, FB, FC, FD, FE, FI, FJ, FK, FL, FM, FN, FO, FP, FQ, FR, FS, FT, FU, FV, FW, FZ, PA, PB, PC, PE, PF, PG, PH, PI, PJ, PK, PL, PM, PN, PO, PP, PQ, PT, PU, RA, RB, RC, RD, RE, RF, RG, RH, RJ, RK, RL, RM, RN, RP, RS, RT, RU, RV, RX, UP)</t>
  </si>
  <si>
    <t>ISCED2013 3.Ebene (Code, Langtext)</t>
  </si>
  <si>
    <t>(Members of Universität (Codex)) - (~)</t>
  </si>
  <si>
    <t>Wintersemester 2002 (Stichtag: 28.02.2003)</t>
  </si>
  <si>
    <t>Sommersemester 2017 (Stichtag: 30.09.2017)</t>
  </si>
  <si>
    <t>Wintersemester 2017 (Stichtag: 28.02.2018)</t>
  </si>
  <si>
    <t>Sommersemester 2002 (Stichtag: 30.09.2002)</t>
  </si>
  <si>
    <t>Wintersemester 2019 (Stichtag: 28.02.2020)</t>
  </si>
  <si>
    <t>Studienjahr 2007/08</t>
  </si>
  <si>
    <t>&lt;-- writeable Slicer Member Format</t>
  </si>
  <si>
    <t>Slice Format 1</t>
  </si>
  <si>
    <t>&lt;-- Gesamtzeile</t>
  </si>
  <si>
    <t>3) Formatierung der Gesamtspalte und -zeile (siehe E25:E26)</t>
  </si>
  <si>
    <t>2000/01</t>
  </si>
  <si>
    <t>2012/13</t>
  </si>
  <si>
    <t>(ohne Erweiterungsstudien; bei kombinationspflichtigen Studien bis STJ 2015/16 nur Erstfach gezählt)</t>
  </si>
  <si>
    <t>Studienfach (Fachcode)</t>
  </si>
  <si>
    <t>Frauen-/Männeranteil in %</t>
  </si>
  <si>
    <t>Sommersemester 2010 (Stichtag: 30.09.2010)</t>
  </si>
  <si>
    <t>Studienjahr 2002/03</t>
  </si>
  <si>
    <t>Studienjahr 2020/21</t>
  </si>
  <si>
    <t>Wintersemester 2010 (Stichtag: 28.02.2011)</t>
  </si>
  <si>
    <t>Slicer Button</t>
  </si>
  <si>
    <t>+2009</t>
  </si>
  <si>
    <t>&lt;-- default alternate row cell format</t>
  </si>
  <si>
    <t>&lt;--  written cell format</t>
  </si>
  <si>
    <t>2024/25</t>
  </si>
  <si>
    <t>Studienart</t>
  </si>
  <si>
    <t>Wintersemester 2004 (Stichtag: 28.02.2005)</t>
  </si>
  <si>
    <t>Sommersemester 2004 (Stichtag: 30.09.2004)</t>
  </si>
  <si>
    <t>Sommersemester 2019 (Stichtag: 30.09.2019)</t>
  </si>
  <si>
    <t>Studienjahr 2014/15</t>
  </si>
  <si>
    <t>Display Formats For:</t>
  </si>
  <si>
    <t>Enabled?</t>
  </si>
  <si>
    <t>&lt;-- Gesamtspalte</t>
  </si>
  <si>
    <t>2006/07</t>
  </si>
  <si>
    <t>2018/19</t>
  </si>
  <si>
    <t>Datenprüfung und -aufbereitung: bmfwf, Abt. I/10</t>
  </si>
  <si>
    <t>Universität-Ausrichtung</t>
  </si>
  <si>
    <t>Wintersemester 2012 (Stichtag: 28.02.2013)</t>
  </si>
  <si>
    <t>Studienjahr 2008/09</t>
  </si>
  <si>
    <t>Sommersemester 2012 (Stichtag: 30.09.2012)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</si>
  <si>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</si>
  <si>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</si>
  <si>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</si>
  <si>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</si>
  <si>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</si>
  <si>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1) Spaltenüberschrift mittels Menüpunkt Daten/Gruppieren/Gruppieren ausblenden</t>
  </si>
  <si>
    <t>[SU Studierende].[Geschlecht]</t>
  </si>
  <si>
    <t>2001/02</t>
  </si>
  <si>
    <t>2013/14</t>
  </si>
  <si>
    <t>Universität (Codex)</t>
  </si>
  <si>
    <t>Sommersemester 2006 (Stichtag: 30.09.2006)</t>
  </si>
  <si>
    <t>Wintersemester 2020 (Stichtag: 28.02.2021)</t>
  </si>
  <si>
    <t>Wintersemester 2006 (Stichtag: 28.02.2007)</t>
  </si>
  <si>
    <t>Studienjahr 2003/04</t>
  </si>
  <si>
    <t>Studienjahr 2019/20</t>
  </si>
  <si>
    <t>Studienjahr 2021/22</t>
  </si>
  <si>
    <t>Sommersemester 2020 (Stichtag: 30.09.2020)</t>
  </si>
  <si>
    <t>Marital Status</t>
  </si>
  <si>
    <t>Default Writeable Member Format --&gt;</t>
  </si>
  <si>
    <t>Slice Format 2</t>
  </si>
  <si>
    <t xml:space="preserve">Studien von Erstzugelassenen </t>
  </si>
  <si>
    <t>2007/08</t>
  </si>
  <si>
    <t>Quelle: Datenmeldungen der Universitäten auf Basis UHSBV zum jeweiligen Stichtag</t>
  </si>
  <si>
    <t>Sommersemester 2014 (Stichtag: 30.09.2014)</t>
  </si>
  <si>
    <t>Wintersemester 2014 (Stichtag: 28.02.2015)</t>
  </si>
  <si>
    <t>Studienjahr 2015/16</t>
  </si>
  <si>
    <t>Writeable Member</t>
  </si>
  <si>
    <t>2020/21</t>
  </si>
  <si>
    <t>Hinweis: Aufgrund der semesterweisen Einspielung von vorläufigen und endgültigen Daten kann im aktuellsten Studienjahr nur der Datenstand des (vorläufigen) Wintersemesters bzw. des endgültigen Wintersemesters und des vorläufigen Sommersemesters verfügbar sein.</t>
  </si>
  <si>
    <t>Geschlecht</t>
  </si>
  <si>
    <t>Sommersemester 2008 (Stichtag: 30.09.2008)</t>
  </si>
  <si>
    <t>Wintersemester 2022 (Stichtag: 28.02.2023)</t>
  </si>
  <si>
    <t>Studienjahr 2010/11</t>
  </si>
  <si>
    <t>Slicer Button Selected</t>
  </si>
  <si>
    <t>&lt;--  summary written cell</t>
  </si>
  <si>
    <t>Formatierungsrichtlinien</t>
  </si>
  <si>
    <t>2) Wenn möglich die nicht hierarchische Darstellung eines Slicers wählen (Slicer Type)</t>
  </si>
  <si>
    <t>5) Formatierung von Zahlen prüfen (Ganzzahl oder Zahl mit einer Kommastelle)</t>
  </si>
  <si>
    <t>Sommersemester 2022 (Stichtag: 30.09.2022)</t>
  </si>
  <si>
    <t>Wintersemester 2008 (Stichtag: 28.02.2009)</t>
  </si>
  <si>
    <t>2002/03</t>
  </si>
  <si>
    <t>2014/15</t>
  </si>
  <si>
    <t>Anmerkung: Ab dem WS 2016 erfolgt die zähltechnische Abbildung der Studien auf Basis des Verteilungsschlüssels gemäß § 22 Abs. 2 und Abs. 5 bis 7 UHSBV.</t>
  </si>
</sst>
</file>

<file path=xl/styles.xml><?xml version="1.0" encoding="utf-8"?>
<styleSheet xmlns="http://schemas.openxmlformats.org/spreadsheetml/2006/main">
  <numFmts count="2">
    <numFmt numFmtId="164" formatCode="0.0%"/>
    <numFmt numFmtId="165" formatCode=";;;"/>
  </numFmts>
  <fonts count="3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sz val="10"/>
      <color rgb="FF595959"/>
      <name val="Tahoma"/>
      <family val="2"/>
    </font>
    <font>
      <sz val="10"/>
      <color rgb="FF000000"/>
      <name val="Tahoma"/>
      <family val="2"/>
    </font>
    <font>
      <b/>
      <sz val="10"/>
      <name val="Tahoma"/>
      <family val="2"/>
    </font>
    <font>
      <b/>
      <sz val="8"/>
      <color indexed="23"/>
      <name val="Tahoma"/>
      <family val="2"/>
    </font>
    <font>
      <sz val="9"/>
      <name val="Tahoma"/>
      <family val="2"/>
    </font>
    <font>
      <sz val="11"/>
      <color rgb="FF000000"/>
      <name val="Tahoma"/>
      <family val="2"/>
    </font>
    <font>
      <b/>
      <sz val="11"/>
      <color rgb="FF000000"/>
      <name val="Tahoma"/>
      <family val="2"/>
    </font>
    <font>
      <sz val="10"/>
      <name val="Tahoma"/>
      <family val="2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color theme="1" tint="0.14996795556505021"/>
      <name val="Tahoma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sz val="10"/>
      <color theme="1" tint="0.34998626667073579"/>
      <name val="+mn-lt"/>
      <family val="2"/>
    </font>
    <font>
      <sz val="9"/>
      <color theme="1" tint="0.34998626667073579"/>
      <name val="+mn-lt"/>
      <family val="2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6"/>
      <color theme="1" tint="0.34998626667073579"/>
      <name val="+mn-lt"/>
      <family val="2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rgb="FFC0C0C0"/>
        <bgColor rgb="FFFFFFFF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rgb="FFC0C0C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7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thin">
        <color indexed="23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</borders>
  <cellStyleXfs count="2">
    <xf numFmtId="0" fontId="0" fillId="0" borderId="0"/>
    <xf numFmtId="0" fontId="1" fillId="0" borderId="0"/>
  </cellStyleXfs>
  <cellXfs count="71">
    <xf numFmtId="0" fontId="0" fillId="0" borderId="0" xfId="0"/>
    <xf numFmtId="0" fontId="2" fillId="0" borderId="0" xfId="0" applyFont="1" applyFill="1" applyBorder="1"/>
    <xf numFmtId="0" fontId="3" fillId="0" borderId="1" xfId="0" quotePrefix="1" applyFont="1" applyFill="1" applyBorder="1" applyAlignment="1" applyProtection="1">
      <alignment horizontal="center"/>
    </xf>
    <xf numFmtId="3" fontId="4" fillId="0" borderId="0" xfId="0" applyNumberFormat="1" applyFont="1" applyFill="1" applyBorder="1"/>
    <xf numFmtId="0" fontId="3" fillId="0" borderId="1" xfId="0" applyFont="1" applyFill="1" applyBorder="1" applyAlignment="1" applyProtection="1">
      <alignment horizontal="right"/>
    </xf>
    <xf numFmtId="0" fontId="5" fillId="2" borderId="2" xfId="0" quotePrefix="1" applyFont="1" applyFill="1" applyBorder="1" applyAlignment="1" applyProtection="1"/>
    <xf numFmtId="0" fontId="6" fillId="0" borderId="0" xfId="0" quotePrefix="1" applyFont="1" applyFill="1" applyAlignment="1">
      <alignment horizontal="left" vertical="top" wrapText="1"/>
    </xf>
    <xf numFmtId="0" fontId="7" fillId="0" borderId="0" xfId="0" applyFont="1"/>
    <xf numFmtId="0" fontId="0" fillId="0" borderId="0" xfId="0" applyFill="1" applyAlignment="1"/>
    <xf numFmtId="0" fontId="8" fillId="0" borderId="0" xfId="0" applyFont="1"/>
    <xf numFmtId="0" fontId="9" fillId="3" borderId="0" xfId="1" applyFont="1" applyFill="1" applyBorder="1" applyAlignment="1">
      <alignment horizontal="center"/>
    </xf>
    <xf numFmtId="0" fontId="6" fillId="0" borderId="0" xfId="0" applyFont="1" applyFill="1" applyAlignment="1"/>
    <xf numFmtId="0" fontId="10" fillId="0" borderId="0" xfId="0" applyFont="1" applyFill="1" applyAlignment="1">
      <alignment vertical="center"/>
    </xf>
    <xf numFmtId="0" fontId="11" fillId="0" borderId="0" xfId="0" applyFont="1" applyFill="1" applyAlignment="1">
      <alignment vertical="top"/>
    </xf>
    <xf numFmtId="164" fontId="3" fillId="4" borderId="1" xfId="0" applyNumberFormat="1" applyFont="1" applyFill="1" applyBorder="1" applyAlignment="1" applyProtection="1">
      <alignment horizontal="right"/>
    </xf>
    <xf numFmtId="0" fontId="6" fillId="0" borderId="0" xfId="0" applyFont="1" applyFill="1" applyAlignment="1">
      <alignment horizontal="left" vertical="top"/>
    </xf>
    <xf numFmtId="3" fontId="3" fillId="0" borderId="1" xfId="0" applyNumberFormat="1" applyFont="1" applyFill="1" applyBorder="1" applyAlignment="1" applyProtection="1">
      <alignment horizontal="right"/>
    </xf>
    <xf numFmtId="0" fontId="6" fillId="0" borderId="0" xfId="0" applyFont="1" applyFill="1" applyAlignment="1">
      <alignment vertical="top"/>
    </xf>
    <xf numFmtId="164" fontId="3" fillId="4" borderId="1" xfId="0" quotePrefix="1" applyNumberFormat="1" applyFont="1" applyFill="1" applyBorder="1" applyAlignment="1" applyProtection="1">
      <alignment horizontal="center"/>
    </xf>
    <xf numFmtId="0" fontId="12" fillId="0" borderId="0" xfId="0" applyNumberFormat="1" applyFont="1" applyAlignment="1"/>
    <xf numFmtId="0" fontId="13" fillId="0" borderId="0" xfId="1" applyFont="1"/>
    <xf numFmtId="0" fontId="14" fillId="5" borderId="0" xfId="0" applyFont="1" applyFill="1" applyAlignment="1"/>
    <xf numFmtId="0" fontId="15" fillId="0" borderId="0" xfId="0" applyFont="1"/>
    <xf numFmtId="0" fontId="3" fillId="0" borderId="1" xfId="0" quotePrefix="1" applyFont="1" applyBorder="1" applyAlignment="1" applyProtection="1"/>
    <xf numFmtId="0" fontId="3" fillId="0" borderId="1" xfId="0" applyFont="1" applyFill="1" applyBorder="1" applyAlignment="1" applyProtection="1">
      <alignment vertical="center"/>
    </xf>
    <xf numFmtId="0" fontId="3" fillId="0" borderId="3" xfId="0" applyFont="1" applyBorder="1" applyAlignment="1" applyProtection="1">
      <alignment horizontal="right"/>
    </xf>
    <xf numFmtId="0" fontId="16" fillId="0" borderId="0" xfId="0" applyFont="1"/>
    <xf numFmtId="0" fontId="12" fillId="0" borderId="0" xfId="0" applyFont="1"/>
    <xf numFmtId="0" fontId="8" fillId="0" borderId="0" xfId="0" applyFont="1" applyAlignment="1">
      <alignment horizontal="right"/>
    </xf>
    <xf numFmtId="0" fontId="3" fillId="0" borderId="3" xfId="0" applyFont="1" applyBorder="1" applyAlignment="1" applyProtection="1">
      <alignment horizontal="center"/>
    </xf>
    <xf numFmtId="3" fontId="3" fillId="6" borderId="1" xfId="0" applyNumberFormat="1" applyFont="1" applyFill="1" applyBorder="1" applyAlignment="1" applyProtection="1">
      <alignment horizontal="right"/>
    </xf>
    <xf numFmtId="0" fontId="13" fillId="5" borderId="0" xfId="1" applyFont="1" applyFill="1"/>
    <xf numFmtId="0" fontId="3" fillId="6" borderId="1" xfId="0" applyFont="1" applyFill="1" applyBorder="1" applyAlignment="1" applyProtection="1">
      <alignment horizontal="right"/>
    </xf>
    <xf numFmtId="0" fontId="6" fillId="0" borderId="0" xfId="0" quotePrefix="1" applyFont="1" applyFill="1" applyAlignment="1"/>
    <xf numFmtId="0" fontId="12" fillId="0" borderId="0" xfId="0" applyFont="1" applyAlignment="1">
      <alignment horizontal="center"/>
    </xf>
    <xf numFmtId="0" fontId="17" fillId="0" borderId="0" xfId="0" applyFont="1"/>
    <xf numFmtId="164" fontId="3" fillId="7" borderId="3" xfId="0" applyNumberFormat="1" applyFont="1" applyFill="1" applyBorder="1" applyAlignment="1" applyProtection="1">
      <alignment horizontal="right"/>
    </xf>
    <xf numFmtId="0" fontId="9" fillId="3" borderId="4" xfId="1" applyFont="1" applyFill="1" applyBorder="1" applyAlignment="1">
      <alignment horizontal="center"/>
    </xf>
    <xf numFmtId="0" fontId="16" fillId="0" borderId="5" xfId="0" quotePrefix="1" applyFont="1" applyFill="1" applyBorder="1" applyAlignment="1"/>
    <xf numFmtId="0" fontId="12" fillId="0" borderId="0" xfId="0" applyNumberFormat="1" applyFont="1" applyFill="1" applyBorder="1" applyAlignment="1"/>
    <xf numFmtId="0" fontId="16" fillId="0" borderId="5" xfId="0" quotePrefix="1" applyFont="1" applyFill="1" applyBorder="1" applyAlignment="1">
      <alignment horizontal="right"/>
    </xf>
    <xf numFmtId="3" fontId="12" fillId="8" borderId="0" xfId="0" applyNumberFormat="1" applyFont="1" applyFill="1" applyAlignment="1"/>
    <xf numFmtId="3" fontId="7" fillId="0" borderId="0" xfId="0" applyNumberFormat="1" applyFont="1" applyFill="1" applyAlignment="1"/>
    <xf numFmtId="0" fontId="3" fillId="9" borderId="6" xfId="0" applyFont="1" applyFill="1" applyBorder="1" applyAlignment="1" applyProtection="1">
      <alignment horizontal="right"/>
    </xf>
    <xf numFmtId="0" fontId="17" fillId="0" borderId="0" xfId="0" applyFont="1" applyFill="1" applyAlignment="1"/>
    <xf numFmtId="0" fontId="3" fillId="0" borderId="1" xfId="0" quotePrefix="1" applyFont="1" applyFill="1" applyBorder="1" applyAlignment="1" applyProtection="1">
      <alignment vertical="center"/>
    </xf>
    <xf numFmtId="164" fontId="3" fillId="7" borderId="3" xfId="0" applyNumberFormat="1" applyFont="1" applyFill="1" applyBorder="1" applyAlignment="1" applyProtection="1">
      <alignment horizontal="center"/>
    </xf>
    <xf numFmtId="165" fontId="12" fillId="0" borderId="0" xfId="0" applyNumberFormat="1" applyFont="1"/>
    <xf numFmtId="2" fontId="12" fillId="0" borderId="0" xfId="0" applyNumberFormat="1" applyFont="1"/>
    <xf numFmtId="0" fontId="8" fillId="0" borderId="0" xfId="0" applyFont="1" applyAlignment="1">
      <alignment horizontal="center"/>
    </xf>
    <xf numFmtId="0" fontId="6" fillId="0" borderId="0" xfId="0" applyFont="1" applyFill="1" applyAlignment="1">
      <alignment horizontal="left" vertical="top" wrapText="1"/>
    </xf>
    <xf numFmtId="0" fontId="3" fillId="9" borderId="1" xfId="0" applyFont="1" applyFill="1" applyBorder="1" applyAlignment="1" applyProtection="1">
      <alignment horizontal="right"/>
    </xf>
    <xf numFmtId="0" fontId="0" fillId="0" borderId="0" xfId="0" applyFont="1"/>
    <xf numFmtId="0" fontId="18" fillId="0" borderId="0" xfId="0" applyFont="1" applyFill="1" applyAlignment="1"/>
    <xf numFmtId="0" fontId="12" fillId="0" borderId="0" xfId="0" quotePrefix="1" applyFont="1"/>
    <xf numFmtId="0" fontId="19" fillId="0" borderId="0" xfId="0" applyFont="1"/>
    <xf numFmtId="0" fontId="20" fillId="0" borderId="0" xfId="0" applyFont="1"/>
    <xf numFmtId="0" fontId="16" fillId="0" borderId="5" xfId="0" applyFont="1" applyFill="1" applyBorder="1" applyAlignment="1">
      <alignment vertical="center"/>
    </xf>
    <xf numFmtId="0" fontId="6" fillId="0" borderId="0" xfId="0" quotePrefix="1" applyFont="1" applyFill="1" applyAlignment="1">
      <alignment vertical="top"/>
    </xf>
    <xf numFmtId="0" fontId="0" fillId="0" borderId="0" xfId="0" applyFont="1" applyFill="1" applyAlignment="1"/>
    <xf numFmtId="3" fontId="12" fillId="10" borderId="0" xfId="0" applyNumberFormat="1" applyFont="1" applyFill="1" applyAlignment="1"/>
    <xf numFmtId="0" fontId="12" fillId="0" borderId="0" xfId="0" applyNumberFormat="1" applyFont="1"/>
    <xf numFmtId="0" fontId="12" fillId="8" borderId="0" xfId="0" applyFont="1" applyFill="1"/>
    <xf numFmtId="0" fontId="12" fillId="0" borderId="0" xfId="0" applyFont="1" applyFill="1" applyBorder="1" applyAlignment="1">
      <alignment vertical="center"/>
    </xf>
    <xf numFmtId="0" fontId="12" fillId="8" borderId="0" xfId="0" applyNumberFormat="1" applyFont="1" applyFill="1" applyAlignment="1"/>
    <xf numFmtId="3" fontId="12" fillId="0" borderId="0" xfId="0" applyNumberFormat="1" applyFont="1" applyAlignment="1"/>
    <xf numFmtId="0" fontId="12" fillId="0" borderId="0" xfId="0" quotePrefix="1" applyFont="1" applyFill="1"/>
    <xf numFmtId="0" fontId="13" fillId="8" borderId="0" xfId="1" applyFont="1" applyFill="1"/>
    <xf numFmtId="3" fontId="16" fillId="0" borderId="5" xfId="0" applyNumberFormat="1" applyFont="1" applyFill="1" applyBorder="1" applyAlignment="1"/>
    <xf numFmtId="0" fontId="7" fillId="0" borderId="0" xfId="0" applyFont="1" applyFill="1" applyBorder="1" applyAlignment="1">
      <alignment vertical="center"/>
    </xf>
    <xf numFmtId="3" fontId="12" fillId="11" borderId="0" xfId="0" applyNumberFormat="1" applyFont="1" applyFill="1" applyAlignme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4" Type="http://schemas.openxmlformats.org/officeDocument/2006/relationships/theme" Target="theme/theme1.xml" /><Relationship Id="rId5" Type="http://schemas.openxmlformats.org/officeDocument/2006/relationships/styles" Target="styles.xml" /><Relationship Id="rId6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strRef>
          <c:f>Tab!$A$2</c:f>
          <c:strCache/>
        </c:strRef>
      </c:tx>
      <c:overlay val="0"/>
      <c:spPr>
        <a:noFill/>
        <a:ln>
          <a:noFill/>
        </a:ln>
      </c:spPr>
      <c:txPr>
        <a:bodyPr/>
        <a:lstStyle/>
        <a:p>
          <a:pPr>
            <a:defRPr sz="1600" b="0"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 sz="1600" b="0"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title>
    <c:plotArea>
      <c:lineChart>
        <c:grouping val="standard"/>
        <c:varyColors val="0"/>
        <c:ser>
          <c:idx val="0"/>
          <c:order val="0"/>
          <c:tx>
            <c:strRef>
              <c:f>Tabelle1!$B$15</c:f>
              <c:strCache/>
            </c:strRef>
          </c:tx>
          <c:spPr>
            <a:ln cap="rnd">
              <a:solidFill>
                <a:srgbClr val="DD2327"/>
              </a:solidFill>
            </a:ln>
          </c:spPr>
          <c:marker>
            <c:symbol val="circle"/>
            <c:size val="5"/>
            <c:spPr>
              <a:solidFill>
                <a:srgbClr val="DD2327"/>
              </a:solidFill>
              <a:ln>
                <a:solidFill>
                  <a:srgbClr val="DD2327"/>
                </a:solidFill>
              </a:ln>
            </c:spPr>
          </c:marker>
          <c:cat>
            <c:strRef>
              <c:f>Tabelle1!$A$17:$A$31</c:f>
              <c:strCache/>
            </c:strRef>
          </c:cat>
          <c:val>
            <c:numRef>
              <c:f>Tabelle1!$B$17:$B$31</c:f>
              <c:numCache/>
            </c:numRef>
          </c:val>
          <c:smooth val="0"/>
        </c:ser>
        <c:ser>
          <c:idx val="1"/>
          <c:order val="1"/>
          <c:tx>
            <c:strRef>
              <c:f>Tabelle1!$C$15</c:f>
              <c:strCache/>
            </c:strRef>
          </c:tx>
          <c:spPr>
            <a:ln cap="rnd">
              <a:solidFill>
                <a:srgbClr val="1B39BB"/>
              </a:solidFill>
            </a:ln>
          </c:spPr>
          <c:marker>
            <c:symbol val="circle"/>
            <c:size val="5"/>
            <c:spPr>
              <a:solidFill>
                <a:srgbClr val="1B39BB"/>
              </a:solidFill>
              <a:ln>
                <a:solidFill>
                  <a:srgbClr val="1B39BB"/>
                </a:solidFill>
              </a:ln>
            </c:spPr>
          </c:marker>
          <c:cat>
            <c:strRef>
              <c:f>Tabelle1!$A$17:$A$31</c:f>
              <c:strCache/>
            </c:strRef>
          </c:cat>
          <c:val>
            <c:numRef>
              <c:f>Tabelle1!$C$17:$C$31</c:f>
              <c:numCache/>
            </c:numRef>
          </c:val>
          <c:smooth val="0"/>
        </c:ser>
        <c:ser>
          <c:idx val="2"/>
          <c:order val="2"/>
          <c:tx>
            <c:strRef>
              <c:f>Tabelle1!$D$15</c:f>
              <c:strCache/>
            </c:strRef>
          </c:tx>
          <c:spPr>
            <a:ln cap="rnd">
              <a:solidFill>
                <a:schemeClr val="dk1">
                  <a:lumMod val="50000"/>
                  <a:lumOff val="50000"/>
                </a:schemeClr>
              </a:solidFill>
            </a:ln>
          </c:spPr>
          <c:marker>
            <c:symbol val="circle"/>
            <c:size val="5"/>
            <c:spPr>
              <a:solidFill>
                <a:schemeClr val="dk1">
                  <a:lumMod val="50000"/>
                  <a:lumOff val="50000"/>
                </a:schemeClr>
              </a:solidFill>
              <a:ln>
                <a:solidFill>
                  <a:schemeClr val="dk1">
                    <a:lumMod val="50000"/>
                    <a:lumOff val="50000"/>
                  </a:schemeClr>
                </a:solidFill>
              </a:ln>
            </c:spPr>
          </c:marker>
          <c:cat>
            <c:strRef>
              <c:f>Tabelle1!$A$17:$A$31</c:f>
              <c:strCache/>
            </c:strRef>
          </c:cat>
          <c:val>
            <c:numRef>
              <c:f>Tabelle1!$D$17:$D$31</c:f>
              <c:numCache/>
            </c:numRef>
          </c:val>
          <c:smooth val="0"/>
        </c:ser>
        <c:marker val="1"/>
        <c:smooth val="0"/>
        <c:axId val="0"/>
        <c:axId val="1"/>
      </c:lineChart>
      <c:catAx>
        <c:axId val="0"/>
        <c:scaling>
          <c:orientation val="maxMin"/>
        </c:scaling>
        <c:delete val="0"/>
        <c:axPos val="b"/>
        <c:majorTickMark val="none"/>
        <c:minorTickMark val="none"/>
        <c:tickLblPos val="nextTo"/>
        <c:spPr>
          <a:ln>
            <a:solidFill>
              <a:schemeClr val="dk1">
                <a:lumMod val="15000"/>
                <a:lumOff val="85000"/>
              </a:schemeClr>
            </a:solidFill>
          </a:ln>
        </c:spPr>
        <c:txPr>
          <a:bodyPr rot="-5400000" vert="horz"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1"/>
        <c:crosses val="autoZero"/>
        <c:auto val="1"/>
        <c:lblAlgn val="ctr"/>
        <c:lblOffset val="100"/>
      </c:catAx>
      <c:valAx>
        <c:axId val="1"/>
        <c:scaling>
          <c:orientation val="minMax"/>
        </c:scaling>
        <c:delete val="0"/>
        <c:axPos val="l"/>
        <c:majorGridlines>
          <c:spPr>
            <a:ln>
              <a:solidFill>
                <a:schemeClr val="dk1">
                  <a:lumMod val="15000"/>
                  <a:lumOff val="85000"/>
                </a:schemeClr>
              </a:solidFill>
            </a:ln>
          </c:spPr>
        </c:majorGridlines>
        <c:title>
          <c:tx>
            <c:strRef>
              <c:f>Tab!$C$21</c:f>
              <c:strCache/>
            </c:strRef>
          </c:tx>
          <c:overlay val="0"/>
          <c:spPr>
            <a:noFill/>
            <a:ln>
              <a:noFill/>
            </a:ln>
          </c:spPr>
          <c:txPr>
            <a:bodyPr/>
            <a:lstStyle/>
            <a:p>
              <a:pPr>
                <a:defRPr sz="1000" b="0">
                  <a:solidFill>
                    <a:schemeClr val="dk1">
                      <a:lumMod val="65001"/>
                      <a:lumOff val="34999"/>
                    </a:schemeClr>
                  </a:solidFill>
                  <a:latin typeface="+mn-lt"/>
                </a:defRPr>
              </a:pPr>
              <a:endParaRPr sz="1000" b="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endParaRPr>
            </a:p>
          </c:txPr>
        </c:title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>
              <a:defRPr sz="900">
                <a:solidFill>
                  <a:schemeClr val="dk1">
                    <a:lumMod val="65001"/>
                    <a:lumOff val="34999"/>
                  </a:schemeClr>
                </a:solidFill>
                <a:latin typeface="+mn-lt"/>
              </a:defRPr>
            </a:pPr>
            <a:endParaRPr sz="900">
              <a:solidFill>
                <a:schemeClr val="dk1">
                  <a:lumMod val="65001"/>
                  <a:lumOff val="34999"/>
                </a:schemeClr>
              </a:solidFill>
              <a:latin typeface="+mn-lt"/>
            </a:endParaRPr>
          </a:p>
        </c:txPr>
        <c:crossAx val="0"/>
        <c:crosses val="max"/>
        <c:crossBetween val="between"/>
      </c:val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/>
        <a:lstStyle/>
        <a:p>
          <a:pPr>
            <a:defRPr>
              <a:solidFill>
                <a:schemeClr val="dk1">
                  <a:lumMod val="65001"/>
                  <a:lumOff val="34999"/>
                </a:schemeClr>
              </a:solidFill>
              <a:latin typeface="+mn-lt"/>
            </a:defRPr>
          </a:pPr>
          <a:endParaRPr>
            <a:solidFill>
              <a:schemeClr val="dk1">
                <a:lumMod val="65001"/>
                <a:lumOff val="34999"/>
              </a:schemeClr>
            </a:solidFill>
            <a:latin typeface="+mn-lt"/>
          </a:endParaRPr>
        </a:p>
      </c:txPr>
    </c:legend>
    <c:plotVisOnly val="1"/>
    <c:dispBlanksAs val="gap"/>
    <c:showDLblsOverMax val="0"/>
  </c:chart>
  <c:spPr>
    <a:solidFill>
      <a:schemeClr val="lt1"/>
    </a:solidFill>
    <a:ln>
      <a:solidFill>
        <a:schemeClr val="dk1">
          <a:lumMod val="15000"/>
          <a:lumOff val="85000"/>
        </a:schemeClr>
      </a:solidFill>
    </a:ln>
  </c:spPr>
  <c:printSettings>
    <c:pageMargins l="0.7" r="0.7" t="0.787401575" b="0.787401575" header="0.3" footer="0.3"/>
    <c:pageSetup orientation="portrait"/>
  </c:printSettings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9</xdr:col>
      <xdr:colOff>0</xdr:colOff>
      <xdr:row>21</xdr:row>
      <xdr:rowOff>0</xdr:rowOff>
    </xdr:from>
    <xdr:to>
      <xdr:col>21</xdr:col>
      <xdr:colOff>0</xdr:colOff>
      <xdr:row>48</xdr:row>
      <xdr:rowOff>6350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291595</xdr:colOff>
      <xdr:row>8</xdr:row>
      <xdr:rowOff>189865</xdr:rowOff>
    </xdr:to>
    <xdr:pic>
      <xdr:nvPicPr>
        <xdr:cNvPr id="31" name="Picture 3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703070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291595</xdr:colOff>
      <xdr:row>10</xdr:row>
      <xdr:rowOff>0</xdr:rowOff>
    </xdr:to>
    <xdr:pic>
      <xdr:nvPicPr>
        <xdr:cNvPr id="32" name="Picture 4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1892935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291595</xdr:colOff>
      <xdr:row>11</xdr:row>
      <xdr:rowOff>0</xdr:rowOff>
    </xdr:to>
    <xdr:pic>
      <xdr:nvPicPr>
        <xdr:cNvPr id="33" name="Picture 5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082800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189865</xdr:rowOff>
    </xdr:from>
    <xdr:to>
      <xdr:col>2</xdr:col>
      <xdr:colOff>291595</xdr:colOff>
      <xdr:row>11</xdr:row>
      <xdr:rowOff>189865</xdr:rowOff>
    </xdr:to>
    <xdr:pic>
      <xdr:nvPicPr>
        <xdr:cNvPr id="34" name="Picture 6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272665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189865</xdr:rowOff>
    </xdr:from>
    <xdr:to>
      <xdr:col>2</xdr:col>
      <xdr:colOff>291595</xdr:colOff>
      <xdr:row>13</xdr:row>
      <xdr:rowOff>0</xdr:rowOff>
    </xdr:to>
    <xdr:pic>
      <xdr:nvPicPr>
        <xdr:cNvPr id="35" name="Picture 7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462530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291595</xdr:colOff>
      <xdr:row>14</xdr:row>
      <xdr:rowOff>0</xdr:rowOff>
    </xdr:to>
    <xdr:pic>
      <xdr:nvPicPr>
        <xdr:cNvPr id="36" name="Picture 8"/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68624" y="2652395"/>
          <a:ext cx="369773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305497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05418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305497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305497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175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23665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9037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32046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6539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22513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640"/>
  <sheetViews>
    <sheetView tabSelected="1" workbookViewId="0"/>
  </sheetViews>
  <sheetFormatPr defaultColWidth="11.42578125" defaultRowHeight="14.95"/>
  <cols>
    <col min="1" max="1" width="40.7109375" style="52" customWidth="1"/>
    <col min="2" max="2" width="46.7109375" customWidth="1"/>
    <col min="3" max="24" width="11.7109375" customWidth="1"/>
    <col min="25" max="25" width="7.28515625" customWidth="1"/>
    <col min="26" max="26" width="11.28515625" customWidth="1"/>
    <col min="27" max="27" width="17.140625" customWidth="1"/>
    <col min="28" max="28" width="6.7109375" customWidth="1"/>
    <col min="29" max="29" width="7.140625" customWidth="1"/>
    <col min="30" max="30" width="17.140625" customWidth="1"/>
    <col min="31" max="31" width="6.7109375" customWidth="1"/>
    <col min="32" max="32" width="7.140625" customWidth="1"/>
    <col min="33" max="33" width="17.140625" customWidth="1"/>
    <col min="34" max="34" width="6.7109375" customWidth="1"/>
    <col min="35" max="35" width="7.140625" customWidth="1"/>
  </cols>
  <sheetData>
    <row>
      <c s="12" t="s">
        <v>29</v>
      </c>
      <c s="12"/>
      <c s="12"/>
      <c s="12"/>
      <c s="12"/>
      <c s="8"/>
    </row>
    <row s="35" customFormat="1">
      <c s="13" t="s">
        <v>0</v>
      </c>
      <c s="13"/>
      <c s="13"/>
      <c s="13"/>
      <c s="13"/>
      <c s="44"/>
    </row>
    <row ht="15" customHeight="1" s="35" customFormat="1">
      <c s="33" t="s">
        <v>118</v>
      </c>
      <c s="15"/>
      <c s="15"/>
      <c s="15"/>
      <c s="15"/>
      <c s="53"/>
    </row>
    <row s="35" customFormat="1">
      <c s="6" t="s">
        <v>187</v>
      </c>
      <c s="6"/>
      <c s="6"/>
      <c s="6"/>
      <c s="6"/>
      <c s="6"/>
      <c s="6"/>
    </row>
    <row ht="27.75" customHeight="1" s="35" customFormat="1">
      <c s="6" t="s">
        <v>173</v>
      </c>
      <c s="6"/>
      <c s="6"/>
      <c s="6"/>
      <c s="6"/>
      <c s="6"/>
      <c s="50"/>
    </row>
    <row ht="15" customHeight="1">
      <c s="33" t="s">
        <v>167</v>
      </c>
      <c s="11"/>
      <c s="11"/>
      <c s="11"/>
      <c s="11"/>
      <c s="11"/>
    </row>
    <row ht="15" customHeight="1">
      <c s="58" t="s">
        <v>140</v>
      </c>
      <c s="17"/>
      <c s="17"/>
      <c s="17"/>
      <c s="17"/>
      <c s="8"/>
    </row>
    <row ht="16.5" customHeight="1">
      <c s="59"/>
      <c s="8"/>
      <c s="8"/>
      <c s="8"/>
      <c s="8"/>
      <c s="8"/>
    </row>
    <row>
      <c s="5" t="s">
        <v>1</v>
      </c>
      <c s="23" t="s">
        <v>41</v>
      </c>
      <c t="s">
        <v>49</v>
      </c>
    </row>
    <row>
      <c s="5" t="s">
        <v>104</v>
      </c>
      <c s="23" t="s">
        <v>41</v>
      </c>
      <c t="s">
        <v>49</v>
      </c>
    </row>
    <row>
      <c s="5" t="s">
        <v>17</v>
      </c>
      <c s="23" t="s">
        <v>41</v>
      </c>
      <c t="s">
        <v>49</v>
      </c>
    </row>
    <row>
      <c s="5" t="s">
        <v>130</v>
      </c>
      <c s="23" t="s">
        <v>41</v>
      </c>
      <c t="s">
        <v>49</v>
      </c>
    </row>
    <row>
      <c s="5" t="s">
        <v>90</v>
      </c>
      <c s="23" t="s">
        <v>41</v>
      </c>
      <c t="s">
        <v>49</v>
      </c>
    </row>
    <row>
      <c s="5" t="s">
        <v>141</v>
      </c>
      <c s="23" t="s">
        <v>41</v>
      </c>
      <c t="s">
        <v>49</v>
      </c>
    </row>
    <row ht="15" hidden="1">
      <c s="5" t="s">
        <v>154</v>
      </c>
      <c s="23" t="s">
        <v>103</v>
      </c>
    </row>
    <row ht="15" hidden="1">
      <c s="5" t="s">
        <v>119</v>
      </c>
      <c s="23" t="s">
        <v>18</v>
      </c>
    </row>
    <row ht="15" hidden="1">
      <c s="5" t="s">
        <v>91</v>
      </c>
      <c s="23" t="s">
        <v>30</v>
      </c>
    </row>
    <row>
      <c/>
    </row>
    <row>
      <c/>
    </row>
    <row>
      <c/>
      <c r="C20" s="2" t="s">
        <v>31</v>
      </c>
      <c s="2"/>
      <c s="2"/>
      <c s="2"/>
      <c s="2"/>
    </row>
    <row ht="15" customHeight="1">
      <c/>
      <c r="C21" s="2" t="s">
        <v>19</v>
      </c>
      <c s="2"/>
      <c s="2"/>
      <c s="18" t="s">
        <v>120</v>
      </c>
      <c s="18"/>
    </row>
    <row ht="15" customHeight="1">
      <c s="5" t="s">
        <v>89</v>
      </c>
      <c s="5" t="s">
        <v>2</v>
      </c>
      <c s="4" t="s">
        <v>3</v>
      </c>
      <c s="4" t="s">
        <v>62</v>
      </c>
      <c s="32" t="s">
        <v>41</v>
      </c>
      <c s="4" t="s">
        <v>3</v>
      </c>
      <c s="4" t="s">
        <v>62</v>
      </c>
    </row>
    <row>
      <c s="45" t="s">
        <v>73</v>
      </c>
      <c s="24" t="s">
        <v>41</v>
      </c>
      <c s="16">
        <v>47367.650499999982</v>
      </c>
      <c s="16">
        <v>37429.602620000005</v>
      </c>
      <c s="30">
        <v>84797.253120000023</v>
      </c>
      <c s="14">
        <v>0.55859887858593837</v>
      </c>
      <c s="14">
        <v>0.44140112141406113</v>
      </c>
    </row>
    <row>
      <c s="45"/>
      <c s="24" t="s">
        <v>80</v>
      </c>
      <c s="16">
        <v>10989.884550000001</v>
      </c>
      <c s="16">
        <v>9498.7727700000032</v>
      </c>
      <c s="30">
        <v>20488.657319999988</v>
      </c>
      <c s="14">
        <v>0.53638871392866883</v>
      </c>
      <c s="14">
        <v>0.46361128607133195</v>
      </c>
    </row>
    <row>
      <c s="45"/>
      <c s="24" t="s">
        <v>28</v>
      </c>
      <c s="16">
        <v>36377.765949999979</v>
      </c>
      <c s="16">
        <v>27930.829850000002</v>
      </c>
      <c s="30">
        <v>64308.595800000032</v>
      </c>
      <c s="14">
        <v>0.56567501587400482</v>
      </c>
      <c s="14">
        <v>0.43432498412599435</v>
      </c>
    </row>
    <row>
      <c s="45" t="s">
        <v>43</v>
      </c>
      <c s="24" t="s">
        <v>41</v>
      </c>
      <c s="16">
        <v>45320.353149999988</v>
      </c>
      <c s="16">
        <v>35454.213600000003</v>
      </c>
      <c s="30">
        <v>80774.566750000013</v>
      </c>
      <c s="14">
        <v>0.56107206727914738</v>
      </c>
      <c s="14">
        <v>0.43892793272085234</v>
      </c>
    </row>
    <row>
      <c s="45"/>
      <c s="24" t="s">
        <v>20</v>
      </c>
      <c s="16">
        <v>10598.410799999998</v>
      </c>
      <c s="16">
        <v>8692.3261999999995</v>
      </c>
      <c s="30">
        <v>19290.737000000012</v>
      </c>
      <c s="14">
        <v>0.54940414147992334</v>
      </c>
      <c s="14">
        <v>0.45059585852007594</v>
      </c>
    </row>
    <row>
      <c s="45"/>
      <c s="24" t="s">
        <v>99</v>
      </c>
      <c s="16">
        <v>34721.94234999999</v>
      </c>
      <c s="16">
        <v>26761.887400000007</v>
      </c>
      <c s="30">
        <v>61483.829750000004</v>
      </c>
      <c s="14">
        <v>0.56473291418545679</v>
      </c>
      <c s="14">
        <v>0.43526708581454304</v>
      </c>
    </row>
    <row>
      <c s="45" t="s">
        <v>8</v>
      </c>
      <c s="24" t="s">
        <v>41</v>
      </c>
      <c s="16">
        <v>44147.593500000017</v>
      </c>
      <c s="16">
        <v>34468.500899999999</v>
      </c>
      <c s="30">
        <v>78616.09440000006</v>
      </c>
      <c s="14">
        <v>0.5615592308029993</v>
      </c>
      <c s="14">
        <v>0.43844076919700009</v>
      </c>
    </row>
    <row>
      <c s="45"/>
      <c s="24" t="s">
        <v>102</v>
      </c>
      <c s="16">
        <v>10056.168500000003</v>
      </c>
      <c s="16">
        <v>8335.71155</v>
      </c>
      <c s="30">
        <v>18391.880050000003</v>
      </c>
      <c s="14">
        <v>0.54677218819725837</v>
      </c>
      <c s="14">
        <v>0.45322781180274163</v>
      </c>
    </row>
    <row>
      <c s="45"/>
      <c s="24" t="s">
        <v>176</v>
      </c>
      <c s="16">
        <v>34091.425000000017</v>
      </c>
      <c s="16">
        <v>26132.789349999995</v>
      </c>
      <c s="30">
        <v>60224.214350000053</v>
      </c>
      <c s="14">
        <v>0.56607504751948645</v>
      </c>
      <c s="14">
        <v>0.43392495248051288</v>
      </c>
    </row>
    <row>
      <c s="45" t="s">
        <v>160</v>
      </c>
      <c s="24" t="s">
        <v>41</v>
      </c>
      <c s="16">
        <v>45174.843300000022</v>
      </c>
      <c s="16">
        <v>34322.78325</v>
      </c>
      <c s="30">
        <v>79497.626550000117</v>
      </c>
      <c s="14">
        <v>0.56825398770348512</v>
      </c>
      <c s="14">
        <v>0.43174601229651366</v>
      </c>
    </row>
    <row>
      <c s="45"/>
      <c s="24" t="s">
        <v>183</v>
      </c>
      <c s="16">
        <v>9619.02765</v>
      </c>
      <c s="16">
        <v>7783.2443999999987</v>
      </c>
      <c s="30">
        <v>17402.272049999996</v>
      </c>
      <c s="14">
        <v>0.55274550486067142</v>
      </c>
      <c s="14">
        <v>0.44725449513932869</v>
      </c>
    </row>
    <row>
      <c s="45"/>
      <c s="24" t="s">
        <v>70</v>
      </c>
      <c s="16">
        <v>35555.815650000026</v>
      </c>
      <c s="16">
        <v>26539.538850000004</v>
      </c>
      <c s="30">
        <v>62095.354500000118</v>
      </c>
      <c s="14">
        <v>0.57260025224592215</v>
      </c>
      <c s="14">
        <v>0.42739974775407641</v>
      </c>
    </row>
    <row>
      <c s="45" t="s">
        <v>123</v>
      </c>
      <c s="24" t="s">
        <v>41</v>
      </c>
      <c s="16">
        <v>49023.584449999973</v>
      </c>
      <c s="16">
        <v>37231.289949999984</v>
      </c>
      <c s="30">
        <v>86254.874399999986</v>
      </c>
      <c s="14">
        <v>0.56835726434029776</v>
      </c>
      <c s="14">
        <v>0.4316427356597019</v>
      </c>
    </row>
    <row>
      <c s="45"/>
      <c s="24" t="s">
        <v>74</v>
      </c>
      <c s="16">
        <v>10573.383900000003</v>
      </c>
      <c s="16">
        <v>8551.39545</v>
      </c>
      <c s="30">
        <v>19124.779350000015</v>
      </c>
      <c s="14">
        <v>0.5528630530317723</v>
      </c>
      <c s="14">
        <v>0.44713694696822703</v>
      </c>
    </row>
    <row>
      <c s="45"/>
      <c s="24" t="s">
        <v>156</v>
      </c>
      <c s="16">
        <v>38450.200549999972</v>
      </c>
      <c s="16">
        <v>28679.894499999984</v>
      </c>
      <c s="30">
        <v>67130.095049999974</v>
      </c>
      <c s="14">
        <v>0.57277143018137266</v>
      </c>
      <c s="14">
        <v>0.42722856981862706</v>
      </c>
    </row>
    <row>
      <c s="45" t="s">
        <v>159</v>
      </c>
      <c s="24" t="s">
        <v>41</v>
      </c>
      <c s="16">
        <v>46271.642599999999</v>
      </c>
      <c s="16">
        <v>35804.542000000001</v>
      </c>
      <c s="30">
        <v>82076.184600000124</v>
      </c>
      <c s="14">
        <v>0.56376454175478241</v>
      </c>
      <c s="14">
        <v>0.43623545824521609</v>
      </c>
    </row>
    <row>
      <c s="45"/>
      <c s="24" t="s">
        <v>161</v>
      </c>
      <c s="16">
        <v>10062.298200000003</v>
      </c>
      <c s="16">
        <v>8195.5582499999982</v>
      </c>
      <c s="30">
        <v>18257.856450000014</v>
      </c>
      <c s="14">
        <v>0.55112155293564025</v>
      </c>
      <c s="14">
        <v>0.44887844706435909</v>
      </c>
    </row>
    <row>
      <c s="45"/>
      <c s="24" t="s">
        <v>110</v>
      </c>
      <c s="16">
        <v>36209.344399999994</v>
      </c>
      <c s="16">
        <v>27608.983750000007</v>
      </c>
      <c s="30">
        <v>63818.328150000103</v>
      </c>
      <c s="14">
        <v>0.56738158848180253</v>
      </c>
      <c s="14">
        <v>0.43261841151819586</v>
      </c>
    </row>
    <row>
      <c s="45" t="s">
        <v>83</v>
      </c>
      <c s="24" t="s">
        <v>41</v>
      </c>
      <c s="16">
        <v>47542.067650000019</v>
      </c>
      <c s="16">
        <v>37078.648150000001</v>
      </c>
      <c s="30">
        <v>84620.715800000005</v>
      </c>
      <c s="14">
        <v>0.56182540174163853</v>
      </c>
      <c s="14">
        <v>0.43817459825836169</v>
      </c>
    </row>
    <row>
      <c s="45"/>
      <c s="24" t="s">
        <v>133</v>
      </c>
      <c s="16">
        <v>11595.721700000002</v>
      </c>
      <c s="16">
        <v>9236.3585000000003</v>
      </c>
      <c s="30">
        <v>20832.0802</v>
      </c>
      <c s="14">
        <v>0.55662812300425002</v>
      </c>
      <c s="14">
        <v>0.44337187699575004</v>
      </c>
    </row>
    <row>
      <c s="45"/>
      <c s="24" t="s">
        <v>33</v>
      </c>
      <c s="16">
        <v>35946.345950000017</v>
      </c>
      <c s="16">
        <v>27842.289649999999</v>
      </c>
      <c s="30">
        <v>63788.635600000009</v>
      </c>
      <c s="14">
        <v>0.56352272802022452</v>
      </c>
      <c s="14">
        <v>0.43647727197977559</v>
      </c>
    </row>
    <row>
      <c s="45" t="s">
        <v>52</v>
      </c>
      <c s="24" t="s">
        <v>41</v>
      </c>
      <c s="16">
        <v>49520.787250000059</v>
      </c>
      <c s="16">
        <v>38599.103300000002</v>
      </c>
      <c s="30">
        <v>88119.890550000011</v>
      </c>
      <c s="14">
        <v>0.56197059416343154</v>
      </c>
      <c s="14">
        <v>0.43802940583656907</v>
      </c>
    </row>
    <row>
      <c s="45"/>
      <c s="24" t="s">
        <v>32</v>
      </c>
      <c s="16">
        <v>11256.920699999995</v>
      </c>
      <c s="16">
        <v>9206.5315499999961</v>
      </c>
      <c s="30">
        <v>20463.452250000009</v>
      </c>
      <c s="14">
        <v>0.55009880847450798</v>
      </c>
      <c s="14">
        <v>0.44990119152549113</v>
      </c>
    </row>
    <row>
      <c s="45"/>
      <c s="24" t="s">
        <v>108</v>
      </c>
      <c s="16">
        <v>38263.866550000064</v>
      </c>
      <c s="16">
        <v>29392.571750000003</v>
      </c>
      <c s="30">
        <v>67656.438299999994</v>
      </c>
      <c s="14">
        <v>0.56556134953973869</v>
      </c>
      <c s="14">
        <v>0.43443865046026231</v>
      </c>
    </row>
    <row>
      <c s="45" t="s">
        <v>27</v>
      </c>
      <c s="24" t="s">
        <v>41</v>
      </c>
      <c s="16">
        <v>50573.065924999988</v>
      </c>
      <c s="16">
        <v>39590.990860000049</v>
      </c>
      <c s="30">
        <v>90164.056785000605</v>
      </c>
      <c s="14">
        <v>0.56090051544146091</v>
      </c>
      <c s="14">
        <v>0.43909948455853282</v>
      </c>
    </row>
    <row>
      <c s="45"/>
      <c s="24" t="s">
        <v>107</v>
      </c>
      <c s="16">
        <v>11679.587364999999</v>
      </c>
      <c s="16">
        <v>9447.1156950000004</v>
      </c>
      <c s="30">
        <v>21126.703059999989</v>
      </c>
      <c s="14">
        <v>0.55283530666521352</v>
      </c>
      <c s="14">
        <v>0.44716469333478698</v>
      </c>
    </row>
    <row>
      <c s="45"/>
      <c s="24" t="s">
        <v>5</v>
      </c>
      <c s="16">
        <v>38893.478559999989</v>
      </c>
      <c s="16">
        <v>30143.875165000052</v>
      </c>
      <c s="30">
        <v>69037.353725000619</v>
      </c>
      <c s="14">
        <v>0.56336861802273031</v>
      </c>
      <c s="14">
        <v>0.43663138197726137</v>
      </c>
    </row>
    <row>
      <c s="45" t="s">
        <v>170</v>
      </c>
      <c s="24" t="s">
        <v>41</v>
      </c>
      <c s="16">
        <v>52762</v>
      </c>
      <c s="16">
        <v>42175</v>
      </c>
      <c s="30">
        <v>94937</v>
      </c>
      <c s="14">
        <v>0.55575802900871107</v>
      </c>
      <c s="14">
        <v>0.44424197099128898</v>
      </c>
    </row>
    <row>
      <c s="45"/>
      <c s="24" t="s">
        <v>4</v>
      </c>
      <c s="16">
        <v>11814</v>
      </c>
      <c s="16">
        <v>10376</v>
      </c>
      <c s="30">
        <v>22190</v>
      </c>
      <c s="14">
        <v>0.53240198287516904</v>
      </c>
      <c s="14">
        <v>0.46759801712483101</v>
      </c>
    </row>
    <row>
      <c s="45"/>
      <c s="24" t="s">
        <v>82</v>
      </c>
      <c s="16">
        <v>40948</v>
      </c>
      <c s="16">
        <v>31799</v>
      </c>
      <c s="30">
        <v>72747</v>
      </c>
      <c s="14">
        <v>0.56288231817119605</v>
      </c>
      <c s="14">
        <v>0.43711768182880395</v>
      </c>
    </row>
    <row>
      <c s="45" t="s">
        <v>134</v>
      </c>
      <c s="24" t="s">
        <v>41</v>
      </c>
      <c s="16">
        <v>52541</v>
      </c>
      <c s="16">
        <v>41506</v>
      </c>
      <c s="30">
        <v>94047</v>
      </c>
      <c s="14">
        <v>0.55866747477325163</v>
      </c>
      <c s="14">
        <v>0.44133252522674832</v>
      </c>
    </row>
    <row>
      <c s="45"/>
      <c s="24" t="s">
        <v>79</v>
      </c>
      <c s="16">
        <v>12093</v>
      </c>
      <c s="16">
        <v>10531</v>
      </c>
      <c s="30">
        <v>22624</v>
      </c>
      <c s="14">
        <v>0.53452086280056577</v>
      </c>
      <c s="14">
        <v>0.46547913719943423</v>
      </c>
    </row>
    <row>
      <c s="45"/>
      <c s="24" t="s">
        <v>169</v>
      </c>
      <c s="16">
        <v>40448</v>
      </c>
      <c s="16">
        <v>30975</v>
      </c>
      <c s="30">
        <v>71423</v>
      </c>
      <c s="14">
        <v>0.56631617266146761</v>
      </c>
      <c s="14">
        <v>0.43368382733853239</v>
      </c>
    </row>
    <row>
      <c s="45" t="s">
        <v>93</v>
      </c>
      <c s="24" t="s">
        <v>41</v>
      </c>
      <c s="16">
        <v>52345</v>
      </c>
      <c s="16">
        <v>39949</v>
      </c>
      <c s="30">
        <v>92294</v>
      </c>
      <c s="14">
        <v>0.56715496131926235</v>
      </c>
      <c s="14">
        <v>0.43284503868073765</v>
      </c>
    </row>
    <row>
      <c s="45"/>
      <c s="24" t="s">
        <v>168</v>
      </c>
      <c s="16">
        <v>12827</v>
      </c>
      <c s="16">
        <v>10665</v>
      </c>
      <c s="30">
        <v>23492</v>
      </c>
      <c s="14">
        <v>0.54601566490720244</v>
      </c>
      <c s="14">
        <v>0.45398433509279756</v>
      </c>
    </row>
    <row>
      <c s="45"/>
      <c s="24" t="s">
        <v>63</v>
      </c>
      <c s="16">
        <v>39518</v>
      </c>
      <c s="16">
        <v>29284</v>
      </c>
      <c s="30">
        <v>68802</v>
      </c>
      <c s="14">
        <v>0.57437283799889538</v>
      </c>
      <c s="14">
        <v>0.42562716200110462</v>
      </c>
    </row>
    <row>
      <c s="45" t="s">
        <v>64</v>
      </c>
      <c s="24" t="s">
        <v>41</v>
      </c>
      <c s="16">
        <v>53999</v>
      </c>
      <c s="16">
        <v>42689</v>
      </c>
      <c s="30">
        <v>96688</v>
      </c>
      <c s="14">
        <v>0.5584870925037233</v>
      </c>
      <c s="14">
        <v>0.4415129074962767</v>
      </c>
    </row>
    <row>
      <c s="45"/>
      <c s="24" t="s">
        <v>68</v>
      </c>
      <c s="16">
        <v>14061</v>
      </c>
      <c s="16">
        <v>11925</v>
      </c>
      <c s="30">
        <v>25986</v>
      </c>
      <c s="14">
        <v>0.54109905333641195</v>
      </c>
      <c s="14">
        <v>0.45890094666358811</v>
      </c>
    </row>
    <row>
      <c s="45"/>
      <c s="24" t="s">
        <v>142</v>
      </c>
      <c s="16">
        <v>39938</v>
      </c>
      <c s="16">
        <v>30764</v>
      </c>
      <c s="30">
        <v>70702</v>
      </c>
      <c s="14">
        <v>0.5648779383892959</v>
      </c>
      <c s="14">
        <v>0.4351220616107041</v>
      </c>
    </row>
    <row>
      <c s="45" t="s">
        <v>37</v>
      </c>
      <c s="24" t="s">
        <v>41</v>
      </c>
      <c s="16">
        <v>51339</v>
      </c>
      <c s="16">
        <v>41701</v>
      </c>
      <c s="30">
        <v>93040</v>
      </c>
      <c s="14">
        <v>0.55179492691315568</v>
      </c>
      <c s="14">
        <v>0.44820507308684437</v>
      </c>
    </row>
    <row>
      <c s="45"/>
      <c s="24" t="s">
        <v>144</v>
      </c>
      <c s="16">
        <v>12900</v>
      </c>
      <c s="16">
        <v>11544</v>
      </c>
      <c s="30">
        <v>24444</v>
      </c>
      <c s="14">
        <v>0.52773686794305352</v>
      </c>
      <c s="14">
        <v>0.47226313205694648</v>
      </c>
    </row>
    <row>
      <c s="45"/>
      <c s="24" t="s">
        <v>44</v>
      </c>
      <c s="16">
        <v>38439</v>
      </c>
      <c s="16">
        <v>30157</v>
      </c>
      <c s="30">
        <v>68596</v>
      </c>
      <c s="14">
        <v>0.5603679514840515</v>
      </c>
      <c s="14">
        <v>0.43963204851594845</v>
      </c>
    </row>
    <row>
      <c s="45" t="s">
        <v>177</v>
      </c>
      <c s="24" t="s">
        <v>41</v>
      </c>
      <c s="16">
        <v>52438</v>
      </c>
      <c s="16">
        <v>41202</v>
      </c>
      <c s="30">
        <v>93640</v>
      </c>
      <c s="14">
        <v>0.55999572832123024</v>
      </c>
      <c s="14">
        <v>0.44000427167876976</v>
      </c>
    </row>
    <row>
      <c s="45"/>
      <c s="24" t="s">
        <v>47</v>
      </c>
      <c s="16">
        <v>13133</v>
      </c>
      <c s="16">
        <v>12086</v>
      </c>
      <c s="30">
        <v>25219</v>
      </c>
      <c s="14">
        <v>0.52075815853126606</v>
      </c>
      <c s="14">
        <v>0.47924184146873389</v>
      </c>
    </row>
    <row>
      <c s="45"/>
      <c s="24" t="s">
        <v>124</v>
      </c>
      <c s="16">
        <v>39305</v>
      </c>
      <c s="16">
        <v>29116</v>
      </c>
      <c s="30">
        <v>68421</v>
      </c>
      <c s="14">
        <v>0.57445813419856473</v>
      </c>
      <c s="14">
        <v>0.42554186580143522</v>
      </c>
    </row>
    <row>
      <c s="45" t="s">
        <v>36</v>
      </c>
      <c s="24" t="s">
        <v>41</v>
      </c>
      <c s="16">
        <v>52089</v>
      </c>
      <c s="16">
        <v>40500</v>
      </c>
      <c s="30">
        <v>92589</v>
      </c>
      <c s="14">
        <v>0.56258302822149497</v>
      </c>
      <c s="14">
        <v>0.43741697177850503</v>
      </c>
    </row>
    <row>
      <c s="45"/>
      <c s="24" t="s">
        <v>121</v>
      </c>
      <c s="16">
        <v>12486</v>
      </c>
      <c s="16">
        <v>10905</v>
      </c>
      <c s="30">
        <v>23391</v>
      </c>
      <c s="14">
        <v>0.53379504937796585</v>
      </c>
      <c s="14">
        <v>0.4662049506220341</v>
      </c>
    </row>
    <row>
      <c s="45"/>
      <c s="24" t="s">
        <v>75</v>
      </c>
      <c s="16">
        <v>39603</v>
      </c>
      <c s="16">
        <v>29595</v>
      </c>
      <c s="30">
        <v>69198</v>
      </c>
      <c s="14">
        <v>0.57231422873493454</v>
      </c>
      <c s="14">
        <v>0.42768577126506546</v>
      </c>
    </row>
    <row>
      <c s="45" t="s">
        <v>143</v>
      </c>
      <c s="24" t="s">
        <v>41</v>
      </c>
      <c s="16">
        <v>50682</v>
      </c>
      <c s="16">
        <v>39967</v>
      </c>
      <c s="30">
        <v>90649</v>
      </c>
      <c s="14">
        <v>0.55910158964798284</v>
      </c>
      <c s="14">
        <v>0.4408984103520171</v>
      </c>
    </row>
    <row>
      <c s="45"/>
      <c s="24" t="s">
        <v>92</v>
      </c>
      <c s="16">
        <v>15132</v>
      </c>
      <c s="16">
        <v>13902</v>
      </c>
      <c s="30">
        <v>29034</v>
      </c>
      <c s="14">
        <v>0.52118206240958875</v>
      </c>
      <c s="14">
        <v>0.47881793759041125</v>
      </c>
    </row>
    <row>
      <c s="45"/>
      <c s="24" t="s">
        <v>184</v>
      </c>
      <c s="16">
        <v>35550</v>
      </c>
      <c s="16">
        <v>26065</v>
      </c>
      <c s="30">
        <v>61615</v>
      </c>
      <c s="14">
        <v>0.57696989369471718</v>
      </c>
      <c s="14">
        <v>0.42303010630528282</v>
      </c>
    </row>
    <row>
      <c s="45" t="s">
        <v>111</v>
      </c>
      <c s="24" t="s">
        <v>41</v>
      </c>
      <c s="16">
        <v>45218</v>
      </c>
      <c s="16">
        <v>34720</v>
      </c>
      <c s="30">
        <v>79938</v>
      </c>
      <c s="14">
        <v>0.5656633891265731</v>
      </c>
      <c s="14">
        <v>0.4343366108734269</v>
      </c>
    </row>
    <row>
      <c s="45"/>
      <c s="24" t="s">
        <v>175</v>
      </c>
      <c s="16">
        <v>10677</v>
      </c>
      <c s="16">
        <v>9666</v>
      </c>
      <c s="30">
        <v>20343</v>
      </c>
      <c s="14">
        <v>0.52484884235363516</v>
      </c>
      <c s="14">
        <v>0.47515115764636484</v>
      </c>
    </row>
    <row>
      <c s="45"/>
      <c s="24" t="s">
        <v>72</v>
      </c>
      <c s="16">
        <v>34541</v>
      </c>
      <c s="16">
        <v>25054</v>
      </c>
      <c s="30">
        <v>59595</v>
      </c>
      <c s="14">
        <v>0.57959560365802498</v>
      </c>
      <c s="14">
        <v>0.42040439634197502</v>
      </c>
    </row>
    <row>
      <c s="45" t="s">
        <v>71</v>
      </c>
      <c s="24" t="s">
        <v>41</v>
      </c>
      <c s="16">
        <v>44130</v>
      </c>
      <c s="16">
        <v>36030</v>
      </c>
      <c s="30">
        <v>80160</v>
      </c>
      <c s="14">
        <v>0.5505239520958084</v>
      </c>
      <c s="14">
        <v>0.4494760479041916</v>
      </c>
    </row>
    <row>
      <c s="45"/>
      <c s="24" t="s">
        <v>77</v>
      </c>
      <c s="16">
        <v>10655</v>
      </c>
      <c s="16">
        <v>10390</v>
      </c>
      <c s="30">
        <v>21045</v>
      </c>
      <c s="14">
        <v>0.50629603231171305</v>
      </c>
      <c s="14">
        <v>0.493703967688287</v>
      </c>
    </row>
    <row>
      <c s="45"/>
      <c s="24" t="s">
        <v>157</v>
      </c>
      <c s="16">
        <v>33475</v>
      </c>
      <c s="16">
        <v>25640</v>
      </c>
      <c s="30">
        <v>59115</v>
      </c>
      <c s="14">
        <v>0.56626913642899435</v>
      </c>
      <c s="14">
        <v>0.43373086357100565</v>
      </c>
    </row>
    <row>
      <c s="45" t="s">
        <v>42</v>
      </c>
      <c s="24" t="s">
        <v>41</v>
      </c>
      <c s="16">
        <v>42790</v>
      </c>
      <c s="16">
        <v>34032</v>
      </c>
      <c s="30">
        <v>76822</v>
      </c>
      <c s="14">
        <v>0.5570019004972534</v>
      </c>
      <c s="14">
        <v>0.4429980995027466</v>
      </c>
    </row>
    <row>
      <c s="45"/>
      <c s="24" t="s">
        <v>155</v>
      </c>
      <c s="16">
        <v>10235</v>
      </c>
      <c s="16">
        <v>9509</v>
      </c>
      <c s="30">
        <v>19744</v>
      </c>
      <c s="14">
        <v>0.51838533225283634</v>
      </c>
      <c s="14">
        <v>0.48161466774716372</v>
      </c>
    </row>
    <row>
      <c s="45"/>
      <c s="24" t="s">
        <v>53</v>
      </c>
      <c s="16">
        <v>32555</v>
      </c>
      <c s="16">
        <v>24523</v>
      </c>
      <c s="30">
        <v>57078</v>
      </c>
      <c s="14">
        <v>0.57035985843932868</v>
      </c>
      <c s="14">
        <v>0.42964014156067137</v>
      </c>
    </row>
    <row>
      <c s="45" t="s">
        <v>7</v>
      </c>
      <c s="24" t="s">
        <v>41</v>
      </c>
      <c s="16">
        <v>38832</v>
      </c>
      <c s="16">
        <v>31008</v>
      </c>
      <c s="30">
        <v>69840</v>
      </c>
      <c s="14">
        <v>0.55601374570446738</v>
      </c>
      <c s="14">
        <v>0.44398625429553262</v>
      </c>
    </row>
    <row>
      <c s="45"/>
      <c s="24" t="s">
        <v>50</v>
      </c>
      <c s="16">
        <v>8988</v>
      </c>
      <c s="16">
        <v>8257</v>
      </c>
      <c s="30">
        <v>17245</v>
      </c>
      <c s="14">
        <v>0.52119454914467966</v>
      </c>
      <c s="14">
        <v>0.47880545085532039</v>
      </c>
    </row>
    <row>
      <c s="45"/>
      <c s="24" t="s">
        <v>131</v>
      </c>
      <c s="16">
        <v>29844</v>
      </c>
      <c s="16">
        <v>22751</v>
      </c>
      <c s="30">
        <v>52595</v>
      </c>
      <c s="14">
        <v>0.56743036410305159</v>
      </c>
      <c s="14">
        <v>0.43256963589694836</v>
      </c>
    </row>
    <row>
      <c s="45" t="s">
        <v>158</v>
      </c>
      <c s="24" t="s">
        <v>41</v>
      </c>
      <c s="16">
        <v>37807</v>
      </c>
      <c s="16">
        <v>30606</v>
      </c>
      <c s="30">
        <v>68413</v>
      </c>
      <c s="14">
        <v>0.55262888632277496</v>
      </c>
      <c s="14">
        <v>0.4473711136772251</v>
      </c>
    </row>
    <row>
      <c s="45"/>
      <c s="24" t="s">
        <v>132</v>
      </c>
      <c s="16">
        <v>8237</v>
      </c>
      <c s="16">
        <v>7871</v>
      </c>
      <c s="30">
        <v>16108</v>
      </c>
      <c s="14">
        <v>0.51136081450211079</v>
      </c>
      <c s="14">
        <v>0.48863918549788926</v>
      </c>
    </row>
    <row>
      <c s="45"/>
      <c s="24" t="s">
        <v>35</v>
      </c>
      <c s="16">
        <v>29570</v>
      </c>
      <c s="16">
        <v>22735</v>
      </c>
      <c s="30">
        <v>52305</v>
      </c>
      <c s="14">
        <v>0.5653379218047988</v>
      </c>
      <c s="14">
        <v>0.43466207819520125</v>
      </c>
    </row>
    <row>
      <c s="45" t="s">
        <v>122</v>
      </c>
      <c s="24" t="s">
        <v>41</v>
      </c>
      <c s="16">
        <v>33255</v>
      </c>
      <c s="16">
        <v>29023</v>
      </c>
      <c s="30">
        <v>62278</v>
      </c>
      <c s="14">
        <v>0.5339766851857799</v>
      </c>
      <c s="14">
        <v>0.4660233148142201</v>
      </c>
    </row>
    <row>
      <c s="45"/>
      <c s="24" t="s">
        <v>34</v>
      </c>
      <c s="16">
        <v>8084</v>
      </c>
      <c s="16">
        <v>8065</v>
      </c>
      <c s="30">
        <v>16149</v>
      </c>
      <c s="14">
        <v>0.50058827171961107</v>
      </c>
      <c s="14">
        <v>0.49941172828038888</v>
      </c>
    </row>
    <row>
      <c s="45"/>
      <c s="24" t="s">
        <v>106</v>
      </c>
      <c s="16">
        <v>25171</v>
      </c>
      <c s="16">
        <v>20958</v>
      </c>
      <c s="30">
        <v>46129</v>
      </c>
      <c s="14">
        <v>0.54566541654924239</v>
      </c>
      <c s="14">
        <v>0.45433458345075767</v>
      </c>
    </row>
    <row>
      <c s="45" t="s">
        <v>81</v>
      </c>
      <c s="24" t="s">
        <v>41</v>
      </c>
      <c s="16">
        <v>30841</v>
      </c>
      <c s="16">
        <v>26367</v>
      </c>
      <c s="30">
        <v>57208</v>
      </c>
      <c s="14">
        <v>0.53910292266815829</v>
      </c>
      <c s="14">
        <v>0.46089707733184171</v>
      </c>
    </row>
    <row>
      <c s="45"/>
      <c s="24" t="s">
        <v>109</v>
      </c>
      <c s="16">
        <v>8325</v>
      </c>
      <c s="16">
        <v>8273</v>
      </c>
      <c s="30">
        <v>16598</v>
      </c>
      <c s="14">
        <v>0.50156645378961318</v>
      </c>
      <c s="14">
        <v>0.49843354621038677</v>
      </c>
    </row>
    <row>
      <c s="45"/>
      <c s="24" t="s">
        <v>6</v>
      </c>
      <c s="16">
        <v>22516</v>
      </c>
      <c s="16">
        <v>18094</v>
      </c>
      <c s="30">
        <v>40610</v>
      </c>
      <c s="14">
        <v>0.55444471804974149</v>
      </c>
      <c s="14">
        <v>0.44555528195025856</v>
      </c>
    </row>
    <row>
      <c s="45" t="s">
        <v>51</v>
      </c>
      <c s="24" t="s">
        <v>41</v>
      </c>
      <c s="16">
        <v>34191</v>
      </c>
      <c s="16">
        <v>28879</v>
      </c>
      <c s="30">
        <v>63070</v>
      </c>
      <c s="14">
        <v>0.54211193911526878</v>
      </c>
      <c s="14">
        <v>0.45788806088473127</v>
      </c>
    </row>
    <row>
      <c s="45"/>
      <c s="24" t="s">
        <v>15</v>
      </c>
      <c s="16">
        <v>7592</v>
      </c>
      <c s="16">
        <v>7927</v>
      </c>
      <c s="30">
        <v>15519</v>
      </c>
      <c s="14">
        <v>0.48920677878729302</v>
      </c>
      <c s="14">
        <v>0.51079322121270698</v>
      </c>
    </row>
    <row>
      <c s="45"/>
      <c s="24" t="s">
        <v>78</v>
      </c>
      <c s="16">
        <v>26599</v>
      </c>
      <c s="16">
        <v>20952</v>
      </c>
      <c s="30">
        <v>47551</v>
      </c>
      <c s="14">
        <v>0.55937835166452865</v>
      </c>
      <c s="14">
        <v>0.44062164833547141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69"/>
      <c s="3"/>
      <c s="3"/>
      <c s="3"/>
      <c s="3"/>
      <c s="3"/>
      <c s="3"/>
      <c s="3"/>
      <c s="3"/>
      <c s="3"/>
      <c s="3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30">
    <mergeCell ref="A4:G4"/>
    <mergeCell ref="A5:F5"/>
    <mergeCell ref="C20:G20"/>
    <mergeCell ref="C21:E21"/>
    <mergeCell ref="F21:G21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A83:A85"/>
    <mergeCell ref="A86:A88"/>
    <mergeCell ref="A89:A91"/>
    <mergeCell ref="A92:A94"/>
    <mergeCell ref="A95:A97"/>
  </mergeCells>
  <pageMargins left="0.70866141732283472" right="0.70866141732283472" top="0.78740157480314965" bottom="0.78740157480314965" header="0.31496062992125984" footer="0.31496062992125984"/>
  <pageSetup paperSize="9" scale="67" fitToWidth="2" fitToHeight="4" orientation="landscape"/>
  <headerFooter>
    <oddHeader>&amp;L&amp;"Tahoma,Standard"&amp;10unidata.gv.at&amp;R&amp;"Tahoma,Standard"&amp;10&amp;D</oddHeader>
    <oddFooter>&amp;R&amp;"Tahoma,Standard"&amp;10&amp;P/&amp;N</oddFooter>
  </headerFooter>
  <rowBreaks count="1" manualBreakCount="1">
    <brk id="52" max="16383" man="1"/>
  </rowBreaks>
  <colBreaks count="1" manualBreakCount="1">
    <brk id="8" max="1048575" man="1"/>
  </colBreaks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32"/>
  <sheetViews>
    <sheetView workbookViewId="0">
      <selection activeCell="E25" sqref="E25:E31"/>
    </sheetView>
  </sheetViews>
  <sheetFormatPr defaultColWidth="9.140625" defaultRowHeight="13.6"/>
  <cols>
    <col min="1" max="1" width="13.5703125" style="27" customWidth="1"/>
    <col min="2" max="2" width="40.85546875" style="27" customWidth="1"/>
    <col min="3" max="3" width="28.140625" style="27" customWidth="1"/>
    <col min="4" max="4" width="16.28515625" style="27" customWidth="1"/>
    <col min="5" max="5" width="19.42578125" style="27" customWidth="1"/>
    <col min="6" max="6" width="11.140625" style="27" customWidth="1"/>
    <col min="7" max="7" width="9.140625" style="27" customWidth="1"/>
    <col min="8" max="8" width="17.28515625" style="27" customWidth="1"/>
    <col min="9" max="9" width="19.5703125" style="27" customWidth="1"/>
    <col min="10" max="12" width="12.42578125" style="27" customWidth="1"/>
    <col min="13" max="13" width="16" style="27" customWidth="1"/>
    <col min="14" max="14" width="14.28515625" style="27" customWidth="1"/>
    <col min="15" max="15" width="18.28515625" style="27" customWidth="1"/>
    <col min="16" max="25" width="9.140625" style="27" customWidth="1"/>
    <col min="26" max="26" width="9.140625" style="27" hidden="1" customWidth="1"/>
    <col min="27" max="27" width="9.140625" style="27" customWidth="1"/>
    <col min="28" max="16384" width="9.140625" style="27"/>
  </cols>
  <sheetData>
    <row>
      <c s="61"/>
      <c r="H1" s="47">
        <v>129806172700000000</v>
      </c>
      <c r="Z1" s="48" t="b">
        <f>0=1</f>
        <v>0</v>
      </c>
    </row>
    <row>
      <c r="Z2" s="48" t="b">
        <f>1=1</f>
        <v>1</v>
      </c>
    </row>
    <row>
      <c r="Z3" s="48"/>
    </row>
    <row>
      <c r="I4" s="27" t="s">
        <v>65</v>
      </c>
      <c s="37" t="s">
        <v>135</v>
      </c>
      <c s="10"/>
      <c s="10"/>
      <c s="10"/>
      <c s="10"/>
      <c s="10"/>
    </row>
    <row>
      <c r="J5" s="31" t="s">
        <v>54</v>
      </c>
      <c s="20" t="s">
        <v>94</v>
      </c>
      <c s="20" t="s">
        <v>125</v>
      </c>
      <c s="31" t="s">
        <v>178</v>
      </c>
      <c s="67" t="s">
        <v>145</v>
      </c>
      <c s="20" t="s">
        <v>9</v>
      </c>
    </row>
    <row>
      <c r="B6" s="28" t="s">
        <v>146</v>
      </c>
      <c s="21" t="s">
        <v>162</v>
      </c>
      <c s="38" t="s">
        <v>21</v>
      </c>
      <c s="9" t="s">
        <v>95</v>
      </c>
    </row>
    <row>
      <c r="C7" s="22"/>
      <c s="26" t="s">
        <v>22</v>
      </c>
      <c s="9" t="s">
        <v>112</v>
      </c>
    </row>
    <row>
      <c r="C8" s="26" t="s">
        <v>10</v>
      </c>
      <c s="22"/>
    </row>
    <row>
      <c r="C9" s="22"/>
      <c s="21" t="s">
        <v>55</v>
      </c>
      <c s="56"/>
    </row>
    <row>
      <c r="C10" s="21" t="s">
        <v>84</v>
      </c>
      <c s="40" t="s">
        <v>126</v>
      </c>
      <c s="9" t="s">
        <v>38</v>
      </c>
    </row>
    <row>
      <c r="B11" s="28" t="s">
        <v>96</v>
      </c>
      <c s="57" t="s">
        <v>85</v>
      </c>
      <c s="68">
        <v>60398</v>
      </c>
      <c s="9" t="s">
        <v>56</v>
      </c>
    </row>
    <row>
      <c r="B12" s="28"/>
      <c s="63"/>
      <c s="39"/>
      <c s="49" t="s">
        <v>136</v>
      </c>
    </row>
    <row>
      <c r="B13" s="28" t="s">
        <v>86</v>
      </c>
      <c s="62" t="s">
        <v>45</v>
      </c>
      <c s="41">
        <v>1212</v>
      </c>
      <c s="27" t="b">
        <v>0</v>
      </c>
      <c s="9" t="s">
        <v>127</v>
      </c>
    </row>
    <row ht="12.75" hidden="1">
      <c r="B14" s="28"/>
      <c s="62"/>
      <c s="64"/>
      <c s="27" t="b">
        <v>0</v>
      </c>
    </row>
    <row>
      <c r="B15" s="28" t="s">
        <v>163</v>
      </c>
      <c s="27" t="s">
        <v>171</v>
      </c>
      <c s="65">
        <v>1212</v>
      </c>
      <c s="27" t="b">
        <v>0</v>
      </c>
      <c s="9" t="s">
        <v>46</v>
      </c>
    </row>
    <row ht="12.75" hidden="1">
      <c r="B16" s="28"/>
      <c r="D16" s="19"/>
      <c s="27" t="b">
        <v>0</v>
      </c>
      <c s="9"/>
    </row>
    <row>
      <c r="B17" s="28"/>
      <c s="27" t="s">
        <v>57</v>
      </c>
      <c s="60">
        <v>3434</v>
      </c>
      <c s="27" t="b">
        <v>0</v>
      </c>
      <c s="9" t="s">
        <v>128</v>
      </c>
    </row>
    <row>
      <c r="B18" s="28"/>
      <c r="D18" s="19"/>
      <c s="27" t="b">
        <v>0</v>
      </c>
      <c s="9"/>
    </row>
    <row>
      <c r="B19" s="28"/>
      <c s="27" t="s">
        <v>11</v>
      </c>
      <c s="70">
        <v>3434</v>
      </c>
      <c s="27" t="b">
        <v>0</v>
      </c>
      <c s="9" t="s">
        <v>147</v>
      </c>
    </row>
    <row>
      <c r="B20" s="28"/>
      <c r="D20" s="19"/>
      <c s="27" t="b">
        <v>0</v>
      </c>
      <c s="9"/>
    </row>
    <row>
      <c r="B21" s="28"/>
      <c s="27" t="s">
        <v>148</v>
      </c>
      <c s="42">
        <v>5656</v>
      </c>
      <c s="27" t="b">
        <v>0</v>
      </c>
      <c s="9" t="s">
        <v>179</v>
      </c>
    </row>
    <row>
      <c r="B22" s="28"/>
      <c r="E22" s="9"/>
      <c r="I22" s="55"/>
    </row>
    <row>
      <c r="B23" s="34" t="s">
        <v>12</v>
      </c>
      <c s="34"/>
    </row>
    <row>
      <c r="B24" s="7" t="s">
        <v>97</v>
      </c>
      <c s="7" t="s">
        <v>58</v>
      </c>
      <c s="7" t="s">
        <v>23</v>
      </c>
      <c s="7" t="s">
        <v>149</v>
      </c>
      <c s="7"/>
      <c s="7"/>
      <c s="7" t="s">
        <v>180</v>
      </c>
    </row>
    <row>
      <c s="27" t="s">
        <v>113</v>
      </c>
      <c r="C25" s="66" t="s">
        <v>98</v>
      </c>
      <c s="29" t="s">
        <v>13</v>
      </c>
      <c s="25">
        <v>1234.5599999999999</v>
      </c>
      <c s="9" t="s">
        <v>137</v>
      </c>
      <c r="H25" s="27" t="s">
        <v>150</v>
      </c>
    </row>
    <row>
      <c s="27" t="s">
        <v>164</v>
      </c>
      <c r="C26" s="66" t="s">
        <v>98</v>
      </c>
      <c s="25" t="s">
        <v>13</v>
      </c>
      <c s="25">
        <v>1234.5599999999999</v>
      </c>
      <c s="9" t="s">
        <v>114</v>
      </c>
      <c r="H26" s="27" t="s">
        <v>181</v>
      </c>
    </row>
    <row>
      <c r="C27" s="66" t="s">
        <v>98</v>
      </c>
      <c s="29" t="s">
        <v>13</v>
      </c>
      <c s="25">
        <v>1234.5599999999999</v>
      </c>
      <c r="H27" s="27" t="s">
        <v>115</v>
      </c>
    </row>
    <row>
      <c r="C28" s="54" t="s">
        <v>98</v>
      </c>
      <c s="29" t="s">
        <v>165</v>
      </c>
      <c s="25">
        <v>1234.5599999999999</v>
      </c>
      <c r="H28" s="27" t="s">
        <v>59</v>
      </c>
    </row>
    <row>
      <c r="C29" s="54" t="s">
        <v>98</v>
      </c>
      <c s="29" t="s">
        <v>31</v>
      </c>
      <c s="25">
        <v>1234.5599999999999</v>
      </c>
      <c r="H29" s="27" t="s">
        <v>182</v>
      </c>
    </row>
    <row>
      <c r="C30" s="54" t="s">
        <v>14</v>
      </c>
      <c s="29" t="s">
        <v>19</v>
      </c>
      <c s="25">
        <v>1234.5599999999999</v>
      </c>
    </row>
    <row>
      <c r="C31" s="54" t="s">
        <v>14</v>
      </c>
      <c s="46" t="s">
        <v>120</v>
      </c>
      <c s="36">
        <v>1234.5599999999999</v>
      </c>
    </row>
    <row>
      <c r="C32" s="54" t="s">
        <v>151</v>
      </c>
      <c s="43" t="s">
        <v>41</v>
      </c>
      <c s="51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

<file path=xl/worksheets/sheet3.xml><?xml version="1.0" encoding="utf-8"?>
<worksheet xmlns:r="http://schemas.openxmlformats.org/officeDocument/2006/relationships" xmlns="http://schemas.openxmlformats.org/spreadsheetml/2006/main">
  <dimension ref="A1:F40"/>
  <sheetViews>
    <sheetView workbookViewId="0">
      <selection activeCell="A40" sqref="A40"/>
    </sheetView>
  </sheetViews>
  <sheetFormatPr defaultColWidth="11.42578125" defaultRowHeight="15"/>
  <cols>
    <col min="1" max="1" width="40.140625" customWidth="1"/>
    <col min="2" max="6" width="11.7109375" customWidth="1"/>
  </cols>
  <sheetData>
    <row ht="14.95">
      <c s="5" t="s">
        <v>1</v>
      </c>
      <c s="23" t="s">
        <v>41</v>
      </c>
    </row>
    <row ht="14.95">
      <c s="5" t="s">
        <v>104</v>
      </c>
      <c s="23" t="s">
        <v>41</v>
      </c>
    </row>
    <row ht="14.95">
      <c s="5" t="s">
        <v>17</v>
      </c>
      <c s="23" t="s">
        <v>41</v>
      </c>
    </row>
    <row ht="14.95">
      <c s="5" t="s">
        <v>130</v>
      </c>
      <c s="23" t="s">
        <v>41</v>
      </c>
    </row>
    <row ht="14.95">
      <c s="5" t="s">
        <v>90</v>
      </c>
      <c s="23" t="s">
        <v>41</v>
      </c>
    </row>
    <row ht="14.95">
      <c s="5" t="s">
        <v>141</v>
      </c>
      <c s="23" t="s">
        <v>41</v>
      </c>
    </row>
    <row ht="14.95">
      <c s="5" t="s">
        <v>154</v>
      </c>
      <c s="23" t="s">
        <v>105</v>
      </c>
    </row>
    <row ht="14.95">
      <c s="5" t="s">
        <v>119</v>
      </c>
      <c s="23" t="s">
        <v>18</v>
      </c>
    </row>
    <row ht="14.95">
      <c s="5" t="s">
        <v>91</v>
      </c>
      <c s="23" t="s">
        <v>30</v>
      </c>
    </row>
    <row r="12" ht="14.95">
      <c r="B12" s="5" t="s">
        <v>69</v>
      </c>
      <c s="5" t="s">
        <v>61</v>
      </c>
      <c s="5" t="s">
        <v>174</v>
      </c>
    </row>
    <row ht="14.95">
      <c r="B13" s="2" t="s">
        <v>31</v>
      </c>
      <c s="2"/>
      <c s="2"/>
      <c s="2"/>
      <c s="2"/>
    </row>
    <row ht="14.95">
      <c r="B14" s="2" t="s">
        <v>19</v>
      </c>
      <c s="2"/>
      <c s="2"/>
      <c s="18" t="s">
        <v>120</v>
      </c>
      <c s="18"/>
    </row>
    <row ht="14.95">
      <c s="5" t="s">
        <v>26</v>
      </c>
      <c s="4" t="s">
        <v>3</v>
      </c>
      <c s="4" t="s">
        <v>62</v>
      </c>
      <c s="32" t="s">
        <v>41</v>
      </c>
      <c s="4" t="s">
        <v>3</v>
      </c>
      <c s="4" t="s">
        <v>62</v>
      </c>
    </row>
    <row ht="14.95">
      <c s="24" t="s">
        <v>129</v>
      </c>
      <c s="16">
        <v>47367.650499999982</v>
      </c>
      <c s="16">
        <v>37429.602619999983</v>
      </c>
      <c s="30">
        <v>85977.6573200001</v>
      </c>
      <c s="14">
        <v>0.55092976450500852</v>
      </c>
      <c s="14">
        <v>0.43534103843619287</v>
      </c>
    </row>
    <row ht="14.95">
      <c s="24" t="s">
        <v>88</v>
      </c>
      <c s="16">
        <v>45320.353150000017</v>
      </c>
      <c s="16">
        <v>35454.213600000003</v>
      </c>
      <c s="30">
        <v>82148.000000000044</v>
      </c>
      <c s="14">
        <v>0.55169149766275494</v>
      </c>
      <c s="14">
        <v>0.43158949213614434</v>
      </c>
    </row>
    <row ht="14.95">
      <c s="24" t="s">
        <v>60</v>
      </c>
      <c s="16">
        <v>44147.593500000025</v>
      </c>
      <c s="16">
        <v>34468.500900000006</v>
      </c>
      <c s="30">
        <v>80044.500000000058</v>
      </c>
      <c s="14">
        <v>0.5515381256675973</v>
      </c>
      <c s="14">
        <v>0.4306167306935515</v>
      </c>
    </row>
    <row ht="14.95">
      <c s="24" t="s">
        <v>25</v>
      </c>
      <c s="16">
        <v>45174.843300000015</v>
      </c>
      <c s="16">
        <v>34322.783250000008</v>
      </c>
      <c s="30">
        <v>81015.000000000146</v>
      </c>
      <c s="14">
        <v>0.55761085354563888</v>
      </c>
      <c s="14">
        <v>0.42365960933160457</v>
      </c>
    </row>
    <row ht="14.95">
      <c s="24" t="s">
        <v>172</v>
      </c>
      <c s="16">
        <v>49023.584450000009</v>
      </c>
      <c s="16">
        <v>37231.289950000006</v>
      </c>
      <c s="30">
        <v>88008.999999999971</v>
      </c>
      <c s="14">
        <v>0.55702921803451944</v>
      </c>
      <c s="14">
        <v>0.4230395749298369</v>
      </c>
    </row>
    <row ht="14.95">
      <c s="24" t="s">
        <v>24</v>
      </c>
      <c s="16">
        <v>46271.642599999985</v>
      </c>
      <c s="16">
        <v>35804.541999999994</v>
      </c>
      <c s="30">
        <v>83505.182000000088</v>
      </c>
      <c s="14">
        <v>0.5541170199473362</v>
      </c>
      <c s="14">
        <v>0.42877030074612565</v>
      </c>
    </row>
    <row ht="14.95">
      <c s="24" t="s">
        <v>139</v>
      </c>
      <c s="16">
        <v>47542.067650000019</v>
      </c>
      <c s="16">
        <v>37078.648150000001</v>
      </c>
      <c s="30">
        <v>86101.999999999971</v>
      </c>
      <c s="14">
        <v>0.55215985284894697</v>
      </c>
      <c s="14">
        <v>0.43063631681029491</v>
      </c>
    </row>
    <row ht="14.95">
      <c s="24" t="s">
        <v>101</v>
      </c>
      <c s="16">
        <v>49520.787250000059</v>
      </c>
      <c s="16">
        <v>38599.103300000017</v>
      </c>
      <c s="30">
        <v>89656.357999999978</v>
      </c>
      <c s="14">
        <v>0.55233993834547768</v>
      </c>
      <c s="14">
        <v>0.43052276671778289</v>
      </c>
    </row>
    <row ht="14.95">
      <c s="24" t="s">
        <v>67</v>
      </c>
      <c s="16">
        <v>50573.065924999988</v>
      </c>
      <c s="16">
        <v>39590.990860000049</v>
      </c>
      <c s="30">
        <v>91350.156800000637</v>
      </c>
      <c s="14">
        <v>0.55361772433213419</v>
      </c>
      <c s="14">
        <v>0.43339817080642135</v>
      </c>
    </row>
    <row ht="14.95">
      <c s="24" t="s">
        <v>40</v>
      </c>
      <c s="16">
        <v>52762</v>
      </c>
      <c s="16">
        <v>42175</v>
      </c>
      <c s="30">
        <v>94937</v>
      </c>
      <c s="14">
        <v>0.55575802900871107</v>
      </c>
      <c s="14">
        <v>0.44424197099128898</v>
      </c>
    </row>
    <row ht="14.95">
      <c s="24" t="s">
        <v>186</v>
      </c>
      <c s="16">
        <v>52541</v>
      </c>
      <c s="16">
        <v>41506</v>
      </c>
      <c s="30">
        <v>94047</v>
      </c>
      <c s="14">
        <v>0.55866747477325163</v>
      </c>
      <c s="14">
        <v>0.44133252522674832</v>
      </c>
    </row>
    <row ht="14.95">
      <c s="24" t="s">
        <v>153</v>
      </c>
      <c s="16">
        <v>52345</v>
      </c>
      <c s="16">
        <v>39949</v>
      </c>
      <c s="30">
        <v>92294</v>
      </c>
      <c s="14">
        <v>0.56715496131926235</v>
      </c>
      <c s="14">
        <v>0.43284503868073765</v>
      </c>
    </row>
    <row ht="14.95">
      <c s="24" t="s">
        <v>117</v>
      </c>
      <c s="16">
        <v>53999</v>
      </c>
      <c s="16">
        <v>42689</v>
      </c>
      <c s="30">
        <v>96688</v>
      </c>
      <c s="14">
        <v>0.5584870925037233</v>
      </c>
      <c s="14">
        <v>0.4415129074962767</v>
      </c>
    </row>
    <row ht="14.95">
      <c s="24" t="s">
        <v>76</v>
      </c>
      <c s="16">
        <v>51339</v>
      </c>
      <c s="16">
        <v>41701</v>
      </c>
      <c s="30">
        <v>93040</v>
      </c>
      <c s="14">
        <v>0.55179492691315568</v>
      </c>
      <c s="14">
        <v>0.44820507308684437</v>
      </c>
    </row>
    <row ht="14.95">
      <c s="24" t="s">
        <v>48</v>
      </c>
      <c s="16">
        <v>52438</v>
      </c>
      <c s="16">
        <v>41202</v>
      </c>
      <c s="30">
        <v>93640</v>
      </c>
      <c s="14">
        <v>0.55999572832123024</v>
      </c>
      <c s="14">
        <v>0.44000427167876976</v>
      </c>
    </row>
    <row ht="14.95">
      <c s="24" t="s">
        <v>87</v>
      </c>
      <c s="16">
        <v>52089</v>
      </c>
      <c s="16">
        <v>40500</v>
      </c>
      <c s="30">
        <v>92589</v>
      </c>
      <c s="14">
        <v>0.56258302822149497</v>
      </c>
      <c s="14">
        <v>0.43741697177850503</v>
      </c>
    </row>
    <row ht="14.95">
      <c s="24" t="s">
        <v>16</v>
      </c>
      <c s="16">
        <v>50682</v>
      </c>
      <c s="16">
        <v>39967</v>
      </c>
      <c s="30">
        <v>90649</v>
      </c>
      <c s="14">
        <v>0.55910158964798284</v>
      </c>
      <c s="14">
        <v>0.4408984103520171</v>
      </c>
    </row>
    <row ht="14.95">
      <c s="24" t="s">
        <v>166</v>
      </c>
      <c s="16">
        <v>45218</v>
      </c>
      <c s="16">
        <v>34720</v>
      </c>
      <c s="30">
        <v>79938</v>
      </c>
      <c s="14">
        <v>0.5656633891265731</v>
      </c>
      <c s="14">
        <v>0.4343366108734269</v>
      </c>
    </row>
    <row ht="14.95">
      <c s="24" t="s">
        <v>138</v>
      </c>
      <c s="16">
        <v>44130</v>
      </c>
      <c s="16">
        <v>36030</v>
      </c>
      <c s="30">
        <v>80160</v>
      </c>
      <c s="14">
        <v>0.5505239520958084</v>
      </c>
      <c s="14">
        <v>0.4494760479041916</v>
      </c>
    </row>
    <row ht="14.95">
      <c s="24" t="s">
        <v>100</v>
      </c>
      <c s="16">
        <v>42790</v>
      </c>
      <c s="16">
        <v>34032</v>
      </c>
      <c s="30">
        <v>76822</v>
      </c>
      <c s="14">
        <v>0.5570019004972534</v>
      </c>
      <c s="14">
        <v>0.4429980995027466</v>
      </c>
    </row>
    <row ht="14.95">
      <c s="24" t="s">
        <v>66</v>
      </c>
      <c s="16">
        <v>38832</v>
      </c>
      <c s="16">
        <v>31008</v>
      </c>
      <c s="30">
        <v>69840</v>
      </c>
      <c s="14">
        <v>0.55601374570446738</v>
      </c>
      <c s="14">
        <v>0.44398625429553262</v>
      </c>
    </row>
    <row ht="14.95">
      <c s="24" t="s">
        <v>39</v>
      </c>
      <c s="16">
        <v>37807</v>
      </c>
      <c s="16">
        <v>30606</v>
      </c>
      <c s="30">
        <v>68413</v>
      </c>
      <c s="14">
        <v>0.55262888632277496</v>
      </c>
      <c s="14">
        <v>0.4473711136772251</v>
      </c>
    </row>
    <row ht="14.95">
      <c s="24" t="s">
        <v>185</v>
      </c>
      <c s="16">
        <v>33255</v>
      </c>
      <c s="16">
        <v>29023</v>
      </c>
      <c s="30">
        <v>62278</v>
      </c>
      <c s="14">
        <v>0.5339766851857799</v>
      </c>
      <c s="14">
        <v>0.4660233148142201</v>
      </c>
    </row>
    <row ht="14.95">
      <c s="24" t="s">
        <v>152</v>
      </c>
      <c s="16">
        <v>30841</v>
      </c>
      <c s="16">
        <v>26367</v>
      </c>
      <c s="30">
        <v>57208</v>
      </c>
      <c s="14">
        <v>0.53910292266815829</v>
      </c>
      <c s="14">
        <v>0.46089707733184171</v>
      </c>
    </row>
    <row ht="14.95">
      <c s="24" t="s">
        <v>116</v>
      </c>
      <c s="16">
        <v>34191</v>
      </c>
      <c s="16">
        <v>28879</v>
      </c>
      <c s="30">
        <v>63070</v>
      </c>
      <c s="14">
        <v>0.54211193911526878</v>
      </c>
      <c s="14">
        <v>0.45788806088473127</v>
      </c>
    </row>
  </sheetData>
  <mergeCells count="3">
    <mergeCell ref="B13:F13"/>
    <mergeCell ref="B14:D14"/>
    <mergeCell ref="E14:F14"/>
  </mergeCells>
  <pageMargins left="0.7" right="0.7" top="0.787401575" bottom="0.787401575" header="0.3" footer="0.3"/>
  <pageSetup paperSize="9" fitToWidth="0" fitToHeight="0" orientation="portrait"/>
</worksheet>
</file>
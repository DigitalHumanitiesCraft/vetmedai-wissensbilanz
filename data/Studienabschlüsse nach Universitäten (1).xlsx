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165"/>
  </bookViews>
  <sheets>
    <sheet name="Tab" sheetId="1" r:id="rId1"/>
    <sheet name="XLCubedFormats" sheetId="2" state="hidden" r:id="rId2"/>
  </sheets>
  <definedNames>
    <definedName name="_xlnm.Print_Area" localSheetId="0">Tab!$A$1:$K$44</definedName>
    <definedName name="XL3DisableCameraObjects" hidden="1">XLCubedFormats!A1</definedName>
    <definedName name="XL3ObjLocationfdbefac7_4750_4552_8255_48cedb01ecaf">Tab!$A$8</definedName>
  </definedNames>
  <calcPr calcId="40001"/>
</workbook>
</file>

<file path=xl/sharedStrings.xml><?xml version="1.0" encoding="utf-8"?>
<sst xmlns="http://schemas.openxmlformats.org/spreadsheetml/2006/main" uniqueCount="104">
  <si>
    <t>Wirtschaftsuniversität Wien</t>
  </si>
  <si>
    <t>Universität</t>
  </si>
  <si>
    <t>Frauen</t>
  </si>
  <si>
    <t>Slicer Button Background</t>
  </si>
  <si>
    <t>Grid Title</t>
  </si>
  <si>
    <t>Oth Written Member</t>
  </si>
  <si>
    <t>Fill in Grid Name, Dimension or Both</t>
  </si>
  <si>
    <t>[ALLG Wertart].[Wertart]</t>
  </si>
  <si>
    <t>Staatengruppe (Ö, EU, andere)</t>
  </si>
  <si>
    <t>Absolutwert</t>
  </si>
  <si>
    <t>Universität für Musik und darstellende Kunst Wien</t>
  </si>
  <si>
    <t>All Marital Status</t>
  </si>
  <si>
    <t>Male</t>
  </si>
  <si>
    <t>Member1 Name</t>
  </si>
  <si>
    <t>Universität für angewandte Kunst Wien</t>
  </si>
  <si>
    <t>Universität Wien</t>
  </si>
  <si>
    <t>&lt;-- default Column Member Format</t>
  </si>
  <si>
    <t>[ALLG Universität].[Universität]</t>
  </si>
  <si>
    <t>Gesamt</t>
  </si>
  <si>
    <t>Universität Mozarteum Salzburg</t>
  </si>
  <si>
    <t>Universität Klagenfurt</t>
  </si>
  <si>
    <t>Alternate Rows</t>
  </si>
  <si>
    <t>&lt;--  writeable cell format</t>
  </si>
  <si>
    <t xml:space="preserve"> 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</si>
  <si>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</si>
  <si>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</si>
  <si>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</si>
  <si>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</si>
  <si>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</si>
  <si>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</si>
  <si>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Dadurch sind Studien auf ganze Zahlen zu runden und es kann zu Abweichungen zwischen der Gesamtsumme und den addierten Detailergebnissen kommen.</t>
  </si>
  <si>
    <t>Medizinische Universität Innsbruck</t>
  </si>
  <si>
    <t>Männer</t>
  </si>
  <si>
    <t>Slice Name (Optional)</t>
  </si>
  <si>
    <t>[SAU AbsolventIn].[Geschlecht]</t>
  </si>
  <si>
    <t>Veterinärmedizinische Universität Wien</t>
  </si>
  <si>
    <t>Montanuniversität Leoben</t>
  </si>
  <si>
    <t>Ordentliche Studienabschlüsse</t>
  </si>
  <si>
    <t>(Members of Studienfach Fachcode) - (Zweitfach, Keine Angabe)</t>
  </si>
  <si>
    <t>(Einschränkung: exkl. Erw./Zweitfach)</t>
  </si>
  <si>
    <t>Studienabschlüsse</t>
  </si>
  <si>
    <t>Universität für Weiterbildung Krems</t>
  </si>
  <si>
    <t>Customer</t>
  </si>
  <si>
    <t>-All Customer</t>
  </si>
  <si>
    <t>Default Alternate Row Member Format --&gt;</t>
  </si>
  <si>
    <t>Bundesland Universität</t>
  </si>
  <si>
    <t>Medizinische Universität Graz</t>
  </si>
  <si>
    <t>Universität Innsbruck</t>
  </si>
  <si>
    <t>Slicer Item</t>
  </si>
  <si>
    <t>&lt;-- default Slicer Member Format</t>
  </si>
  <si>
    <t>Default Row Member Format --&gt;</t>
  </si>
  <si>
    <t>Grid/Table Name</t>
  </si>
  <si>
    <t>[Measures]</t>
  </si>
  <si>
    <t>(Members of Universität (Codex)) - (~)</t>
  </si>
  <si>
    <t>ISCED2013 3.Ebene (Code, Langtext)</t>
  </si>
  <si>
    <t>Technische Universität Graz</t>
  </si>
  <si>
    <t>&lt;-- writeable Slicer Member Format</t>
  </si>
  <si>
    <t>Slice Format 1</t>
  </si>
  <si>
    <t>&lt;-- Gesamtzeile</t>
  </si>
  <si>
    <t>3) Formatierung der Gesamtspalte und -zeile (siehe E25:E26)</t>
  </si>
  <si>
    <t>Frauen-/Männeranteil in %</t>
  </si>
  <si>
    <t>Universität für künstlerische und industrielle Gestaltung Linz</t>
  </si>
  <si>
    <t>Slicer Button</t>
  </si>
  <si>
    <t>+2009</t>
  </si>
  <si>
    <t>&lt;-- default alternate row cell format</t>
  </si>
  <si>
    <t>&lt;--  written cell format</t>
  </si>
  <si>
    <t>In Prozent</t>
  </si>
  <si>
    <t>Studienart</t>
  </si>
  <si>
    <t>Akademie der bildenden Künste Wien</t>
  </si>
  <si>
    <t>Display Formats For:</t>
  </si>
  <si>
    <t>Enabled?</t>
  </si>
  <si>
    <t>&lt;-- Gesamtspalte</t>
  </si>
  <si>
    <t>Datenprüfung und -aufbereitung: bmfwf, Abt. I/10</t>
  </si>
  <si>
    <t>Universität-Ausrichtung</t>
  </si>
  <si>
    <t>Universität für Musik und darstellende Kunst Graz</t>
  </si>
  <si>
    <t>Universität Graz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</si>
  <si>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</si>
  <si>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</si>
  <si>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</si>
  <si>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</si>
  <si>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</si>
  <si>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</si>
  <si>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Universität (Codex)</t>
  </si>
  <si>
    <t>Studienfach Fachcode</t>
  </si>
  <si>
    <t>Universität Linz</t>
  </si>
  <si>
    <t>Universität für Bodenkultur Wien</t>
  </si>
  <si>
    <t>Universität Salzburg</t>
  </si>
  <si>
    <t>Medizinische Universität Wien</t>
  </si>
  <si>
    <t>Marital Status</t>
  </si>
  <si>
    <t>Default Writeable Member Format --&gt;</t>
  </si>
  <si>
    <t>Slice Format 2</t>
  </si>
  <si>
    <t>Quelle: Datenmeldungen der Universitäten auf Basis UHSBV zum jeweiligen Stichtag</t>
  </si>
  <si>
    <t>Studienjahr 2023/24 (endgültig)</t>
  </si>
  <si>
    <t>Technische Universität Wien</t>
  </si>
  <si>
    <t>Writeable Member</t>
  </si>
  <si>
    <t>Studienjahr und Datenstand</t>
  </si>
  <si>
    <t>Studienabschlüsse Universitäten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</si>
  <si>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</si>
  <si>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</si>
  <si>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</si>
  <si>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</si>
  <si>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</si>
  <si>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Ordentliche Studienabschlüsse nach Universitäten</t>
  </si>
  <si>
    <t>Anmerkung: Ab dem STJ 2016/17 erfolgt die zähltechnische Abbildung der Studienabschlüsse auf Basis des Verteilungsschlüssels gemäß § 22 Abs. 2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</si>
</sst>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10"/>
      <color rgb="FF262626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9"/>
      <name val="Tahoma"/>
      <family val="2"/>
    </font>
    <font>
      <sz val="10"/>
      <color theme="1" tint="0.34998626667073579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color theme="1" tint="0.14996795556505021"/>
      <name val="Tahoma"/>
      <family val="2"/>
    </font>
    <font>
      <sz val="10"/>
      <color rgb="FF595959"/>
      <name val="Tahoma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9D9D9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C6D9F1"/>
        <bgColor rgb="FFFFFFFF"/>
      </patternFill>
    </fill>
    <fill>
      <patternFill patternType="solid">
        <fgColor rgb="FFDDDDDD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/>
      <right style="hair">
        <color rgb="FFC0C0C0"/>
      </right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0" borderId="0" xfId="0" applyFont="1" applyFill="1" applyBorder="1"/>
    <xf numFmtId="0" fontId="3" fillId="0" borderId="0" xfId="0" quotePrefix="1" applyFont="1" applyFill="1" applyAlignment="1">
      <alignment horizontal="left" vertical="top" wrapText="1"/>
    </xf>
    <xf numFmtId="0" fontId="3" fillId="0" borderId="0" xfId="0" quotePrefix="1" applyFont="1" applyFill="1" applyAlignment="1">
      <alignment horizontal="left"/>
    </xf>
    <xf numFmtId="3" fontId="4" fillId="0" borderId="0" xfId="0" applyNumberFormat="1" applyFont="1" applyFill="1" applyBorder="1"/>
    <xf numFmtId="0" fontId="5" fillId="0" borderId="0" xfId="0" applyFont="1"/>
    <xf numFmtId="0" fontId="0" fillId="0" borderId="0" xfId="0" applyFill="1" applyAlignment="1"/>
    <xf numFmtId="0" fontId="6" fillId="0" borderId="0" xfId="0" applyFont="1"/>
    <xf numFmtId="0" fontId="7" fillId="0" borderId="1" xfId="0" quotePrefix="1" applyFont="1" applyFill="1" applyBorder="1" applyAlignment="1" applyProtection="1">
      <alignment horizontal="center"/>
    </xf>
    <xf numFmtId="0" fontId="8" fillId="0" borderId="0" xfId="0" applyFont="1" applyFill="1" applyAlignment="1">
      <alignment vertical="top"/>
    </xf>
    <xf numFmtId="0" fontId="9" fillId="0" borderId="0" xfId="0" applyFont="1" applyFill="1" applyAlignment="1">
      <alignment vertical="center"/>
    </xf>
    <xf numFmtId="0" fontId="10" fillId="2" borderId="0" xfId="1" applyFont="1" applyFill="1" applyBorder="1" applyAlignment="1">
      <alignment horizontal="center"/>
    </xf>
    <xf numFmtId="0" fontId="7" fillId="0" borderId="1" xfId="0" applyFont="1" applyFill="1" applyBorder="1" applyAlignment="1" applyProtection="1">
      <alignment horizontal="right"/>
    </xf>
    <xf numFmtId="0" fontId="3" fillId="0" borderId="0" xfId="0" applyFont="1" applyFill="1" applyAlignment="1">
      <alignment vertical="top"/>
    </xf>
    <xf numFmtId="0" fontId="11" fillId="3" borderId="0" xfId="0" applyFont="1" applyFill="1" applyAlignment="1"/>
    <xf numFmtId="0" fontId="12" fillId="0" borderId="0" xfId="0" applyNumberFormat="1" applyFont="1" applyAlignment="1"/>
    <xf numFmtId="164" fontId="7" fillId="4" borderId="2" xfId="0" applyNumberFormat="1" applyFont="1" applyFill="1" applyBorder="1" applyAlignment="1" applyProtection="1">
      <alignment horizontal="right"/>
    </xf>
    <xf numFmtId="0" fontId="13" fillId="0" borderId="0" xfId="0" applyFont="1"/>
    <xf numFmtId="0" fontId="14" fillId="0" borderId="0" xfId="1" applyFont="1"/>
    <xf numFmtId="3" fontId="7" fillId="5" borderId="1" xfId="0" applyNumberFormat="1" applyFont="1" applyFill="1" applyBorder="1" applyAlignment="1" applyProtection="1">
      <alignment horizontal="right" vertical="center"/>
    </xf>
    <xf numFmtId="0" fontId="12" fillId="0" borderId="0" xfId="0" applyFont="1"/>
    <xf numFmtId="0" fontId="15" fillId="0" borderId="0" xfId="0" applyFont="1"/>
    <xf numFmtId="0" fontId="6" fillId="0" borderId="0" xfId="0" applyFont="1" applyAlignment="1">
      <alignment horizontal="right"/>
    </xf>
    <xf numFmtId="164" fontId="7" fillId="6" borderId="1" xfId="0" applyNumberFormat="1" applyFont="1" applyFill="1" applyBorder="1" applyAlignment="1" applyProtection="1">
      <alignment horizontal="right"/>
    </xf>
    <xf numFmtId="3" fontId="7" fillId="0" borderId="1" xfId="0" applyNumberFormat="1" applyFont="1" applyFill="1" applyBorder="1" applyAlignment="1" applyProtection="1">
      <alignment horizontal="right"/>
    </xf>
    <xf numFmtId="0" fontId="12" fillId="0" borderId="0" xfId="0" applyFont="1" applyAlignment="1">
      <alignment horizontal="center"/>
    </xf>
    <xf numFmtId="164" fontId="7" fillId="5" borderId="1" xfId="0" applyNumberFormat="1" applyFont="1" applyFill="1" applyBorder="1" applyAlignment="1" applyProtection="1">
      <alignment horizontal="right" vertical="center"/>
    </xf>
    <xf numFmtId="0" fontId="14" fillId="3" borderId="0" xfId="1" applyFont="1" applyFill="1"/>
    <xf numFmtId="0" fontId="16" fillId="7" borderId="3" xfId="0" quotePrefix="1" applyFont="1" applyFill="1" applyBorder="1" applyAlignment="1" applyProtection="1"/>
    <xf numFmtId="164" fontId="7" fillId="0" borderId="2" xfId="0" applyNumberFormat="1" applyFont="1" applyBorder="1" applyAlignment="1" applyProtection="1">
      <alignment horizontal="right"/>
    </xf>
    <xf numFmtId="164" fontId="7" fillId="6" borderId="1" xfId="0" quotePrefix="1" applyNumberFormat="1" applyFont="1" applyFill="1" applyBorder="1" applyAlignment="1" applyProtection="1">
      <alignment horizontal="center"/>
    </xf>
    <xf numFmtId="0" fontId="7" fillId="0" borderId="1" xfId="0" applyFont="1" applyFill="1" applyBorder="1" applyAlignment="1" applyProtection="1">
      <alignment vertical="center"/>
    </xf>
    <xf numFmtId="0" fontId="3" fillId="0" borderId="0" xfId="0" quotePrefix="1" applyFont="1" applyFill="1" applyAlignment="1">
      <alignment vertical="top"/>
    </xf>
    <xf numFmtId="0" fontId="15" fillId="0" borderId="4" xfId="0" applyFont="1" applyFill="1" applyBorder="1" applyAlignment="1">
      <alignment vertical="center"/>
    </xf>
    <xf numFmtId="0" fontId="7" fillId="0" borderId="2" xfId="0" applyFont="1" applyBorder="1" applyAlignment="1" applyProtection="1">
      <alignment horizontal="center"/>
    </xf>
    <xf numFmtId="0" fontId="12" fillId="0" borderId="0" xfId="0" quotePrefix="1" applyFont="1" applyFill="1"/>
    <xf numFmtId="0" fontId="0" fillId="0" borderId="0" xfId="0" applyFont="1"/>
    <xf numFmtId="0" fontId="0" fillId="0" borderId="0" xfId="0" applyFont="1" applyFill="1" applyAlignment="1"/>
    <xf numFmtId="3" fontId="7" fillId="8" borderId="1" xfId="0" applyNumberFormat="1" applyFont="1" applyFill="1" applyBorder="1" applyAlignment="1" applyProtection="1">
      <alignment horizontal="right"/>
    </xf>
    <xf numFmtId="0" fontId="12" fillId="9" borderId="0" xfId="0" applyNumberFormat="1" applyFont="1" applyFill="1" applyAlignment="1"/>
    <xf numFmtId="0" fontId="12" fillId="0" borderId="0" xfId="0" quotePrefix="1" applyFont="1"/>
    <xf numFmtId="0" fontId="10" fillId="2" borderId="5" xfId="1" applyFont="1" applyFill="1" applyBorder="1" applyAlignment="1">
      <alignment horizontal="center"/>
    </xf>
    <xf numFmtId="0" fontId="17" fillId="0" borderId="0" xfId="0" applyFont="1"/>
    <xf numFmtId="0" fontId="14" fillId="9" borderId="0" xfId="1" applyFont="1" applyFill="1"/>
    <xf numFmtId="0" fontId="7" fillId="10" borderId="1" xfId="0" applyFont="1" applyFill="1" applyBorder="1" applyAlignment="1" applyProtection="1">
      <alignment vertical="center"/>
    </xf>
    <xf numFmtId="0" fontId="18" fillId="0" borderId="0" xfId="0" applyFont="1"/>
    <xf numFmtId="0" fontId="7" fillId="0" borderId="1" xfId="0" quotePrefix="1" applyFont="1" applyBorder="1" applyAlignment="1" applyProtection="1"/>
    <xf numFmtId="2" fontId="12" fillId="0" borderId="0" xfId="0" applyNumberFormat="1" applyFont="1"/>
    <xf numFmtId="164" fontId="7" fillId="4" borderId="2" xfId="0" applyNumberFormat="1" applyFont="1" applyFill="1" applyBorder="1" applyAlignment="1" applyProtection="1">
      <alignment horizontal="center"/>
    </xf>
    <xf numFmtId="0" fontId="15" fillId="0" borderId="4" xfId="0" quotePrefix="1" applyFont="1" applyFill="1" applyBorder="1" applyAlignment="1">
      <alignment horizontal="right"/>
    </xf>
    <xf numFmtId="0" fontId="7" fillId="11" borderId="2" xfId="0" applyFont="1" applyFill="1" applyBorder="1" applyAlignment="1" applyProtection="1">
      <alignment horizontal="right"/>
    </xf>
    <xf numFmtId="0" fontId="12" fillId="0" borderId="0" xfId="0" applyNumberFormat="1" applyFont="1" applyFill="1" applyBorder="1" applyAlignment="1"/>
    <xf numFmtId="3" fontId="12" fillId="12" borderId="0" xfId="0" applyNumberFormat="1" applyFont="1" applyFill="1" applyAlignment="1"/>
    <xf numFmtId="3" fontId="12" fillId="13" borderId="0" xfId="0" applyNumberFormat="1" applyFont="1" applyFill="1" applyAlignment="1"/>
    <xf numFmtId="3" fontId="12" fillId="9" borderId="0" xfId="0" applyNumberFormat="1" applyFont="1" applyFill="1" applyAlignment="1"/>
    <xf numFmtId="0" fontId="15" fillId="0" borderId="4" xfId="0" quotePrefix="1" applyFont="1" applyFill="1" applyBorder="1" applyAlignment="1"/>
    <xf numFmtId="0" fontId="6" fillId="0" borderId="0" xfId="0" applyFont="1" applyAlignment="1">
      <alignment horizontal="center"/>
    </xf>
    <xf numFmtId="0" fontId="7" fillId="0" borderId="2" xfId="0" applyFont="1" applyBorder="1" applyAlignment="1" applyProtection="1">
      <alignment horizontal="right"/>
    </xf>
    <xf numFmtId="0" fontId="7" fillId="10" borderId="6" xfId="0" applyFont="1" applyFill="1" applyBorder="1" applyAlignment="1" applyProtection="1">
      <alignment vertical="center"/>
    </xf>
    <xf numFmtId="0" fontId="5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0" xfId="0" applyNumberFormat="1" applyFont="1"/>
    <xf numFmtId="165" fontId="12" fillId="0" borderId="0" xfId="0" applyNumberFormat="1" applyFont="1"/>
    <xf numFmtId="3" fontId="5" fillId="0" borderId="0" xfId="0" applyNumberFormat="1" applyFont="1" applyFill="1" applyAlignment="1"/>
    <xf numFmtId="0" fontId="7" fillId="5" borderId="1" xfId="0" applyFont="1" applyFill="1" applyBorder="1" applyAlignment="1" applyProtection="1">
      <alignment vertical="center"/>
    </xf>
    <xf numFmtId="3" fontId="15" fillId="0" borderId="4" xfId="0" applyNumberFormat="1" applyFont="1" applyFill="1" applyBorder="1" applyAlignment="1"/>
    <xf numFmtId="0" fontId="7" fillId="8" borderId="1" xfId="0" applyFont="1" applyFill="1" applyBorder="1" applyAlignment="1" applyProtection="1">
      <alignment horizontal="right"/>
    </xf>
    <xf numFmtId="0" fontId="12" fillId="9" borderId="0" xfId="0" applyFont="1" applyFill="1"/>
    <xf numFmtId="0" fontId="19" fillId="0" borderId="0" xfId="0" applyFont="1"/>
    <xf numFmtId="3" fontId="12" fillId="0" borderId="0" xfId="0" applyNumberFormat="1" applyFont="1" applyAlignment="1"/>
    <xf numFmtId="0" fontId="19" fillId="0" borderId="0" xfId="0" applyFont="1" applyFill="1" applyAlignment="1"/>
    <xf numFmtId="0" fontId="7" fillId="11" borderId="7" xfId="0" applyFont="1" applyFill="1" applyBorder="1" applyAlignment="1" applyProtection="1">
      <alignment horizontal="right"/>
    </xf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3697820</xdr:colOff>
      <xdr:row>7</xdr:row>
      <xdr:rowOff>0</xdr:rowOff>
    </xdr:from>
    <xdr:to>
      <xdr:col>5</xdr:col>
      <xdr:colOff>187454</xdr:colOff>
      <xdr:row>8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7820" y="13493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8</xdr:row>
      <xdr:rowOff>0</xdr:rowOff>
    </xdr:from>
    <xdr:to>
      <xdr:col>5</xdr:col>
      <xdr:colOff>187454</xdr:colOff>
      <xdr:row>9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5398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9</xdr:row>
      <xdr:rowOff>0</xdr:rowOff>
    </xdr:from>
    <xdr:to>
      <xdr:col>5</xdr:col>
      <xdr:colOff>187454</xdr:colOff>
      <xdr:row>10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7303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10</xdr:row>
      <xdr:rowOff>0</xdr:rowOff>
    </xdr:from>
    <xdr:to>
      <xdr:col>5</xdr:col>
      <xdr:colOff>187454</xdr:colOff>
      <xdr:row>11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19208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11</xdr:row>
      <xdr:rowOff>0</xdr:rowOff>
    </xdr:from>
    <xdr:to>
      <xdr:col>5</xdr:col>
      <xdr:colOff>187454</xdr:colOff>
      <xdr:row>12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1113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3697820</xdr:colOff>
      <xdr:row>12</xdr:row>
      <xdr:rowOff>0</xdr:rowOff>
    </xdr:from>
    <xdr:to>
      <xdr:col>5</xdr:col>
      <xdr:colOff>187454</xdr:colOff>
      <xdr:row>13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7820" y="2301875"/>
          <a:ext cx="3603280" cy="1905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87408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76991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66574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5615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180452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282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759411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0822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11974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K638"/>
  <sheetViews>
    <sheetView tabSelected="1" workbookViewId="0"/>
  </sheetViews>
  <sheetFormatPr defaultColWidth="11.42578125" defaultRowHeight="14.95"/>
  <cols>
    <col min="1" max="1" width="50.7109375" style="36" customWidth="1"/>
    <col min="2" max="6" width="11.7109375" customWidth="1"/>
    <col min="7" max="7" width="7.7109375" customWidth="1"/>
    <col min="8" max="8" width="6.7109375" customWidth="1"/>
    <col min="9" max="9" width="7.140625" customWidth="1"/>
    <col min="10" max="10" width="7.85546875" customWidth="1"/>
    <col min="11" max="11" width="11.140625" customWidth="1"/>
    <col min="12" max="12" width="9.85546875" customWidth="1"/>
    <col min="13" max="13" width="7.140625" customWidth="1"/>
    <col min="14" max="14" width="11.140625" customWidth="1"/>
    <col min="15" max="15" width="9.85546875" customWidth="1"/>
    <col min="16" max="16" width="7.140625" customWidth="1"/>
    <col min="17" max="17" width="11.140625" customWidth="1"/>
    <col min="18" max="18" width="7.140625" customWidth="1"/>
    <col min="19" max="19" width="11.140625" customWidth="1"/>
    <col min="20" max="20" width="9.85546875" customWidth="1"/>
    <col min="21" max="21" width="7.140625" customWidth="1"/>
    <col min="22" max="22" width="11.140625" customWidth="1"/>
    <col min="23" max="23" width="9.85546875" customWidth="1"/>
    <col min="24" max="24" width="7.140625" customWidth="1"/>
    <col min="25" max="25" width="11.140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10" t="s">
        <v>96</v>
      </c>
      <c s="10"/>
      <c s="10"/>
      <c s="10"/>
      <c s="10"/>
      <c s="6"/>
    </row>
    <row s="68" customFormat="1">
      <c s="9" t="s">
        <v>102</v>
      </c>
      <c s="9"/>
      <c s="9"/>
      <c s="9"/>
      <c s="9"/>
      <c s="70"/>
    </row>
    <row s="68" customFormat="1">
      <c s="2" t="s">
        <v>103</v>
      </c>
      <c s="2"/>
      <c s="2"/>
      <c s="2"/>
      <c s="2"/>
      <c s="2"/>
      <c s="2"/>
      <c s="2"/>
      <c s="2"/>
      <c s="2"/>
      <c s="2"/>
    </row>
    <row ht="15" customHeight="1" s="68" customFormat="1">
      <c s="2" t="s">
        <v>30</v>
      </c>
      <c s="2"/>
      <c s="2"/>
      <c s="2"/>
      <c s="2"/>
      <c s="2"/>
      <c s="2"/>
      <c s="2"/>
      <c s="2"/>
      <c s="2"/>
      <c s="2"/>
    </row>
    <row>
      <c s="3" t="s">
        <v>91</v>
      </c>
      <c s="3"/>
      <c s="3"/>
      <c s="3"/>
      <c s="3"/>
      <c s="3"/>
      <c s="3"/>
      <c s="3"/>
      <c s="3"/>
      <c s="3"/>
      <c s="3"/>
    </row>
    <row>
      <c s="32" t="s">
        <v>72</v>
      </c>
      <c s="13"/>
      <c s="13"/>
      <c s="13"/>
      <c s="13"/>
      <c s="6"/>
    </row>
    <row ht="16.5" customHeight="1">
      <c s="37"/>
      <c s="6"/>
      <c s="6"/>
      <c s="6"/>
      <c s="6"/>
      <c s="6"/>
    </row>
    <row ht="15" customHeight="1">
      <c s="28" t="s">
        <v>95</v>
      </c>
      <c s="46" t="s">
        <v>92</v>
      </c>
      <c r="F8" t="s">
        <v>23</v>
      </c>
    </row>
    <row ht="15" customHeight="1">
      <c s="28" t="s">
        <v>54</v>
      </c>
      <c s="46" t="s">
        <v>18</v>
      </c>
      <c r="F9" t="s">
        <v>23</v>
      </c>
    </row>
    <row ht="15" customHeight="1">
      <c s="28" t="s">
        <v>8</v>
      </c>
      <c s="46" t="s">
        <v>18</v>
      </c>
      <c r="F10" t="s">
        <v>23</v>
      </c>
    </row>
    <row ht="15" customHeight="1">
      <c s="28" t="s">
        <v>67</v>
      </c>
      <c s="46" t="s">
        <v>18</v>
      </c>
      <c r="F11" t="s">
        <v>23</v>
      </c>
    </row>
    <row ht="15" customHeight="1">
      <c s="28" t="s">
        <v>45</v>
      </c>
      <c s="46" t="s">
        <v>18</v>
      </c>
      <c r="F12" t="s">
        <v>23</v>
      </c>
    </row>
    <row ht="15" customHeight="1">
      <c s="28" t="s">
        <v>73</v>
      </c>
      <c s="46" t="s">
        <v>18</v>
      </c>
      <c r="F13" t="s">
        <v>23</v>
      </c>
    </row>
    <row ht="15" hidden="1">
      <c s="28" t="s">
        <v>83</v>
      </c>
      <c s="46" t="s">
        <v>38</v>
      </c>
    </row>
    <row ht="15" hidden="1">
      <c s="28" t="s">
        <v>82</v>
      </c>
      <c s="46" t="s">
        <v>53</v>
      </c>
      <c r="E15" t="s">
        <v>39</v>
      </c>
    </row>
    <row>
      <c/>
    </row>
    <row>
      <c/>
    </row>
    <row ht="15" customHeight="1">
      <c/>
      <c s="8" t="s">
        <v>37</v>
      </c>
      <c s="8"/>
      <c s="8"/>
      <c s="8"/>
      <c s="8"/>
    </row>
    <row ht="15" customHeight="1">
      <c/>
      <c s="8" t="s">
        <v>9</v>
      </c>
      <c s="8"/>
      <c s="8"/>
      <c s="30" t="s">
        <v>60</v>
      </c>
      <c s="30"/>
    </row>
    <row>
      <c s="28" t="s">
        <v>1</v>
      </c>
      <c s="12" t="s">
        <v>2</v>
      </c>
      <c s="12" t="s">
        <v>32</v>
      </c>
      <c s="66" t="s">
        <v>18</v>
      </c>
      <c s="12" t="s">
        <v>2</v>
      </c>
      <c s="12" t="s">
        <v>32</v>
      </c>
    </row>
    <row>
      <c s="31" t="s">
        <v>15</v>
      </c>
      <c s="24">
        <v>6289.9690000000064</v>
      </c>
      <c s="24">
        <v>3140.0160000000042</v>
      </c>
      <c s="38">
        <v>9429.9850000000115</v>
      </c>
      <c s="23">
        <v>0.66701792208577204</v>
      </c>
      <c s="23">
        <v>0.3329820779142279</v>
      </c>
    </row>
    <row>
      <c s="31" t="s">
        <v>75</v>
      </c>
      <c s="24">
        <v>2062.7822999999962</v>
      </c>
      <c s="24">
        <v>1005.5494499999995</v>
      </c>
      <c s="38">
        <v>3068.3317499999957</v>
      </c>
      <c s="23">
        <v>0.67228137896105888</v>
      </c>
      <c s="23">
        <v>0.32771862103894106</v>
      </c>
    </row>
    <row>
      <c s="31" t="s">
        <v>47</v>
      </c>
      <c s="24">
        <v>2393.8759000000009</v>
      </c>
      <c s="24">
        <v>1959.0240500000004</v>
      </c>
      <c s="38">
        <v>4352.8999500000009</v>
      </c>
      <c s="23">
        <v>0.54994967205713063</v>
      </c>
      <c s="23">
        <v>0.45005032794286948</v>
      </c>
    </row>
    <row>
      <c s="31" t="s">
        <v>87</v>
      </c>
      <c s="24">
        <v>485.10000000000002</v>
      </c>
      <c s="24">
        <v>378.79999999999995</v>
      </c>
      <c s="38">
        <v>863.89999999999998</v>
      </c>
      <c s="23">
        <v>0.56152332445884945</v>
      </c>
      <c s="23">
        <v>0.43847667554115055</v>
      </c>
    </row>
    <row>
      <c s="31" t="s">
        <v>46</v>
      </c>
      <c s="24">
        <v>254.33010000000007</v>
      </c>
      <c s="24">
        <v>195.66369999999998</v>
      </c>
      <c s="38">
        <v>449.99380000000008</v>
      </c>
      <c s="23">
        <v>0.56518578700417654</v>
      </c>
      <c s="23">
        <v>0.43481421299582335</v>
      </c>
    </row>
    <row>
      <c s="31" t="s">
        <v>31</v>
      </c>
      <c s="24">
        <v>274</v>
      </c>
      <c s="24">
        <v>194.5</v>
      </c>
      <c s="38">
        <v>468.5</v>
      </c>
      <c s="23">
        <v>0.58484525080042693</v>
      </c>
      <c s="23">
        <v>0.41515474919957313</v>
      </c>
    </row>
    <row>
      <c s="31" t="s">
        <v>86</v>
      </c>
      <c s="24">
        <v>1389.8836499999986</v>
      </c>
      <c s="24">
        <v>610.6409500000002</v>
      </c>
      <c s="38">
        <v>2000.5245999999988</v>
      </c>
      <c s="23">
        <v>0.69475958955965822</v>
      </c>
      <c s="23">
        <v>0.30524041044034178</v>
      </c>
    </row>
    <row>
      <c s="31" t="s">
        <v>93</v>
      </c>
      <c s="24">
        <v>913.5</v>
      </c>
      <c s="24">
        <v>2008</v>
      </c>
      <c s="38">
        <v>2921.5</v>
      </c>
      <c s="23">
        <v>0.31268184151976725</v>
      </c>
      <c s="23">
        <v>0.68731815848023281</v>
      </c>
    </row>
    <row>
      <c s="31" t="s">
        <v>55</v>
      </c>
      <c s="24">
        <v>530.73865000000012</v>
      </c>
      <c s="24">
        <v>1389.7001500000003</v>
      </c>
      <c s="38">
        <v>1920.4388000000004</v>
      </c>
      <c s="23">
        <v>0.27636321969749833</v>
      </c>
      <c s="23">
        <v>0.72363678030250178</v>
      </c>
    </row>
    <row>
      <c s="31" t="s">
        <v>36</v>
      </c>
      <c s="24">
        <v>134</v>
      </c>
      <c s="24">
        <v>436</v>
      </c>
      <c s="38">
        <v>570</v>
      </c>
      <c s="23">
        <v>0.23508771929824562</v>
      </c>
      <c s="23">
        <v>0.76491228070175443</v>
      </c>
    </row>
    <row>
      <c s="31" t="s">
        <v>85</v>
      </c>
      <c s="24">
        <v>706.5200000000001</v>
      </c>
      <c s="24">
        <v>593.29999999999995</v>
      </c>
      <c s="38">
        <v>1299.8200000000002</v>
      </c>
      <c s="23">
        <v>0.54355218414857442</v>
      </c>
      <c s="23">
        <v>0.45644781585142546</v>
      </c>
    </row>
    <row>
      <c s="31" t="s">
        <v>35</v>
      </c>
      <c s="24">
        <v>220.59999999999999</v>
      </c>
      <c s="24">
        <v>66.939999999999998</v>
      </c>
      <c s="38">
        <v>287.53999999999996</v>
      </c>
      <c s="23">
        <v>0.76719760728942066</v>
      </c>
      <c s="23">
        <v>0.23280239271057943</v>
      </c>
    </row>
    <row>
      <c s="31" t="s">
        <v>0</v>
      </c>
      <c s="24">
        <v>1725</v>
      </c>
      <c s="24">
        <v>1773</v>
      </c>
      <c s="38">
        <v>3498</v>
      </c>
      <c s="23">
        <v>0.49313893653516294</v>
      </c>
      <c s="23">
        <v>0.50686106346483706</v>
      </c>
    </row>
    <row>
      <c s="31" t="s">
        <v>84</v>
      </c>
      <c s="24">
        <v>1096.2131499999989</v>
      </c>
      <c s="24">
        <v>1164.2192999999988</v>
      </c>
      <c s="38">
        <v>2260.4324499999975</v>
      </c>
      <c s="23">
        <v>0.48495727001264743</v>
      </c>
      <c s="23">
        <v>0.51504272998735268</v>
      </c>
    </row>
    <row>
      <c s="31" t="s">
        <v>20</v>
      </c>
      <c s="24">
        <v>673.69629999999961</v>
      </c>
      <c s="24">
        <v>321.49325000000022</v>
      </c>
      <c s="38">
        <v>995.18954999999983</v>
      </c>
      <c s="23">
        <v>0.67695274734345812</v>
      </c>
      <c s="23">
        <v>0.32304725265654194</v>
      </c>
    </row>
    <row>
      <c s="31" t="s">
        <v>14</v>
      </c>
      <c s="24">
        <v>167.5</v>
      </c>
      <c s="24">
        <v>86</v>
      </c>
      <c s="38">
        <v>253.5</v>
      </c>
      <c s="23">
        <v>0.6607495069033531</v>
      </c>
      <c s="23">
        <v>0.33925049309664695</v>
      </c>
    </row>
    <row>
      <c s="31" t="s">
        <v>10</v>
      </c>
      <c s="24">
        <v>211.5</v>
      </c>
      <c s="24">
        <v>161</v>
      </c>
      <c s="38">
        <v>372.5</v>
      </c>
      <c s="23">
        <v>0.56778523489932886</v>
      </c>
      <c s="23">
        <v>0.43221476510067114</v>
      </c>
    </row>
    <row>
      <c s="31" t="s">
        <v>19</v>
      </c>
      <c s="24">
        <v>193.16249999999991</v>
      </c>
      <c s="24">
        <v>139.08920000000001</v>
      </c>
      <c s="38">
        <v>332.25169999999991</v>
      </c>
      <c s="23">
        <v>0.58137400049420351</v>
      </c>
      <c s="23">
        <v>0.41862599950579649</v>
      </c>
    </row>
    <row>
      <c s="31" t="s">
        <v>74</v>
      </c>
      <c s="24">
        <v>146.31819999999999</v>
      </c>
      <c s="24">
        <v>137.11439999999999</v>
      </c>
      <c s="38">
        <v>283.43259999999998</v>
      </c>
      <c s="23">
        <v>0.51623631156049088</v>
      </c>
      <c s="23">
        <v>0.48376368843950907</v>
      </c>
    </row>
    <row>
      <c s="31" t="s">
        <v>61</v>
      </c>
      <c s="24">
        <v>110.40565000000001</v>
      </c>
      <c s="24">
        <v>59.309100000000001</v>
      </c>
      <c s="38">
        <v>169.71475000000001</v>
      </c>
      <c s="23">
        <v>0.65053656208432087</v>
      </c>
      <c s="23">
        <v>0.34946343791567908</v>
      </c>
    </row>
    <row>
      <c s="31" t="s">
        <v>68</v>
      </c>
      <c s="24">
        <v>103</v>
      </c>
      <c s="24">
        <v>53.5</v>
      </c>
      <c s="38">
        <v>156.5</v>
      </c>
      <c s="23">
        <v>0.65814696485623003</v>
      </c>
      <c s="23">
        <v>0.34185303514376997</v>
      </c>
    </row>
    <row>
      <c s="31" t="s">
        <v>41</v>
      </c>
      <c s="24">
        <v>4</v>
      </c>
      <c s="24">
        <v>1</v>
      </c>
      <c s="38">
        <v>5</v>
      </c>
      <c s="23">
        <v>0.80000000000000004</v>
      </c>
      <c s="23">
        <v>0.20000000000000001</v>
      </c>
    </row>
    <row>
      <c s="64" t="s">
        <v>18</v>
      </c>
      <c s="19">
        <v>20086.095400000009</v>
      </c>
      <c s="19">
        <v>15873.859550000005</v>
      </c>
      <c s="19">
        <v>35959.954950000014</v>
      </c>
      <c s="26">
        <v>0.5585684250141143</v>
      </c>
      <c s="26">
        <v>0.44143157498588576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59"/>
      <c s="4"/>
      <c s="4"/>
      <c s="4"/>
      <c s="4"/>
      <c s="4"/>
      <c s="4"/>
      <c s="4"/>
      <c s="4"/>
      <c s="4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6">
    <mergeCell ref="A3:K3"/>
    <mergeCell ref="A4:K4"/>
    <mergeCell ref="A5:K5"/>
    <mergeCell ref="B18:F18"/>
    <mergeCell ref="B19:D19"/>
    <mergeCell ref="E19:F19"/>
  </mergeCells>
  <pageMargins left="0.70866141732283472" right="0.70866141732283472" top="0.78740157480314965" bottom="0.78740157480314965" header="0.31496062992125984" footer="0.31496062992125984"/>
  <pageSetup paperSize="9" scale="78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39" sqref="E39"/>
    </sheetView>
  </sheetViews>
  <sheetFormatPr defaultColWidth="9.140625" defaultRowHeight="13.6"/>
  <cols>
    <col min="1" max="1" width="13.5703125" style="20" customWidth="1"/>
    <col min="2" max="2" width="40.85546875" style="20" customWidth="1"/>
    <col min="3" max="3" width="28.140625" style="20" customWidth="1"/>
    <col min="4" max="4" width="16.140625" style="20" customWidth="1"/>
    <col min="5" max="5" width="19.28515625" style="20" customWidth="1"/>
    <col min="6" max="6" width="11.140625" style="20" customWidth="1"/>
    <col min="7" max="7" width="9.140625" style="20" customWidth="1"/>
    <col min="8" max="8" width="17.140625" style="20" customWidth="1"/>
    <col min="9" max="9" width="19.5703125" style="20" customWidth="1"/>
    <col min="10" max="12" width="12.28515625" style="20" customWidth="1"/>
    <col min="13" max="13" width="16" style="20" customWidth="1"/>
    <col min="14" max="14" width="14.140625" style="20" customWidth="1"/>
    <col min="15" max="15" width="18.140625" style="20" customWidth="1"/>
    <col min="16" max="25" width="9.140625" style="20" customWidth="1"/>
    <col min="26" max="26" width="9.140625" style="20" hidden="1" customWidth="1"/>
    <col min="27" max="27" width="9.140625" style="20" customWidth="1"/>
    <col min="28" max="16384" width="9.140625" style="20"/>
  </cols>
  <sheetData>
    <row>
      <c s="61"/>
      <c r="H1" s="62">
        <v>129806172700000000</v>
      </c>
      <c r="Z1" s="47" t="b">
        <f>0=1</f>
        <v>0</v>
      </c>
    </row>
    <row>
      <c r="Z2" s="47" t="b">
        <f>1=1</f>
        <v>1</v>
      </c>
    </row>
    <row>
      <c r="Z3" s="47"/>
    </row>
    <row>
      <c r="I4" s="20" t="s">
        <v>33</v>
      </c>
      <c s="41" t="s">
        <v>69</v>
      </c>
      <c s="11"/>
      <c s="11"/>
      <c s="11"/>
      <c s="11"/>
      <c s="11"/>
    </row>
    <row>
      <c r="J5" s="27" t="s">
        <v>24</v>
      </c>
      <c s="18" t="s">
        <v>48</v>
      </c>
      <c s="18" t="s">
        <v>62</v>
      </c>
      <c s="27" t="s">
        <v>97</v>
      </c>
      <c s="43" t="s">
        <v>76</v>
      </c>
      <c s="18" t="s">
        <v>3</v>
      </c>
    </row>
    <row>
      <c r="B6" s="22" t="s">
        <v>77</v>
      </c>
      <c s="14" t="s">
        <v>88</v>
      </c>
      <c s="55" t="s">
        <v>11</v>
      </c>
      <c s="7" t="s">
        <v>49</v>
      </c>
    </row>
    <row>
      <c r="C7" s="17"/>
      <c s="21" t="s">
        <v>12</v>
      </c>
      <c s="7" t="s">
        <v>56</v>
      </c>
    </row>
    <row>
      <c r="C8" s="21" t="s">
        <v>4</v>
      </c>
      <c s="17"/>
    </row>
    <row>
      <c r="C9" s="17"/>
      <c s="14" t="s">
        <v>25</v>
      </c>
      <c s="42"/>
    </row>
    <row>
      <c r="C10" s="14" t="s">
        <v>42</v>
      </c>
      <c s="49" t="s">
        <v>63</v>
      </c>
      <c s="7" t="s">
        <v>16</v>
      </c>
    </row>
    <row>
      <c r="B11" s="22" t="s">
        <v>50</v>
      </c>
      <c s="33" t="s">
        <v>43</v>
      </c>
      <c s="65">
        <v>60398</v>
      </c>
      <c s="7" t="s">
        <v>26</v>
      </c>
    </row>
    <row>
      <c r="B12" s="22"/>
      <c s="60"/>
      <c s="51"/>
      <c s="56" t="s">
        <v>70</v>
      </c>
    </row>
    <row>
      <c r="B13" s="22" t="s">
        <v>44</v>
      </c>
      <c s="67" t="s">
        <v>21</v>
      </c>
      <c s="54">
        <v>1212</v>
      </c>
      <c s="20" t="b">
        <v>0</v>
      </c>
      <c s="7" t="s">
        <v>64</v>
      </c>
    </row>
    <row ht="12.75" hidden="1">
      <c r="B14" s="22"/>
      <c s="67"/>
      <c s="39"/>
      <c s="20" t="b">
        <v>0</v>
      </c>
    </row>
    <row>
      <c r="B15" s="22" t="s">
        <v>89</v>
      </c>
      <c s="20" t="s">
        <v>94</v>
      </c>
      <c s="69">
        <v>1212</v>
      </c>
      <c s="20" t="b">
        <v>0</v>
      </c>
      <c s="7" t="s">
        <v>22</v>
      </c>
    </row>
    <row ht="12.75" hidden="1">
      <c r="B16" s="22"/>
      <c r="D16" s="15"/>
      <c s="20" t="b">
        <v>0</v>
      </c>
      <c s="7"/>
    </row>
    <row>
      <c r="B17" s="22"/>
      <c s="20" t="s">
        <v>27</v>
      </c>
      <c s="52">
        <v>3434</v>
      </c>
      <c s="20" t="b">
        <v>0</v>
      </c>
      <c s="7" t="s">
        <v>65</v>
      </c>
    </row>
    <row>
      <c r="B18" s="22"/>
      <c r="D18" s="15"/>
      <c s="20" t="b">
        <v>0</v>
      </c>
      <c s="7"/>
    </row>
    <row>
      <c r="B19" s="22"/>
      <c s="20" t="s">
        <v>5</v>
      </c>
      <c s="53">
        <v>3434</v>
      </c>
      <c s="20" t="b">
        <v>0</v>
      </c>
      <c s="7" t="s">
        <v>78</v>
      </c>
    </row>
    <row>
      <c r="B20" s="22"/>
      <c r="D20" s="15"/>
      <c s="20" t="b">
        <v>0</v>
      </c>
      <c s="7"/>
    </row>
    <row>
      <c r="B21" s="22"/>
      <c s="20" t="s">
        <v>79</v>
      </c>
      <c s="63">
        <v>5656</v>
      </c>
      <c s="20" t="b">
        <v>0</v>
      </c>
      <c s="7" t="s">
        <v>98</v>
      </c>
    </row>
    <row>
      <c r="B22" s="22"/>
      <c r="E22" s="7"/>
      <c r="I22" s="45"/>
    </row>
    <row>
      <c r="B23" s="25" t="s">
        <v>6</v>
      </c>
      <c s="25"/>
    </row>
    <row>
      <c r="B24" s="5" t="s">
        <v>51</v>
      </c>
      <c s="5" t="s">
        <v>28</v>
      </c>
      <c s="5" t="s">
        <v>13</v>
      </c>
      <c s="5" t="s">
        <v>80</v>
      </c>
      <c s="5"/>
      <c s="5"/>
      <c s="5" t="s">
        <v>99</v>
      </c>
    </row>
    <row>
      <c s="20" t="s">
        <v>57</v>
      </c>
      <c r="C25" s="35" t="s">
        <v>7</v>
      </c>
      <c s="29" t="s">
        <v>66</v>
      </c>
      <c s="29">
        <v>1234.5599999999999</v>
      </c>
      <c s="7" t="s">
        <v>71</v>
      </c>
      <c r="H25" s="20" t="s">
        <v>81</v>
      </c>
    </row>
    <row>
      <c s="20" t="s">
        <v>90</v>
      </c>
      <c r="C26" s="35" t="s">
        <v>7</v>
      </c>
      <c s="29" t="s">
        <v>66</v>
      </c>
      <c s="29">
        <v>1234.5599999999999</v>
      </c>
      <c s="7" t="s">
        <v>58</v>
      </c>
      <c r="H26" s="20" t="s">
        <v>100</v>
      </c>
    </row>
    <row>
      <c r="C27" s="35" t="s">
        <v>7</v>
      </c>
      <c s="16" t="s">
        <v>66</v>
      </c>
      <c s="16">
        <v>1234.5599999999999</v>
      </c>
      <c r="H27" s="20" t="s">
        <v>59</v>
      </c>
    </row>
    <row>
      <c r="C28" s="40" t="s">
        <v>34</v>
      </c>
      <c s="50" t="s">
        <v>18</v>
      </c>
      <c s="71">
        <v>1234.5599999999999</v>
      </c>
      <c r="H28" s="20" t="s">
        <v>29</v>
      </c>
    </row>
    <row>
      <c r="C29" s="40" t="s">
        <v>52</v>
      </c>
      <c s="34" t="s">
        <v>40</v>
      </c>
      <c s="57">
        <v>1234.5599999999999</v>
      </c>
      <c r="H29" s="20" t="s">
        <v>101</v>
      </c>
    </row>
    <row>
      <c r="C30" s="40" t="s">
        <v>52</v>
      </c>
      <c s="34" t="s">
        <v>37</v>
      </c>
      <c s="57">
        <v>1234.5599999999999</v>
      </c>
    </row>
    <row>
      <c r="C31" s="40" t="s">
        <v>7</v>
      </c>
      <c s="34" t="s">
        <v>9</v>
      </c>
      <c s="57">
        <v>1234.5599999999999</v>
      </c>
    </row>
    <row>
      <c r="C32" s="40" t="s">
        <v>7</v>
      </c>
      <c s="48" t="s">
        <v>60</v>
      </c>
      <c s="16">
        <v>1234.5599999999999</v>
      </c>
    </row>
    <row>
      <c r="C33" s="40" t="s">
        <v>17</v>
      </c>
      <c s="58" t="s">
        <v>18</v>
      </c>
      <c s="44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
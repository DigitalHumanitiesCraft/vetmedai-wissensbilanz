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435" windowHeight="7545"/>
  </bookViews>
  <sheets>
    <sheet name="Tab" sheetId="1" r:id="rId1"/>
    <sheet name="XLCubedFormats" sheetId="2" state="hidden" r:id="rId2"/>
  </sheets>
  <definedNames>
    <definedName name="_xlnm.Print_Area" localSheetId="0">Tab!$A$1:$E$312</definedName>
    <definedName name="_xlnm.Print_Titles" localSheetId="0">Tab!$21:$22</definedName>
    <definedName name="XL3DisableCameraObjects" hidden="1">XLCubedFormats!A1</definedName>
    <definedName name="XL3ObjLocation117f4a28_75ac_4b97_837a_9afedc2d0ed1">Tab!$A$12</definedName>
  </definedNames>
  <calcPr calcId="40001"/>
</workbook>
</file>

<file path=xl/sharedStrings.xml><?xml version="1.0" encoding="utf-8"?>
<sst xmlns="http://schemas.openxmlformats.org/spreadsheetml/2006/main" uniqueCount="121">
  <si>
    <t>Ohne ausgeschiedene Personen. Mit dem Beschäftigungsausmaß gewichtete Personen-Einheiten.</t>
  </si>
  <si>
    <t>Semester und Datenstichtag</t>
  </si>
  <si>
    <t xml:space="preserve">   Allgemeines Personal</t>
  </si>
  <si>
    <t>Universität</t>
  </si>
  <si>
    <t>Frauen</t>
  </si>
  <si>
    <t xml:space="preserve">   Wintersemester 2018 (Stichtag: 31.12.2018)</t>
  </si>
  <si>
    <t>Slicer Button Background</t>
  </si>
  <si>
    <t>Grid Title</t>
  </si>
  <si>
    <t>Oth Written Member</t>
  </si>
  <si>
    <t>Fill in Grid Name, Dimension or Both</t>
  </si>
  <si>
    <t>[ALLG Wertart].[Wertart]</t>
  </si>
  <si>
    <t>Ärzt/inn/e/n mit ausschließlichen Aufgaben in öffentlichen Krankenanstalten</t>
  </si>
  <si>
    <t xml:space="preserve">   Wintersemester 2011 (Stichtag: 31.12.2011)</t>
  </si>
  <si>
    <t xml:space="preserve">         darunter Krankenpflege im Rahmen einer öff. Krankenanstalt und Tierpflege in med. Einrichtungen</t>
  </si>
  <si>
    <t>All Marital Status</t>
  </si>
  <si>
    <t>Male</t>
  </si>
  <si>
    <t>Member1 Name</t>
  </si>
  <si>
    <t>Absolutwert</t>
  </si>
  <si>
    <t>Datenaufbereitung: bmfwf, Abt. I/10</t>
  </si>
  <si>
    <t>&lt;-- default Column Member Format</t>
  </si>
  <si>
    <r>
      <rPr>
        <u/>
        <sz val="9"/>
        <color rgb="FF000000"/>
        <rFont val="Tahoma"/>
        <family val="2"/>
      </rPr>
      <t>Hinweis</t>
    </r>
    <r>
      <rPr>
        <sz val="9"/>
        <color rgb="FF000000"/>
        <rFont val="Tahoma"/>
        <family val="2"/>
      </rPr>
      <t xml:space="preserve">: Für eine Abfrage der Gesamtsumme auf Ebene der Universität muss das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auf 'Insgesamt (bereinigt)' eingeschränkt werden. Die Auswahl 'Gesamt' beim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führt, ohne weitere Einschränkungen bei den Merkmalen </t>
    </r>
    <r>
      <rPr>
        <i/>
        <sz val="9"/>
        <color rgb="FF000000"/>
        <rFont val="Tahoma"/>
        <family val="2"/>
      </rPr>
      <t>Bundesland Universität</t>
    </r>
    <r>
      <rPr>
        <sz val="9"/>
        <color rgb="FF000000"/>
        <rFont val="Tahoma"/>
        <family val="2"/>
      </rPr>
      <t xml:space="preserve"> und/oder </t>
    </r>
    <r>
      <rPr>
        <i/>
        <sz val="9"/>
        <color rgb="FF000000"/>
        <rFont val="Tahoma"/>
        <family val="2"/>
      </rPr>
      <t>Universität-Ausrichtung</t>
    </r>
    <r>
      <rPr>
        <sz val="9"/>
        <color rgb="FF000000"/>
        <rFont val="Tahoma"/>
        <family val="2"/>
      </rPr>
      <t xml:space="preserve">, zu keinen verwertbaren Ergebnissen. Bei Auswahl der Merkmale </t>
    </r>
    <r>
      <rPr>
        <i/>
        <sz val="9"/>
        <color rgb="FF000000"/>
        <rFont val="Tahoma"/>
        <family val="2"/>
      </rPr>
      <t>Bundesland Universität</t>
    </r>
    <r>
      <rPr>
        <sz val="9"/>
        <color rgb="FF000000"/>
        <rFont val="Tahoma"/>
        <family val="2"/>
      </rPr>
      <t xml:space="preserve"> und </t>
    </r>
    <r>
      <rPr>
        <i/>
        <sz val="9"/>
        <color rgb="FF000000"/>
        <rFont val="Tahoma"/>
        <family val="2"/>
      </rPr>
      <t>Universität-Ausrichtung</t>
    </r>
    <r>
      <rPr>
        <sz val="9"/>
        <color rgb="FF000000"/>
        <rFont val="Tahoma"/>
        <family val="2"/>
      </rPr>
      <t xml:space="preserve"> ist zusätzlich das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auf 'Gesamt' einzuschränken.</t>
    </r>
  </si>
  <si>
    <t>Beschäftigungsausmaß in Prozent</t>
  </si>
  <si>
    <t>Gesamt</t>
  </si>
  <si>
    <t xml:space="preserve">      Äquivalente zu Professorinnen und Professoren</t>
  </si>
  <si>
    <t xml:space="preserve">   Wintersemester 2013 (Stichtag: 31.12.2013)</t>
  </si>
  <si>
    <t xml:space="preserve">         darunter über F &amp; E-Projekte drittfinanzierte Mitarbeiterinnen und Mitarbeiter</t>
  </si>
  <si>
    <t>Alternate Rows</t>
  </si>
  <si>
    <t>&lt;--  writeable cell format</t>
  </si>
  <si>
    <t xml:space="preserve">         Assistenzprofessorinnen und Assistenzprofessoren (KV) (UG-Karrierepfad)</t>
  </si>
  <si>
    <t xml:space="preserve">   Wintersemester 2007 (Stichtag: 31.12.2007)</t>
  </si>
  <si>
    <t xml:space="preserve">   Wintersemester 2021 (Stichtag: 31.12.2021)</t>
  </si>
  <si>
    <t xml:space="preserve">      wissenschaftliche und künstlerische Mitarbeiterinnen und Mitarbeiter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</si>
  <si>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</si>
  <si>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</si>
  <si>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</si>
  <si>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</si>
  <si>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</si>
  <si>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</si>
  <si>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[PU Verwendung].[Verwendungskategorien]</t>
  </si>
  <si>
    <t xml:space="preserve">         darunter Assistenzprofessorinnen und Assistenprofessoren (KV)</t>
  </si>
  <si>
    <t>Personal Universitäten</t>
  </si>
  <si>
    <t xml:space="preserve">         darunter über F&amp;E-Projekte drittfinanziertes allgemeines Personal</t>
  </si>
  <si>
    <t>Verwendungskategorien WBV</t>
  </si>
  <si>
    <t xml:space="preserve">   Wissenschaftliches und künstlerisches Personal</t>
  </si>
  <si>
    <t xml:space="preserve">   Wintersemester 2015 (Stichtag: 31.12.2015)</t>
  </si>
  <si>
    <t>Männer</t>
  </si>
  <si>
    <t xml:space="preserve">      Professorinnen und Professoren</t>
  </si>
  <si>
    <t>Slice Name (Optional)</t>
  </si>
  <si>
    <t>Measures</t>
  </si>
  <si>
    <t xml:space="preserve">   Wintersemester 2009 (Stichtag: 31.12.2009)</t>
  </si>
  <si>
    <t xml:space="preserve">   Wintersemester 2023 (Stichtag: 31.12.2023)</t>
  </si>
  <si>
    <t xml:space="preserve">         darunter Universitätsassistentinnen und -assistenten (KV) auf Laufbahnstelle gemäß § 13b Abs. 3 UG</t>
  </si>
  <si>
    <t>[PU Person].[Geschlecht]</t>
  </si>
  <si>
    <t>darunter Ärzt/inn/e/n mit ausschließlichen Aufgaben in öffentlichen Krankenanstalten</t>
  </si>
  <si>
    <t xml:space="preserve">         darunter Ärztinnen und Ärzte in Facharztausbildung</t>
  </si>
  <si>
    <t xml:space="preserve">   Wintersemester 2017 (Stichtag: 31.12.2017)</t>
  </si>
  <si>
    <t>Customer</t>
  </si>
  <si>
    <t>-All Customer</t>
  </si>
  <si>
    <t>Default Alternate Row Member Format --&gt;</t>
  </si>
  <si>
    <t>Alle Verwendungskategorien gemäß Z 3.6 der Anlage 9 UHSBV, seit 2023 aufgrund BGBl II Nr. 233/2023 inklusive Verwendung 88 Assistenzprofessor/in (KV) (Karrierepfad gemäß § 99 Abs. 5 und 6 UG).</t>
  </si>
  <si>
    <t>Bundesland Universität</t>
  </si>
  <si>
    <t xml:space="preserve">         Dozentinnen und Dozenten</t>
  </si>
  <si>
    <t xml:space="preserve">   Wintersemester 2010 (Stichtag: 31.12.2010)</t>
  </si>
  <si>
    <t xml:space="preserve">         darunter Ärzt/inn/e/n mit ausschließlichen Aufgaben in öffentlichen Krankenanstalten</t>
  </si>
  <si>
    <t>Slicer Item</t>
  </si>
  <si>
    <t>&lt;-- default Slicer Member Format</t>
  </si>
  <si>
    <t>Default Row Member Format --&gt;</t>
  </si>
  <si>
    <t>Grid/Table Name</t>
  </si>
  <si>
    <t>[Measures]</t>
  </si>
  <si>
    <t>(Members of Beschäftigungsausmaß in Prozent) - (0, Keine Angabe, Unknown, Ausgeschieden)</t>
  </si>
  <si>
    <t xml:space="preserve">   Wintersemester 2019 (Stichtag: 31.12.2019)</t>
  </si>
  <si>
    <t>&lt;-- writeable Slicer Member Format</t>
  </si>
  <si>
    <t>Slice Format 1</t>
  </si>
  <si>
    <t>&lt;-- Gesamtzeile</t>
  </si>
  <si>
    <t>3) Formatierung der Gesamtspalte und -zeile (siehe E25:E26)</t>
  </si>
  <si>
    <t>[PU Verwendung].[Verwendungskategorien WBV]</t>
  </si>
  <si>
    <t>darunter Krankenpflege im Rahmen einer öffentlichen Krankenanstalt</t>
  </si>
  <si>
    <t>Personal an Universitäten - Vollzeitäquivalente</t>
  </si>
  <si>
    <t xml:space="preserve">   Wintersemester 2012 (Stichtag: 31.12.2012)</t>
  </si>
  <si>
    <t>Slicer Button</t>
  </si>
  <si>
    <t>+2009</t>
  </si>
  <si>
    <t>&lt;-- default alternate row cell format</t>
  </si>
  <si>
    <t>&lt;--  written cell format</t>
  </si>
  <si>
    <t xml:space="preserve">   Wintersemester 2006 (Stichtag: 31.12.2006)</t>
  </si>
  <si>
    <t xml:space="preserve">   Wintersemester 2020 (Stichtag: 31.12.2020)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</si>
  <si>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</si>
  <si>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</si>
  <si>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</si>
  <si>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</si>
  <si>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</si>
  <si>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Verwendung-Code</t>
  </si>
  <si>
    <t>Universität-Ausrichtung</t>
  </si>
  <si>
    <t xml:space="preserve">   Wintersemester 2014 (Stichtag: 31.12.2014)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</si>
  <si>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</si>
  <si>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</si>
  <si>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</si>
  <si>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</si>
  <si>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</si>
  <si>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</si>
  <si>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 xml:space="preserve">   Wintersemester 2022 (Stichtag: 31.12.2022)</t>
  </si>
  <si>
    <t xml:space="preserve">   Wintersemester 2008 (Stichtag: 31.12.2008)</t>
  </si>
  <si>
    <t>Marital Status</t>
  </si>
  <si>
    <t>Default Writeable Member Format --&gt;</t>
  </si>
  <si>
    <t>Slice Format 2</t>
  </si>
  <si>
    <t>darunter über F &amp; E-Projekte drittfinanzierte Mitarbeiter/innen</t>
  </si>
  <si>
    <t>Anmerkung zur Technischen Universität Wien: seit Wintersemester 2019 (Stichtag: 31.12.2019) - vorläufige Zahlen</t>
  </si>
  <si>
    <t xml:space="preserve">         Assoziierte Professorinnen und Professoren (KV)</t>
  </si>
  <si>
    <t>Vollzeitäquivalente</t>
  </si>
  <si>
    <t xml:space="preserve">   Wintersemester 2016 (Stichtag: 31.12.2016)</t>
  </si>
  <si>
    <t>Writeable Member</t>
  </si>
  <si>
    <t>darunter über F&amp;E-Projekte drittfinanziertes allgemeines Personal</t>
  </si>
  <si>
    <t>Geschlecht</t>
  </si>
  <si>
    <t>11, 12, 12, 14, 16, 17, 18, 21, 23, 24, 25, 26, 27, 28, 30, 40, 50, 60, 61, 62, 64, 65, 66, 70, 81, 82, 83, 84, 85, 86, 88, 87</t>
  </si>
  <si>
    <t xml:space="preserve">   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</si>
  <si>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</si>
  <si>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</si>
  <si>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</si>
  <si>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</si>
  <si>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</si>
  <si>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Beschäftigungsverhältnis</t>
  </si>
  <si>
    <t xml:space="preserve">   Wintersemester 2005 (Stichtag: 15.10.2005)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</si>
</sst>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0"/>
      <color rgb="FF595959"/>
      <name val="Tahoma"/>
    </font>
    <font>
      <sz val="9"/>
      <name val="Tahoma"/>
      <family val="2"/>
    </font>
    <font>
      <sz val="10"/>
      <color rgb="FF00000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b/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i/>
      <sz val="9"/>
      <color rgb="FF000000"/>
      <name val="Tahoma"/>
      <family val="2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9"/>
      <color rgb="FF000000"/>
      <name val="Tahoma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/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164" fontId="2" fillId="0" borderId="1" xfId="0" applyNumberFormat="1" applyFont="1" applyFill="1" applyBorder="1" applyAlignment="1" applyProtection="1">
      <alignment horizontal="right"/>
    </xf>
    <xf numFmtId="164" fontId="2" fillId="2" borderId="1" xfId="0" applyNumberFormat="1" applyFont="1" applyFill="1" applyBorder="1" applyAlignment="1" applyProtection="1">
      <alignment horizontal="right" vertical="center"/>
    </xf>
    <xf numFmtId="164" fontId="2" fillId="2" borderId="1" xfId="0" applyNumberFormat="1" applyFont="1" applyFill="1" applyBorder="1" applyAlignment="1" applyProtection="1">
      <alignment horizontal="right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0" fontId="3" fillId="0" borderId="0" xfId="0" applyFont="1" applyFill="1" applyBorder="1"/>
    <xf numFmtId="164" fontId="2" fillId="2" borderId="1" xfId="0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0" fillId="0" borderId="0" xfId="0" applyFill="1" applyBorder="1" applyAlignment="1"/>
    <xf numFmtId="3" fontId="4" fillId="0" borderId="0" xfId="0" applyNumberFormat="1" applyFont="1" applyFill="1" applyBorder="1"/>
    <xf numFmtId="0" fontId="5" fillId="0" borderId="0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left" vertical="top" wrapText="1"/>
    </xf>
    <xf numFmtId="0" fontId="10" fillId="3" borderId="0" xfId="0" quotePrefix="1" applyFont="1" applyFill="1" applyAlignment="1" applyProtection="1"/>
    <xf numFmtId="0" fontId="5" fillId="0" borderId="0" xfId="0" applyFont="1" applyFill="1" applyBorder="1" applyAlignment="1">
      <alignment horizontal="left" vertical="center"/>
    </xf>
    <xf numFmtId="0" fontId="11" fillId="4" borderId="0" xfId="1" applyFont="1" applyFill="1" applyBorder="1" applyAlignment="1">
      <alignment horizontal="center"/>
    </xf>
    <xf numFmtId="0" fontId="12" fillId="0" borderId="0" xfId="0" applyFont="1" applyFill="1" applyBorder="1" applyAlignment="1">
      <alignment vertical="center"/>
    </xf>
    <xf numFmtId="0" fontId="13" fillId="0" borderId="0" xfId="1" applyFont="1"/>
    <xf numFmtId="0" fontId="14" fillId="0" borderId="0" xfId="0" applyFont="1"/>
    <xf numFmtId="0" fontId="15" fillId="5" borderId="0" xfId="0" applyFont="1" applyFill="1" applyAlignment="1"/>
    <xf numFmtId="164" fontId="2" fillId="0" borderId="1" xfId="0" quotePrefix="1" applyNumberFormat="1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right"/>
    </xf>
    <xf numFmtId="0" fontId="16" fillId="0" borderId="0" xfId="0" applyNumberFormat="1" applyFont="1" applyAlignment="1"/>
    <xf numFmtId="0" fontId="0" fillId="0" borderId="0" xfId="0" applyFill="1" applyBorder="1" applyAlignment="1">
      <alignment vertical="top"/>
    </xf>
    <xf numFmtId="0" fontId="17" fillId="0" borderId="0" xfId="0" applyFont="1" applyFill="1" applyBorder="1" applyAlignment="1">
      <alignment horizontal="left" vertical="top"/>
    </xf>
    <xf numFmtId="0" fontId="13" fillId="5" borderId="0" xfId="1" applyFont="1" applyFill="1"/>
    <xf numFmtId="0" fontId="16" fillId="0" borderId="0" xfId="0" applyFont="1"/>
    <xf numFmtId="0" fontId="18" fillId="0" borderId="0" xfId="0" applyFont="1" applyFill="1" applyBorder="1" applyAlignment="1"/>
    <xf numFmtId="0" fontId="19" fillId="0" borderId="0" xfId="0" applyFont="1"/>
    <xf numFmtId="0" fontId="2" fillId="0" borderId="1" xfId="0" applyFont="1" applyFill="1" applyBorder="1" applyAlignment="1" applyProtection="1">
      <alignment horizontal="right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8" fillId="0" borderId="0" xfId="0" applyFont="1"/>
    <xf numFmtId="0" fontId="20" fillId="0" borderId="0" xfId="0" applyFont="1"/>
    <xf numFmtId="0" fontId="2" fillId="0" borderId="2" xfId="0" applyFont="1" applyBorder="1" applyAlignment="1" applyProtection="1">
      <alignment horizontal="center"/>
    </xf>
    <xf numFmtId="0" fontId="16" fillId="0" borderId="0" xfId="0" quotePrefix="1" applyFont="1"/>
    <xf numFmtId="0" fontId="16" fillId="6" borderId="0" xfId="0" applyFont="1" applyFill="1"/>
    <xf numFmtId="0" fontId="2" fillId="2" borderId="1" xfId="0" applyFont="1" applyFill="1" applyBorder="1" applyAlignment="1" applyProtection="1">
      <alignment horizontal="right"/>
    </xf>
    <xf numFmtId="164" fontId="2" fillId="0" borderId="2" xfId="0" applyNumberFormat="1" applyFont="1" applyBorder="1" applyAlignment="1" applyProtection="1">
      <alignment horizontal="right"/>
    </xf>
    <xf numFmtId="0" fontId="2" fillId="0" borderId="3" xfId="0" applyFont="1" applyBorder="1" applyAlignment="1" applyProtection="1">
      <alignment vertical="center" wrapText="1"/>
    </xf>
    <xf numFmtId="165" fontId="16" fillId="0" borderId="0" xfId="0" applyNumberFormat="1" applyFont="1"/>
    <xf numFmtId="0" fontId="2" fillId="7" borderId="1" xfId="0" applyFont="1" applyFill="1" applyBorder="1" applyAlignment="1" applyProtection="1">
      <alignment vertical="center"/>
    </xf>
    <xf numFmtId="0" fontId="0" fillId="0" borderId="0" xfId="0" applyAlignment="1">
      <alignment vertical="top"/>
    </xf>
    <xf numFmtId="0" fontId="16" fillId="0" borderId="0" xfId="0" applyNumberFormat="1" applyFont="1" applyFill="1" applyBorder="1" applyAlignment="1"/>
    <xf numFmtId="3" fontId="6" fillId="0" borderId="0" xfId="0" applyNumberFormat="1" applyFont="1" applyFill="1" applyAlignment="1"/>
    <xf numFmtId="3" fontId="16" fillId="8" borderId="0" xfId="0" applyNumberFormat="1" applyFont="1" applyFill="1" applyAlignment="1"/>
    <xf numFmtId="0" fontId="16" fillId="6" borderId="0" xfId="0" applyNumberFormat="1" applyFont="1" applyFill="1" applyAlignment="1"/>
    <xf numFmtId="0" fontId="2" fillId="7" borderId="4" xfId="0" applyFont="1" applyFill="1" applyBorder="1" applyAlignment="1" applyProtection="1">
      <alignment horizontal="right"/>
    </xf>
    <xf numFmtId="0" fontId="16" fillId="0" borderId="0" xfId="0" applyNumberFormat="1" applyFont="1"/>
    <xf numFmtId="0" fontId="12" fillId="0" borderId="0" xfId="0" quotePrefix="1" applyFont="1" applyFill="1" applyAlignment="1">
      <alignment vertical="top"/>
    </xf>
    <xf numFmtId="0" fontId="19" fillId="0" borderId="5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9" fillId="0" borderId="5" xfId="0" quotePrefix="1" applyFont="1" applyFill="1" applyBorder="1" applyAlignment="1">
      <alignment horizontal="right"/>
    </xf>
    <xf numFmtId="3" fontId="16" fillId="6" borderId="0" xfId="0" applyNumberFormat="1" applyFont="1" applyFill="1" applyAlignment="1"/>
    <xf numFmtId="0" fontId="0" fillId="0" borderId="0" xfId="0" applyFont="1"/>
    <xf numFmtId="0" fontId="19" fillId="0" borderId="0" xfId="0" quotePrefix="1" applyFont="1" applyFill="1" applyBorder="1" applyAlignment="1"/>
    <xf numFmtId="0" fontId="2" fillId="0" borderId="1" xfId="0" quotePrefix="1" applyFont="1" applyFill="1" applyBorder="1" applyAlignment="1" applyProtection="1">
      <alignment vertical="center"/>
    </xf>
    <xf numFmtId="3" fontId="16" fillId="9" borderId="0" xfId="0" applyNumberFormat="1" applyFont="1" applyFill="1" applyAlignment="1"/>
    <xf numFmtId="0" fontId="16" fillId="0" borderId="0" xfId="0" quotePrefix="1" applyFont="1" applyFill="1"/>
    <xf numFmtId="0" fontId="6" fillId="0" borderId="0" xfId="0" applyFont="1" applyFill="1" applyBorder="1" applyAlignment="1">
      <alignment vertical="center"/>
    </xf>
    <xf numFmtId="3" fontId="19" fillId="0" borderId="5" xfId="0" applyNumberFormat="1" applyFont="1" applyFill="1" applyBorder="1" applyAlignment="1"/>
    <xf numFmtId="164" fontId="2" fillId="0" borderId="2" xfId="0" applyNumberFormat="1" applyFont="1" applyBorder="1" applyAlignment="1" applyProtection="1">
      <alignment horizontal="center"/>
    </xf>
    <xf numFmtId="3" fontId="16" fillId="0" borderId="0" xfId="0" applyNumberFormat="1" applyFont="1" applyAlignment="1"/>
    <xf numFmtId="0" fontId="2" fillId="0" borderId="6" xfId="0" applyFont="1" applyBorder="1" applyAlignment="1" applyProtection="1">
      <alignment horizontal="left" vertical="center"/>
    </xf>
    <xf numFmtId="0" fontId="2" fillId="0" borderId="0" xfId="0" quotePrefix="1" applyFont="1" applyAlignment="1" applyProtection="1"/>
    <xf numFmtId="0" fontId="2" fillId="0" borderId="7" xfId="0" applyFont="1" applyBorder="1" applyAlignment="1" applyProtection="1">
      <alignment vertical="center" wrapText="1"/>
    </xf>
    <xf numFmtId="2" fontId="16" fillId="0" borderId="0" xfId="0" applyNumberFormat="1" applyFont="1"/>
    <xf numFmtId="0" fontId="12" fillId="0" borderId="0" xfId="0" applyFont="1" applyFill="1" applyBorder="1" applyAlignment="1">
      <alignment horizontal="left" vertical="center"/>
    </xf>
    <xf numFmtId="0" fontId="2" fillId="7" borderId="4" xfId="0" applyFont="1" applyFill="1" applyBorder="1" applyAlignment="1" applyProtection="1">
      <alignment vertical="center"/>
    </xf>
    <xf numFmtId="0" fontId="11" fillId="4" borderId="8" xfId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3" fillId="6" borderId="0" xfId="1" applyFont="1" applyFill="1"/>
    <xf numFmtId="0" fontId="2" fillId="0" borderId="2" xfId="0" applyFont="1" applyBorder="1" applyAlignment="1" applyProtection="1">
      <alignment vertical="center"/>
    </xf>
    <xf numFmtId="0" fontId="0" fillId="0" borderId="0" xfId="0" applyFont="1" applyFill="1" applyBorder="1" applyAlignment="1"/>
    <xf numFmtId="0" fontId="21" fillId="0" borderId="0" xfId="0" applyFont="1"/>
    <xf numFmtId="0" fontId="2" fillId="7" borderId="1" xfId="0" applyFont="1" applyFill="1" applyBorder="1" applyAlignment="1" applyProtection="1">
      <alignment horizontal="right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11</xdr:row>
      <xdr:rowOff>0</xdr:rowOff>
    </xdr:from>
    <xdr:to>
      <xdr:col>1</xdr:col>
      <xdr:colOff>3697924</xdr:colOff>
      <xdr:row>12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473325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189865</xdr:rowOff>
    </xdr:from>
    <xdr:to>
      <xdr:col>1</xdr:col>
      <xdr:colOff>3697924</xdr:colOff>
      <xdr:row>13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663190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189865</xdr:rowOff>
    </xdr:from>
    <xdr:to>
      <xdr:col>1</xdr:col>
      <xdr:colOff>3697924</xdr:colOff>
      <xdr:row>14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853055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2"/>
  <sheetViews>
    <sheetView tabSelected="1" workbookViewId="0"/>
  </sheetViews>
  <sheetFormatPr defaultColWidth="11.42578125" defaultRowHeight="14.95"/>
  <cols>
    <col min="1" max="1" width="42.7109375" style="58" customWidth="1"/>
    <col min="2" max="2" width="88.7109375" customWidth="1"/>
    <col min="3" max="5" width="9.7109375" customWidth="1"/>
    <col min="6" max="6" width="7.140625" customWidth="1"/>
    <col min="7" max="7" width="7.85546875" customWidth="1"/>
    <col min="8" max="8" width="6.7109375" customWidth="1"/>
    <col min="9" max="10" width="8.140625" customWidth="1"/>
    <col min="11" max="11" width="11.57031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4" t="s">
        <v>40</v>
      </c>
      <c s="14"/>
      <c s="14"/>
      <c s="14"/>
      <c s="14"/>
      <c s="9"/>
      <c s="9"/>
    </row>
    <row s="36" customFormat="1">
      <c s="15" t="s">
        <v>77</v>
      </c>
      <c s="15"/>
      <c s="15"/>
      <c s="15"/>
      <c s="15"/>
      <c s="31"/>
      <c s="31"/>
    </row>
    <row ht="15" customHeight="1" s="36" customFormat="1">
      <c s="11" t="s">
        <v>59</v>
      </c>
      <c s="11"/>
      <c s="11"/>
      <c s="28"/>
      <c s="28"/>
      <c s="9"/>
      <c s="31"/>
    </row>
    <row ht="15" customHeight="1" s="36" customFormat="1">
      <c s="18" t="s">
        <v>0</v>
      </c>
      <c s="18"/>
      <c s="18"/>
      <c s="18"/>
      <c s="18"/>
      <c s="9"/>
      <c s="31"/>
    </row>
    <row ht="15" customHeight="1" s="36" customFormat="1">
      <c s="18" t="s">
        <v>105</v>
      </c>
      <c s="18"/>
      <c s="18"/>
      <c s="18"/>
      <c s="18"/>
      <c s="9"/>
      <c s="31"/>
    </row>
    <row ht="15" customHeight="1">
      <c s="18" t="s">
        <v>89</v>
      </c>
      <c s="18"/>
      <c s="18"/>
      <c s="11"/>
      <c s="11"/>
      <c s="9"/>
      <c s="9"/>
    </row>
    <row>
      <c s="53" t="s">
        <v>88</v>
      </c>
      <c s="11"/>
      <c s="11"/>
      <c s="11"/>
      <c s="11"/>
      <c s="9"/>
      <c s="9"/>
    </row>
    <row>
      <c s="53" t="s">
        <v>18</v>
      </c>
      <c s="11"/>
      <c s="11"/>
      <c s="11"/>
      <c s="11"/>
      <c s="9"/>
      <c s="9"/>
    </row>
    <row ht="45" customHeight="1" s="46" customFormat="1">
      <c s="16" t="s">
        <v>20</v>
      </c>
      <c s="16"/>
      <c s="16"/>
      <c s="16"/>
      <c s="16"/>
      <c s="27"/>
      <c s="27"/>
    </row>
    <row>
      <c s="71"/>
      <c s="20"/>
      <c s="20"/>
      <c s="20"/>
      <c s="20"/>
      <c s="9"/>
      <c s="9"/>
    </row>
    <row ht="15" customHeight="1">
      <c s="77"/>
      <c s="9"/>
      <c s="9"/>
      <c s="9"/>
      <c s="9"/>
      <c s="9"/>
      <c s="9"/>
    </row>
    <row>
      <c s="17" t="s">
        <v>3</v>
      </c>
      <c s="68" t="s">
        <v>22</v>
      </c>
    </row>
    <row>
      <c s="17" t="s">
        <v>60</v>
      </c>
      <c s="68" t="s">
        <v>22</v>
      </c>
    </row>
    <row>
      <c s="17" t="s">
        <v>91</v>
      </c>
      <c s="68" t="s">
        <v>22</v>
      </c>
    </row>
    <row ht="15" hidden="1">
      <c s="17" t="s">
        <v>90</v>
      </c>
      <c s="68" t="s">
        <v>112</v>
      </c>
    </row>
    <row ht="15" hidden="1">
      <c s="17" t="s">
        <v>21</v>
      </c>
      <c s="68" t="s">
        <v>69</v>
      </c>
    </row>
    <row ht="15" hidden="1">
      <c s="17" t="s">
        <v>119</v>
      </c>
      <c s="68" t="s">
        <v>22</v>
      </c>
    </row>
    <row>
      <c/>
    </row>
    <row>
      <c/>
    </row>
    <row ht="15" hidden="1">
      <c/>
      <c r="C20" s="17" t="s">
        <v>48</v>
      </c>
      <c s="17" t="s">
        <v>111</v>
      </c>
    </row>
    <row>
      <c/>
      <c r="C21" s="24" t="s">
        <v>107</v>
      </c>
      <c s="24"/>
      <c s="24"/>
    </row>
    <row ht="15" customHeight="1">
      <c s="17" t="s">
        <v>1</v>
      </c>
      <c s="17" t="s">
        <v>42</v>
      </c>
      <c s="33" t="s">
        <v>4</v>
      </c>
      <c s="33" t="s">
        <v>45</v>
      </c>
      <c s="41" t="s">
        <v>22</v>
      </c>
    </row>
    <row>
      <c s="60" t="s">
        <v>113</v>
      </c>
      <c s="8" t="s">
        <v>43</v>
      </c>
      <c s="1">
        <v>11205.764400000002</v>
      </c>
      <c s="1">
        <v>15179.198499999995</v>
      </c>
      <c s="3">
        <v>26384.96290000002</v>
      </c>
    </row>
    <row>
      <c s="60"/>
      <c s="8" t="s">
        <v>46</v>
      </c>
      <c s="1">
        <v>966.92829999999992</v>
      </c>
      <c s="1">
        <v>2107.3559000000005</v>
      </c>
      <c s="3">
        <v>3074.284200000001</v>
      </c>
    </row>
    <row>
      <c s="60"/>
      <c s="8" t="s">
        <v>23</v>
      </c>
      <c s="1">
        <v>825.59619999999995</v>
      </c>
      <c s="1">
        <v>1674.4729999999997</v>
      </c>
      <c s="3">
        <v>2500.0692000000004</v>
      </c>
    </row>
    <row>
      <c s="60"/>
      <c s="8" t="s">
        <v>61</v>
      </c>
      <c s="1">
        <v>282.83119999999997</v>
      </c>
      <c s="1">
        <v>775.68520000000001</v>
      </c>
      <c s="3">
        <v>1058.5164</v>
      </c>
    </row>
    <row>
      <c s="60"/>
      <c s="8" t="s">
        <v>106</v>
      </c>
      <c s="1">
        <v>319.64749999999998</v>
      </c>
      <c s="1">
        <v>587.73780000000011</v>
      </c>
      <c s="3">
        <v>907.38530000000014</v>
      </c>
    </row>
    <row>
      <c s="60"/>
      <c s="8" t="s">
        <v>28</v>
      </c>
      <c s="1">
        <v>223.11749999999998</v>
      </c>
      <c s="1">
        <v>311.05000000000001</v>
      </c>
      <c s="3">
        <v>534.16750000000002</v>
      </c>
    </row>
    <row>
      <c s="60"/>
      <c s="8" t="s">
        <v>31</v>
      </c>
      <c s="1">
        <v>9413.2399000000005</v>
      </c>
      <c s="1">
        <v>11397.369599999996</v>
      </c>
      <c s="3">
        <v>20810.609500000002</v>
      </c>
    </row>
    <row>
      <c s="60"/>
      <c s="8" t="s">
        <v>39</v>
      </c>
      <c s="1">
        <v>7.7372000000000005</v>
      </c>
      <c s="1">
        <v>7.5</v>
      </c>
      <c s="3">
        <v>15.2372</v>
      </c>
    </row>
    <row>
      <c s="60"/>
      <c s="8" t="s">
        <v>51</v>
      </c>
      <c s="1">
        <v>28.5</v>
      </c>
      <c s="1">
        <v>43.25</v>
      </c>
      <c s="3">
        <v>71.75</v>
      </c>
    </row>
    <row>
      <c s="60"/>
      <c s="8" t="s">
        <v>25</v>
      </c>
      <c s="1">
        <v>3130.2471999999989</v>
      </c>
      <c s="1">
        <v>4393.4650999999994</v>
      </c>
      <c s="3">
        <v>7523.7122999999983</v>
      </c>
    </row>
    <row>
      <c s="60"/>
      <c s="8" t="s">
        <v>54</v>
      </c>
      <c s="1">
        <v>508.64499999999998</v>
      </c>
      <c s="1">
        <v>522.20000000000005</v>
      </c>
      <c s="3">
        <v>1030.845</v>
      </c>
    </row>
    <row>
      <c s="60"/>
      <c s="8" t="s">
        <v>2</v>
      </c>
      <c s="1">
        <v>10094.359700000001</v>
      </c>
      <c s="1">
        <v>5871.6753000000008</v>
      </c>
      <c s="3">
        <v>15966.035000000003</v>
      </c>
    </row>
    <row>
      <c s="60"/>
      <c s="8" t="s">
        <v>41</v>
      </c>
      <c s="4">
        <v>1004.3900000000001</v>
      </c>
      <c s="4">
        <v>461.65999999999997</v>
      </c>
      <c s="6">
        <v>1466.0500000000002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545.76749999999981</v>
      </c>
      <c s="1">
        <v>141.47999999999999</v>
      </c>
      <c s="3">
        <v>687.24749999999972</v>
      </c>
    </row>
    <row>
      <c s="60"/>
      <c s="7" t="s">
        <v>22</v>
      </c>
      <c s="2">
        <v>21300.124100000015</v>
      </c>
      <c s="2">
        <v>21050.873800000005</v>
      </c>
      <c s="2">
        <v>42350.997900000009</v>
      </c>
    </row>
    <row>
      <c s="60" t="s">
        <v>50</v>
      </c>
      <c s="8" t="s">
        <v>43</v>
      </c>
      <c s="1">
        <v>10912.347599999996</v>
      </c>
      <c s="1">
        <v>15033.952099999997</v>
      </c>
      <c s="3">
        <v>25946.299700000014</v>
      </c>
    </row>
    <row>
      <c s="60"/>
      <c s="8" t="s">
        <v>46</v>
      </c>
      <c s="1">
        <v>904.70060000000012</v>
      </c>
      <c s="1">
        <v>2055.9529999999995</v>
      </c>
      <c s="3">
        <v>2960.6536000000006</v>
      </c>
    </row>
    <row>
      <c s="60"/>
      <c s="8" t="s">
        <v>23</v>
      </c>
      <c s="1">
        <v>869.04579999999987</v>
      </c>
      <c s="1">
        <v>1812.1872000000001</v>
      </c>
      <c s="3">
        <v>2681.2330000000006</v>
      </c>
    </row>
    <row>
      <c s="60"/>
      <c s="8" t="s">
        <v>61</v>
      </c>
      <c s="1">
        <v>309.3562</v>
      </c>
      <c s="1">
        <v>869.90690000000006</v>
      </c>
      <c s="3">
        <v>1179.2631000000001</v>
      </c>
    </row>
    <row>
      <c s="60"/>
      <c s="8" t="s">
        <v>106</v>
      </c>
      <c s="1">
        <v>328.1771</v>
      </c>
      <c s="1">
        <v>617.38029999999992</v>
      </c>
      <c s="3">
        <v>945.55739999999992</v>
      </c>
    </row>
    <row>
      <c s="60"/>
      <c s="8" t="s">
        <v>28</v>
      </c>
      <c s="1">
        <v>231.51250000000002</v>
      </c>
      <c s="1">
        <v>324.89999999999998</v>
      </c>
      <c s="3">
        <v>556.41250000000002</v>
      </c>
    </row>
    <row>
      <c s="60"/>
      <c s="8" t="s">
        <v>31</v>
      </c>
      <c s="1">
        <v>9138.6011999999973</v>
      </c>
      <c s="1">
        <v>11165.811899999999</v>
      </c>
      <c s="3">
        <v>20304.413100000005</v>
      </c>
    </row>
    <row>
      <c s="60"/>
      <c s="8" t="s">
        <v>39</v>
      </c>
      <c s="1">
        <v>12.691200000000002</v>
      </c>
      <c s="1">
        <v>3.5</v>
      </c>
      <c s="3">
        <v>16.191200000000002</v>
      </c>
    </row>
    <row>
      <c s="60"/>
      <c s="8" t="s">
        <v>51</v>
      </c>
      <c s="1">
        <v>26</v>
      </c>
      <c s="1">
        <v>41.25</v>
      </c>
      <c s="3">
        <v>67.25</v>
      </c>
    </row>
    <row>
      <c s="60"/>
      <c s="8" t="s">
        <v>25</v>
      </c>
      <c s="1">
        <v>3014.7415000000001</v>
      </c>
      <c s="1">
        <v>4301.5333000000019</v>
      </c>
      <c s="3">
        <v>7316.2748000000011</v>
      </c>
    </row>
    <row>
      <c s="60"/>
      <c s="8" t="s">
        <v>54</v>
      </c>
      <c s="1">
        <v>482.01499999999993</v>
      </c>
      <c s="1">
        <v>519.61000000000001</v>
      </c>
      <c s="3">
        <v>1001.625</v>
      </c>
    </row>
    <row>
      <c s="60"/>
      <c s="8" t="s">
        <v>2</v>
      </c>
      <c s="1">
        <v>9745.0624000000043</v>
      </c>
      <c s="1">
        <v>5741.5251000000007</v>
      </c>
      <c s="3">
        <v>15486.587500000005</v>
      </c>
    </row>
    <row>
      <c s="60"/>
      <c s="8" t="s">
        <v>41</v>
      </c>
      <c s="4">
        <v>963.42759999999998</v>
      </c>
      <c s="4">
        <v>453.30250000000007</v>
      </c>
      <c s="6">
        <v>1416.7301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496.815</v>
      </c>
      <c s="1">
        <v>130.34</v>
      </c>
      <c s="3">
        <v>627.15500000000009</v>
      </c>
    </row>
    <row>
      <c s="60"/>
      <c s="7" t="s">
        <v>22</v>
      </c>
      <c s="2">
        <v>20657.410000000003</v>
      </c>
      <c s="2">
        <v>20775.477200000005</v>
      </c>
      <c s="2">
        <v>41432.887200000012</v>
      </c>
    </row>
    <row>
      <c s="60" t="s">
        <v>99</v>
      </c>
      <c s="8" t="s">
        <v>43</v>
      </c>
      <c s="1">
        <v>10583.874699999998</v>
      </c>
      <c s="1">
        <v>14962.219300000001</v>
      </c>
      <c s="3">
        <v>25546.093999999994</v>
      </c>
    </row>
    <row>
      <c s="60"/>
      <c s="8" t="s">
        <v>46</v>
      </c>
      <c s="1">
        <v>841.7527</v>
      </c>
      <c s="1">
        <v>2009.3066999999999</v>
      </c>
      <c s="3">
        <v>2851.0593999999996</v>
      </c>
    </row>
    <row>
      <c s="60"/>
      <c s="8" t="s">
        <v>23</v>
      </c>
      <c s="1">
        <v>686.88970000000006</v>
      </c>
      <c s="1">
        <v>1625.2559000000001</v>
      </c>
      <c s="3">
        <v>2312.1455999999998</v>
      </c>
    </row>
    <row>
      <c s="60"/>
      <c s="8" t="s">
        <v>61</v>
      </c>
      <c s="1">
        <v>344.91559999999998</v>
      </c>
      <c s="1">
        <v>975.35090000000002</v>
      </c>
      <c s="3">
        <v>1320.2665</v>
      </c>
    </row>
    <row>
      <c s="60"/>
      <c s="8" t="s">
        <v>106</v>
      </c>
      <c s="1">
        <v>341.97410000000002</v>
      </c>
      <c s="1">
        <v>649.90499999999997</v>
      </c>
      <c s="3">
        <v>991.87909999999988</v>
      </c>
    </row>
    <row>
      <c s="60"/>
      <c s="8" t="s">
        <v>31</v>
      </c>
      <c s="1">
        <v>9055.2322999999978</v>
      </c>
      <c s="1">
        <v>11327.656700000001</v>
      </c>
      <c s="3">
        <v>20382.888999999999</v>
      </c>
    </row>
    <row>
      <c s="60"/>
      <c s="8" t="s">
        <v>39</v>
      </c>
      <c s="1">
        <v>216.22380000000001</v>
      </c>
      <c s="1">
        <v>307.31199999999995</v>
      </c>
      <c s="3">
        <v>523.53579999999999</v>
      </c>
    </row>
    <row>
      <c s="60"/>
      <c s="8" t="s">
        <v>51</v>
      </c>
      <c s="1">
        <v>33.700000000000003</v>
      </c>
      <c s="1">
        <v>36</v>
      </c>
      <c s="3">
        <v>69.700000000000003</v>
      </c>
    </row>
    <row>
      <c s="60"/>
      <c s="8" t="s">
        <v>25</v>
      </c>
      <c s="1">
        <v>2945.2057000000004</v>
      </c>
      <c s="1">
        <v>4256.9630000000006</v>
      </c>
      <c s="3">
        <v>7202.1687000000002</v>
      </c>
    </row>
    <row>
      <c s="60"/>
      <c s="8" t="s">
        <v>54</v>
      </c>
      <c s="1">
        <v>460.56499999999994</v>
      </c>
      <c s="1">
        <v>535.67999999999995</v>
      </c>
      <c s="3">
        <v>996.24499999999989</v>
      </c>
    </row>
    <row>
      <c s="60"/>
      <c s="8" t="s">
        <v>2</v>
      </c>
      <c s="1">
        <v>9574.6070999999956</v>
      </c>
      <c s="1">
        <v>5608.2351999999992</v>
      </c>
      <c s="3">
        <v>15182.8423</v>
      </c>
    </row>
    <row>
      <c s="60"/>
      <c s="8" t="s">
        <v>41</v>
      </c>
      <c s="4">
        <v>979.65669999999989</v>
      </c>
      <c s="4">
        <v>475.92160000000001</v>
      </c>
      <c s="6">
        <v>1455.5782999999999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509.69</v>
      </c>
      <c s="1">
        <v>130.98000000000002</v>
      </c>
      <c s="3">
        <v>640.67000000000007</v>
      </c>
    </row>
    <row>
      <c s="60"/>
      <c s="7" t="s">
        <v>22</v>
      </c>
      <c s="2">
        <v>20158.48179999999</v>
      </c>
      <c s="2">
        <v>20570.454499999996</v>
      </c>
      <c s="2">
        <v>40728.936299999994</v>
      </c>
    </row>
    <row>
      <c s="60" t="s">
        <v>30</v>
      </c>
      <c s="8" t="s">
        <v>43</v>
      </c>
      <c s="1">
        <v>10289.125699999997</v>
      </c>
      <c s="1">
        <v>15067.540300000002</v>
      </c>
      <c s="3">
        <v>25356.66599999999</v>
      </c>
    </row>
    <row>
      <c s="60"/>
      <c s="8" t="s">
        <v>46</v>
      </c>
      <c s="1">
        <v>802.21059999999989</v>
      </c>
      <c s="1">
        <v>2014.3673999999999</v>
      </c>
      <c s="3">
        <v>2816.5780000000004</v>
      </c>
    </row>
    <row>
      <c s="60"/>
      <c s="8" t="s">
        <v>23</v>
      </c>
      <c s="1">
        <v>707.94950000000006</v>
      </c>
      <c s="1">
        <v>1741.8608999999999</v>
      </c>
      <c s="3">
        <v>2449.8104000000008</v>
      </c>
    </row>
    <row>
      <c s="60"/>
      <c s="8" t="s">
        <v>61</v>
      </c>
      <c s="1">
        <v>372.82040000000001</v>
      </c>
      <c s="1">
        <v>1069.2008999999998</v>
      </c>
      <c s="3">
        <v>1442.0212999999997</v>
      </c>
    </row>
    <row>
      <c s="60"/>
      <c s="8" t="s">
        <v>106</v>
      </c>
      <c s="1">
        <v>335.12909999999999</v>
      </c>
      <c s="1">
        <v>672.65999999999997</v>
      </c>
      <c s="3">
        <v>1007.7890999999998</v>
      </c>
    </row>
    <row>
      <c s="60"/>
      <c s="8" t="s">
        <v>31</v>
      </c>
      <c s="1">
        <v>8778.9655999999977</v>
      </c>
      <c s="1">
        <v>11311.312000000002</v>
      </c>
      <c s="3">
        <v>20090.277599999994</v>
      </c>
    </row>
    <row>
      <c s="60"/>
      <c s="8" t="s">
        <v>39</v>
      </c>
      <c s="1">
        <v>185.20060000000001</v>
      </c>
      <c s="1">
        <v>293.42439999999999</v>
      </c>
      <c s="3">
        <v>478.625</v>
      </c>
    </row>
    <row>
      <c s="60"/>
      <c s="8" t="s">
        <v>51</v>
      </c>
      <c s="1">
        <v>42.674999999999997</v>
      </c>
      <c s="1">
        <v>45.950000000000003</v>
      </c>
      <c s="3">
        <v>88.625</v>
      </c>
    </row>
    <row>
      <c s="60"/>
      <c s="8" t="s">
        <v>25</v>
      </c>
      <c s="1">
        <v>2771.9141</v>
      </c>
      <c s="1">
        <v>4210.2141000000001</v>
      </c>
      <c s="3">
        <v>6982.1282000000001</v>
      </c>
    </row>
    <row>
      <c s="60"/>
      <c s="8" t="s">
        <v>54</v>
      </c>
      <c s="1">
        <v>459.58999999999998</v>
      </c>
      <c s="1">
        <v>536.96000000000004</v>
      </c>
      <c s="3">
        <v>996.55000000000007</v>
      </c>
    </row>
    <row>
      <c s="60"/>
      <c s="8" t="s">
        <v>2</v>
      </c>
      <c s="1">
        <v>9439.9646999999986</v>
      </c>
      <c s="1">
        <v>5546.4224000000004</v>
      </c>
      <c s="3">
        <v>14986.387099999996</v>
      </c>
    </row>
    <row>
      <c s="60"/>
      <c s="8" t="s">
        <v>41</v>
      </c>
      <c s="4">
        <v>1045.7957000000001</v>
      </c>
      <c s="4">
        <v>541.56290000000001</v>
      </c>
      <c s="6">
        <v>1587.3586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526.10500000000002</v>
      </c>
      <c s="1">
        <v>130.29499999999999</v>
      </c>
      <c s="3">
        <v>656.40000000000009</v>
      </c>
    </row>
    <row>
      <c s="60"/>
      <c s="7" t="s">
        <v>22</v>
      </c>
      <c s="2">
        <v>19729.090399999994</v>
      </c>
      <c s="2">
        <v>20613.962699999993</v>
      </c>
      <c s="2">
        <v>40343.053100000026</v>
      </c>
    </row>
    <row>
      <c s="60" t="s">
        <v>84</v>
      </c>
      <c s="8" t="s">
        <v>43</v>
      </c>
      <c s="1">
        <v>9917.5521999999928</v>
      </c>
      <c s="1">
        <v>14912.984599999994</v>
      </c>
      <c s="3">
        <v>24830.536799999987</v>
      </c>
    </row>
    <row>
      <c s="60"/>
      <c s="8" t="s">
        <v>46</v>
      </c>
      <c s="1">
        <v>764.98530000000005</v>
      </c>
      <c s="1">
        <v>1963.2940999999998</v>
      </c>
      <c s="3">
        <v>2728.2794000000004</v>
      </c>
    </row>
    <row>
      <c s="60"/>
      <c s="8" t="s">
        <v>23</v>
      </c>
      <c s="1">
        <v>718.81910000000016</v>
      </c>
      <c s="1">
        <v>1879.9331000000002</v>
      </c>
      <c s="3">
        <v>2598.7522000000004</v>
      </c>
    </row>
    <row>
      <c s="60"/>
      <c s="8" t="s">
        <v>61</v>
      </c>
      <c s="1">
        <v>392.54160000000002</v>
      </c>
      <c s="1">
        <v>1185.0980999999999</v>
      </c>
      <c s="3">
        <v>1577.6396999999999</v>
      </c>
    </row>
    <row>
      <c s="60"/>
      <c s="8" t="s">
        <v>106</v>
      </c>
      <c s="1">
        <v>326.27750000000003</v>
      </c>
      <c s="1">
        <v>694.83499999999992</v>
      </c>
      <c s="3">
        <v>1021.1125</v>
      </c>
    </row>
    <row>
      <c s="60"/>
      <c s="8" t="s">
        <v>31</v>
      </c>
      <c s="1">
        <v>8433.7477999999937</v>
      </c>
      <c s="1">
        <v>11069.757400000004</v>
      </c>
      <c s="3">
        <v>19503.505199999985</v>
      </c>
    </row>
    <row>
      <c s="60"/>
      <c s="8" t="s">
        <v>39</v>
      </c>
      <c s="1">
        <v>188.90629999999999</v>
      </c>
      <c s="1">
        <v>266.08279999999996</v>
      </c>
      <c s="3">
        <v>454.98910000000001</v>
      </c>
    </row>
    <row>
      <c s="60"/>
      <c s="8" t="s">
        <v>51</v>
      </c>
      <c s="1">
        <v>35</v>
      </c>
      <c s="1">
        <v>70</v>
      </c>
      <c s="3">
        <v>105</v>
      </c>
    </row>
    <row>
      <c s="60"/>
      <c s="8" t="s">
        <v>25</v>
      </c>
      <c s="1">
        <v>2612.5033999999996</v>
      </c>
      <c s="1">
        <v>4101.3513000000012</v>
      </c>
      <c s="3">
        <v>6713.8547000000008</v>
      </c>
    </row>
    <row>
      <c s="60"/>
      <c s="8" t="s">
        <v>54</v>
      </c>
      <c s="1">
        <v>435.375</v>
      </c>
      <c s="1">
        <v>519.19000000000005</v>
      </c>
      <c s="3">
        <v>954.56499999999994</v>
      </c>
    </row>
    <row>
      <c s="60"/>
      <c s="8" t="s">
        <v>2</v>
      </c>
      <c s="1">
        <v>9295.7641999999996</v>
      </c>
      <c s="1">
        <v>5501.9455999999991</v>
      </c>
      <c s="3">
        <v>14797.709799999997</v>
      </c>
    </row>
    <row>
      <c s="60"/>
      <c s="8" t="s">
        <v>41</v>
      </c>
      <c s="4">
        <v>1027.2748999999999</v>
      </c>
      <c s="4">
        <v>571.75939999999991</v>
      </c>
      <c s="6">
        <v>1599.0343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518.54999999999984</v>
      </c>
      <c s="1">
        <v>130.315</v>
      </c>
      <c s="3">
        <v>648.86499999999978</v>
      </c>
    </row>
    <row>
      <c s="60"/>
      <c s="7" t="s">
        <v>22</v>
      </c>
      <c s="2">
        <v>19213.316399999992</v>
      </c>
      <c s="2">
        <v>20414.930199999992</v>
      </c>
      <c s="2">
        <v>39628.246599999991</v>
      </c>
    </row>
    <row>
      <c s="60" t="s">
        <v>70</v>
      </c>
      <c s="8" t="s">
        <v>43</v>
      </c>
      <c s="1">
        <v>9275.2935000000034</v>
      </c>
      <c s="1">
        <v>14366.680599999994</v>
      </c>
      <c s="3">
        <v>23641.974099999989</v>
      </c>
    </row>
    <row>
      <c s="60"/>
      <c s="8" t="s">
        <v>46</v>
      </c>
      <c s="1">
        <v>663.88750000000005</v>
      </c>
      <c s="1">
        <v>1898.5419999999995</v>
      </c>
      <c s="3">
        <v>2562.4295000000006</v>
      </c>
    </row>
    <row>
      <c s="60"/>
      <c s="8" t="s">
        <v>23</v>
      </c>
      <c s="1">
        <v>737.75040000000013</v>
      </c>
      <c s="1">
        <v>1953.1235999999999</v>
      </c>
      <c s="3">
        <v>2690.8740000000003</v>
      </c>
    </row>
    <row>
      <c s="60"/>
      <c s="8" t="s">
        <v>61</v>
      </c>
      <c s="1">
        <v>416.33870000000002</v>
      </c>
      <c s="1">
        <v>1273.5636</v>
      </c>
      <c s="3">
        <v>1689.9023</v>
      </c>
    </row>
    <row>
      <c s="60"/>
      <c s="8" t="s">
        <v>106</v>
      </c>
      <c s="1">
        <v>321.41170000000005</v>
      </c>
      <c s="1">
        <v>679.55999999999995</v>
      </c>
      <c s="3">
        <v>1000.9716999999999</v>
      </c>
    </row>
    <row>
      <c s="60"/>
      <c s="8" t="s">
        <v>31</v>
      </c>
      <c s="1">
        <v>7873.6555999999982</v>
      </c>
      <c s="1">
        <v>10515.015000000001</v>
      </c>
      <c s="3">
        <v>18388.670599999998</v>
      </c>
    </row>
    <row>
      <c s="60"/>
      <c s="8" t="s">
        <v>39</v>
      </c>
      <c s="1">
        <v>153.71129999999999</v>
      </c>
      <c s="1">
        <v>206.7328</v>
      </c>
      <c s="3">
        <v>360.44409999999999</v>
      </c>
    </row>
    <row>
      <c s="60"/>
      <c s="8" t="s">
        <v>51</v>
      </c>
      <c s="1">
        <v>28.300000000000001</v>
      </c>
      <c s="1">
        <v>49</v>
      </c>
      <c s="3">
        <v>77.299999999999997</v>
      </c>
    </row>
    <row>
      <c s="60"/>
      <c s="8" t="s">
        <v>25</v>
      </c>
      <c s="1">
        <v>2500.7192999999997</v>
      </c>
      <c s="1">
        <v>4034.8425000000007</v>
      </c>
      <c s="3">
        <v>6535.5618000000013</v>
      </c>
    </row>
    <row>
      <c s="60"/>
      <c s="8" t="s">
        <v>54</v>
      </c>
      <c s="1">
        <v>437.51999999999998</v>
      </c>
      <c s="1">
        <v>533.82000000000005</v>
      </c>
      <c s="3">
        <v>971.34000000000003</v>
      </c>
    </row>
    <row>
      <c s="60"/>
      <c s="8" t="s">
        <v>2</v>
      </c>
      <c s="1">
        <v>9086.7702000000027</v>
      </c>
      <c s="1">
        <v>5491.3647000000001</v>
      </c>
      <c s="3">
        <v>14578.134900000003</v>
      </c>
    </row>
    <row>
      <c s="60"/>
      <c s="8" t="s">
        <v>41</v>
      </c>
      <c s="4">
        <v>1003.4858999999999</v>
      </c>
      <c s="4">
        <v>587.80600000000004</v>
      </c>
      <c s="6">
        <v>1591.2918999999997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522.83500000000004</v>
      </c>
      <c s="1">
        <v>137.685</v>
      </c>
      <c s="3">
        <v>660.51999999999998</v>
      </c>
    </row>
    <row>
      <c s="60"/>
      <c s="7" t="s">
        <v>22</v>
      </c>
      <c s="2">
        <v>18362.063700000002</v>
      </c>
      <c s="2">
        <v>19858.045299999991</v>
      </c>
      <c s="2">
        <v>38220.108999999997</v>
      </c>
    </row>
    <row>
      <c s="60" t="s">
        <v>5</v>
      </c>
      <c s="8" t="s">
        <v>43</v>
      </c>
      <c s="1">
        <v>8918.8336999999938</v>
      </c>
      <c s="1">
        <v>14074.5576</v>
      </c>
      <c s="3">
        <v>22993.391299999988</v>
      </c>
    </row>
    <row>
      <c s="60"/>
      <c s="8" t="s">
        <v>46</v>
      </c>
      <c s="1">
        <v>623.26539999999989</v>
      </c>
      <c s="1">
        <v>1861.0550000000001</v>
      </c>
      <c s="3">
        <v>2484.3204000000001</v>
      </c>
    </row>
    <row>
      <c s="60"/>
      <c s="8" t="s">
        <v>23</v>
      </c>
      <c s="1">
        <v>743.6825</v>
      </c>
      <c s="1">
        <v>2034.0039999999999</v>
      </c>
      <c s="3">
        <v>2777.6865000000003</v>
      </c>
    </row>
    <row>
      <c s="60"/>
      <c s="8" t="s">
        <v>61</v>
      </c>
      <c s="1">
        <v>448.49329999999998</v>
      </c>
      <c s="1">
        <v>1393.1989999999998</v>
      </c>
      <c s="3">
        <v>1841.6922999999999</v>
      </c>
    </row>
    <row>
      <c s="60"/>
      <c s="8" t="s">
        <v>106</v>
      </c>
      <c s="1">
        <v>295.18919999999997</v>
      </c>
      <c s="1">
        <v>640.80499999999995</v>
      </c>
      <c s="3">
        <v>935.99419999999998</v>
      </c>
    </row>
    <row>
      <c s="60"/>
      <c s="8" t="s">
        <v>31</v>
      </c>
      <c s="1">
        <v>7551.8857999999937</v>
      </c>
      <c s="1">
        <v>10179.498599999999</v>
      </c>
      <c s="3">
        <v>17731.384399999988</v>
      </c>
    </row>
    <row>
      <c s="60"/>
      <c s="8" t="s">
        <v>39</v>
      </c>
      <c s="1">
        <v>168.22229999999999</v>
      </c>
      <c s="1">
        <v>227.95779999999999</v>
      </c>
      <c s="3">
        <v>396.18009999999998</v>
      </c>
    </row>
    <row>
      <c s="60"/>
      <c s="8" t="s">
        <v>51</v>
      </c>
      <c s="1">
        <v>24.050000000000001</v>
      </c>
      <c s="1">
        <v>33</v>
      </c>
      <c s="3">
        <v>57.049999999999997</v>
      </c>
    </row>
    <row>
      <c s="60"/>
      <c s="8" t="s">
        <v>25</v>
      </c>
      <c s="1">
        <v>2421.2659999999996</v>
      </c>
      <c s="1">
        <v>4026.4776000000002</v>
      </c>
      <c s="3">
        <v>6447.7435999999998</v>
      </c>
    </row>
    <row>
      <c s="60"/>
      <c s="8" t="s">
        <v>54</v>
      </c>
      <c s="1">
        <v>439.82749999999993</v>
      </c>
      <c s="1">
        <v>538.59500000000003</v>
      </c>
      <c s="3">
        <v>978.4224999999999</v>
      </c>
    </row>
    <row>
      <c s="60"/>
      <c s="8" t="s">
        <v>2</v>
      </c>
      <c s="1">
        <v>8834.3092999999972</v>
      </c>
      <c s="1">
        <v>5346.2929999999997</v>
      </c>
      <c s="3">
        <v>14180.602299999995</v>
      </c>
    </row>
    <row>
      <c s="60"/>
      <c s="8" t="s">
        <v>41</v>
      </c>
      <c s="4">
        <v>992.57159999999976</v>
      </c>
      <c s="4">
        <v>567.10609999999997</v>
      </c>
      <c s="6">
        <v>1559.6776999999997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511.12999999999994</v>
      </c>
      <c s="1">
        <v>139.45500000000001</v>
      </c>
      <c s="3">
        <v>650.58499999999992</v>
      </c>
    </row>
    <row>
      <c s="60"/>
      <c s="7" t="s">
        <v>22</v>
      </c>
      <c s="2">
        <v>17753.142999999985</v>
      </c>
      <c s="2">
        <v>19420.850599999994</v>
      </c>
      <c s="2">
        <v>37173.993600000045</v>
      </c>
    </row>
    <row>
      <c s="60" t="s">
        <v>55</v>
      </c>
      <c s="8" t="s">
        <v>43</v>
      </c>
      <c s="1">
        <v>8548.6942999999992</v>
      </c>
      <c s="1">
        <v>13902.129300000008</v>
      </c>
      <c s="3">
        <v>22450.823600000007</v>
      </c>
    </row>
    <row>
      <c s="60"/>
      <c s="8" t="s">
        <v>46</v>
      </c>
      <c s="1">
        <v>596.67370000000005</v>
      </c>
      <c s="1">
        <v>1829.6608000000001</v>
      </c>
      <c s="3">
        <v>2426.334499999999</v>
      </c>
    </row>
    <row>
      <c s="60"/>
      <c s="8" t="s">
        <v>23</v>
      </c>
      <c s="1">
        <v>714.41630000000009</v>
      </c>
      <c s="1">
        <v>2054.4677999999994</v>
      </c>
      <c s="3">
        <v>2768.8840999999989</v>
      </c>
    </row>
    <row>
      <c s="60"/>
      <c s="8" t="s">
        <v>61</v>
      </c>
      <c s="1">
        <v>458.36830000000003</v>
      </c>
      <c s="1">
        <v>1495.9928</v>
      </c>
      <c s="3">
        <v>1954.3610999999999</v>
      </c>
    </row>
    <row>
      <c s="60"/>
      <c s="8" t="s">
        <v>106</v>
      </c>
      <c s="1">
        <v>256.048</v>
      </c>
      <c s="1">
        <v>558.47500000000002</v>
      </c>
      <c s="3">
        <v>814.52300000000002</v>
      </c>
    </row>
    <row>
      <c s="60"/>
      <c s="8" t="s">
        <v>31</v>
      </c>
      <c s="1">
        <v>7237.6042999999963</v>
      </c>
      <c s="1">
        <v>10018.000699999997</v>
      </c>
      <c s="3">
        <v>17255.60500000001</v>
      </c>
    </row>
    <row>
      <c s="60"/>
      <c s="8" t="s">
        <v>39</v>
      </c>
      <c s="1">
        <v>195.07319999999999</v>
      </c>
      <c s="1">
        <v>321.20499999999998</v>
      </c>
      <c s="3">
        <v>516.27819999999997</v>
      </c>
    </row>
    <row>
      <c s="60"/>
      <c s="8" t="s">
        <v>51</v>
      </c>
      <c s="1">
        <v>14</v>
      </c>
      <c s="1">
        <v>23.75</v>
      </c>
      <c s="3">
        <v>37.75</v>
      </c>
    </row>
    <row>
      <c s="60"/>
      <c s="8" t="s">
        <v>25</v>
      </c>
      <c s="1">
        <v>2307.8298999999997</v>
      </c>
      <c s="1">
        <v>3959.1821</v>
      </c>
      <c s="3">
        <v>6267.0119999999997</v>
      </c>
    </row>
    <row>
      <c s="60"/>
      <c s="8" t="s">
        <v>54</v>
      </c>
      <c s="1">
        <v>436.03499999999997</v>
      </c>
      <c s="1">
        <v>514.17000000000007</v>
      </c>
      <c s="3">
        <v>950.20500000000004</v>
      </c>
    </row>
    <row>
      <c s="60"/>
      <c s="8" t="s">
        <v>2</v>
      </c>
      <c s="1">
        <v>8608.1907999999985</v>
      </c>
      <c s="1">
        <v>5246.4536000000007</v>
      </c>
      <c s="3">
        <v>13854.644399999999</v>
      </c>
    </row>
    <row>
      <c s="60"/>
      <c s="8" t="s">
        <v>41</v>
      </c>
      <c s="4">
        <v>976.99990000000003</v>
      </c>
      <c s="4">
        <v>531.01499999999999</v>
      </c>
      <c s="6">
        <v>1508.0149000000001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494.15499999999997</v>
      </c>
      <c s="1">
        <v>127.97499999999999</v>
      </c>
      <c s="3">
        <v>622.13</v>
      </c>
    </row>
    <row>
      <c s="60"/>
      <c s="7" t="s">
        <v>22</v>
      </c>
      <c s="2">
        <v>17156.885100000007</v>
      </c>
      <c s="2">
        <v>19148.582900000005</v>
      </c>
      <c s="2">
        <v>36305.467999999964</v>
      </c>
    </row>
    <row>
      <c s="60" t="s">
        <v>108</v>
      </c>
      <c s="8" t="s">
        <v>43</v>
      </c>
      <c s="1">
        <v>8373.4643999999989</v>
      </c>
      <c s="1">
        <v>13713.090300000002</v>
      </c>
      <c s="3">
        <v>22086.554699999997</v>
      </c>
    </row>
    <row>
      <c s="60"/>
      <c s="8" t="s">
        <v>46</v>
      </c>
      <c s="1">
        <v>571.51869999999997</v>
      </c>
      <c s="1">
        <v>1822.6508000000003</v>
      </c>
      <c s="3">
        <v>2394.1695000000004</v>
      </c>
    </row>
    <row>
      <c s="60"/>
      <c s="8" t="s">
        <v>23</v>
      </c>
      <c s="1">
        <v>695.41500000000008</v>
      </c>
      <c s="1">
        <v>2077.2249000000002</v>
      </c>
      <c s="3">
        <v>2772.6398999999997</v>
      </c>
    </row>
    <row>
      <c s="60"/>
      <c s="8" t="s">
        <v>61</v>
      </c>
      <c s="1">
        <v>479.96500000000003</v>
      </c>
      <c s="1">
        <v>1572.5499</v>
      </c>
      <c s="3">
        <v>2052.5148999999997</v>
      </c>
    </row>
    <row>
      <c s="60"/>
      <c s="8" t="s">
        <v>106</v>
      </c>
      <c s="1">
        <v>215.44999999999999</v>
      </c>
      <c s="1">
        <v>504.67500000000001</v>
      </c>
      <c s="3">
        <v>720.125</v>
      </c>
    </row>
    <row>
      <c s="60"/>
      <c s="8" t="s">
        <v>31</v>
      </c>
      <c s="1">
        <v>7106.5306999999984</v>
      </c>
      <c s="1">
        <v>9813.2146000000012</v>
      </c>
      <c s="3">
        <v>16919.745299999995</v>
      </c>
    </row>
    <row>
      <c s="60"/>
      <c s="8" t="s">
        <v>39</v>
      </c>
      <c s="1">
        <v>232.18000000000001</v>
      </c>
      <c s="1">
        <v>366</v>
      </c>
      <c s="3">
        <v>598.18000000000006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2231.0622999999996</v>
      </c>
      <c s="1">
        <v>3847.4657999999999</v>
      </c>
      <c s="3">
        <v>6078.5281000000014</v>
      </c>
    </row>
    <row>
      <c s="60"/>
      <c s="8" t="s">
        <v>54</v>
      </c>
      <c s="1">
        <v>472.37499999999994</v>
      </c>
      <c s="1">
        <v>497.64999999999998</v>
      </c>
      <c s="3">
        <v>970.02499999999998</v>
      </c>
    </row>
    <row>
      <c s="60"/>
      <c s="8" t="s">
        <v>2</v>
      </c>
      <c s="1">
        <v>8489.6980000000003</v>
      </c>
      <c s="1">
        <v>5156.4539999999997</v>
      </c>
      <c s="3">
        <v>13646.151999999998</v>
      </c>
    </row>
    <row>
      <c s="60"/>
      <c s="8" t="s">
        <v>41</v>
      </c>
      <c s="4">
        <v>1096.6206999999999</v>
      </c>
      <c s="4">
        <v>553.58849999999995</v>
      </c>
      <c s="6">
        <v>1650.2092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376.03100000000001</v>
      </c>
      <c s="1">
        <v>92.012500000000003</v>
      </c>
      <c s="3">
        <v>468.04349999999999</v>
      </c>
    </row>
    <row>
      <c s="60"/>
      <c s="7" t="s">
        <v>22</v>
      </c>
      <c s="2">
        <v>16863.162400000005</v>
      </c>
      <c s="2">
        <v>18869.544299999998</v>
      </c>
      <c s="2">
        <v>35732.706699999966</v>
      </c>
    </row>
    <row>
      <c s="60" t="s">
        <v>44</v>
      </c>
      <c s="8" t="s">
        <v>43</v>
      </c>
      <c s="1">
        <v>8294.2893999999997</v>
      </c>
      <c s="1">
        <v>13769.630999999996</v>
      </c>
      <c s="3">
        <v>22063.920399999995</v>
      </c>
    </row>
    <row>
      <c s="60"/>
      <c s="8" t="s">
        <v>46</v>
      </c>
      <c s="1">
        <v>536.9135</v>
      </c>
      <c s="1">
        <v>1828.2423999999999</v>
      </c>
      <c s="3">
        <v>2365.1558999999997</v>
      </c>
    </row>
    <row>
      <c s="60"/>
      <c s="8" t="s">
        <v>23</v>
      </c>
      <c s="1">
        <v>663.24260000000015</v>
      </c>
      <c s="1">
        <v>2069.6579000000002</v>
      </c>
      <c s="3">
        <v>2732.9004999999997</v>
      </c>
    </row>
    <row>
      <c s="60"/>
      <c s="8" t="s">
        <v>61</v>
      </c>
      <c s="1">
        <v>496.19260000000003</v>
      </c>
      <c s="1">
        <v>1639.8528999999999</v>
      </c>
      <c s="3">
        <v>2136.0454999999997</v>
      </c>
    </row>
    <row>
      <c s="60"/>
      <c s="8" t="s">
        <v>106</v>
      </c>
      <c s="1">
        <v>167.04999999999998</v>
      </c>
      <c s="1">
        <v>429.80500000000001</v>
      </c>
      <c s="3">
        <v>596.85500000000002</v>
      </c>
    </row>
    <row>
      <c s="60"/>
      <c s="8" t="s">
        <v>31</v>
      </c>
      <c s="1">
        <v>7094.1332999999986</v>
      </c>
      <c s="1">
        <v>9871.7306999999946</v>
      </c>
      <c s="3">
        <v>16965.86399999999</v>
      </c>
    </row>
    <row>
      <c s="60"/>
      <c s="8" t="s">
        <v>39</v>
      </c>
      <c s="1">
        <v>221.75500000000002</v>
      </c>
      <c s="1">
        <v>379.93000000000001</v>
      </c>
      <c s="3">
        <v>601.68499999999983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2282.1043</v>
      </c>
      <c s="1">
        <v>3881.7782999999995</v>
      </c>
      <c s="3">
        <v>6163.8825999999999</v>
      </c>
    </row>
    <row>
      <c s="60"/>
      <c s="8" t="s">
        <v>54</v>
      </c>
      <c s="1">
        <v>502.80499999999995</v>
      </c>
      <c s="1">
        <v>493.01500000000004</v>
      </c>
      <c s="3">
        <v>995.82000000000005</v>
      </c>
    </row>
    <row>
      <c s="60"/>
      <c s="8" t="s">
        <v>2</v>
      </c>
      <c s="1">
        <v>8414.372199999998</v>
      </c>
      <c s="1">
        <v>5142.9196999999995</v>
      </c>
      <c s="3">
        <v>13557.291899999997</v>
      </c>
    </row>
    <row>
      <c s="60"/>
      <c s="8" t="s">
        <v>41</v>
      </c>
      <c s="4">
        <v>1080.7695999999999</v>
      </c>
      <c s="4">
        <v>546.95740000000001</v>
      </c>
      <c s="6">
        <v>1627.7269999999999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380.17559999999997</v>
      </c>
      <c s="1">
        <v>95.162499999999994</v>
      </c>
      <c s="3">
        <v>475.3381</v>
      </c>
    </row>
    <row>
      <c s="60"/>
      <c s="7" t="s">
        <v>22</v>
      </c>
      <c s="2">
        <v>16708.661600000003</v>
      </c>
      <c s="2">
        <v>18912.5507</v>
      </c>
      <c s="2">
        <v>35621.21229999997</v>
      </c>
    </row>
    <row>
      <c s="60" t="s">
        <v>92</v>
      </c>
      <c s="8" t="s">
        <v>43</v>
      </c>
      <c s="1">
        <v>8001.0591999999997</v>
      </c>
      <c s="1">
        <v>13604.376599999998</v>
      </c>
      <c s="3">
        <v>21605.435800000003</v>
      </c>
    </row>
    <row>
      <c s="60"/>
      <c s="8" t="s">
        <v>46</v>
      </c>
      <c s="1">
        <v>524.98349999999994</v>
      </c>
      <c s="1">
        <v>1799.7566000000002</v>
      </c>
      <c s="3">
        <v>2324.7401</v>
      </c>
    </row>
    <row>
      <c s="60"/>
      <c s="8" t="s">
        <v>23</v>
      </c>
      <c s="1">
        <v>622.90259999999989</v>
      </c>
      <c s="1">
        <v>2079.2689999999998</v>
      </c>
      <c s="3">
        <v>2702.1716000000001</v>
      </c>
    </row>
    <row>
      <c s="60"/>
      <c s="8" t="s">
        <v>61</v>
      </c>
      <c s="1">
        <v>506.99759999999998</v>
      </c>
      <c s="1">
        <v>1731.6440000000005</v>
      </c>
      <c s="3">
        <v>2238.6416000000004</v>
      </c>
    </row>
    <row>
      <c s="60"/>
      <c s="8" t="s">
        <v>106</v>
      </c>
      <c s="1">
        <v>115.905</v>
      </c>
      <c s="1">
        <v>347.625</v>
      </c>
      <c s="3">
        <v>463.53000000000003</v>
      </c>
    </row>
    <row>
      <c s="60"/>
      <c s="8" t="s">
        <v>31</v>
      </c>
      <c s="1">
        <v>6853.1731</v>
      </c>
      <c s="1">
        <v>9725.3509999999969</v>
      </c>
      <c s="3">
        <v>16578.524099999988</v>
      </c>
    </row>
    <row>
      <c s="60"/>
      <c s="8" t="s">
        <v>39</v>
      </c>
      <c s="1">
        <v>202.3475</v>
      </c>
      <c s="1">
        <v>337.56</v>
      </c>
      <c s="3">
        <v>539.90749999999991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2197.8842</v>
      </c>
      <c s="1">
        <v>3842.3680000000013</v>
      </c>
      <c s="3">
        <v>6040.2522000000017</v>
      </c>
    </row>
    <row>
      <c s="60"/>
      <c s="8" t="s">
        <v>54</v>
      </c>
      <c s="1">
        <v>508.64500000000004</v>
      </c>
      <c s="1">
        <v>494.02000000000004</v>
      </c>
      <c s="3">
        <v>1002.6650000000001</v>
      </c>
    </row>
    <row>
      <c s="60"/>
      <c s="8" t="s">
        <v>2</v>
      </c>
      <c s="1">
        <v>8313.2486999999946</v>
      </c>
      <c s="1">
        <v>5171.2096000000001</v>
      </c>
      <c s="3">
        <v>13484.458299999998</v>
      </c>
    </row>
    <row>
      <c s="60"/>
      <c s="8" t="s">
        <v>41</v>
      </c>
      <c s="4">
        <v>1079.1508000000001</v>
      </c>
      <c s="4">
        <v>590.90179999999998</v>
      </c>
      <c s="6">
        <v>1670.0526000000002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374.38560000000007</v>
      </c>
      <c s="1">
        <v>94.262500000000003</v>
      </c>
      <c s="3">
        <v>468.64810000000006</v>
      </c>
    </row>
    <row>
      <c s="60"/>
      <c s="7" t="s">
        <v>22</v>
      </c>
      <c s="2">
        <v>16314.307899999994</v>
      </c>
      <c s="2">
        <v>18775.586200000002</v>
      </c>
      <c s="2">
        <v>35089.894099999976</v>
      </c>
    </row>
    <row>
      <c s="60" t="s">
        <v>24</v>
      </c>
      <c s="8" t="s">
        <v>43</v>
      </c>
      <c s="1">
        <v>7816.0178999999989</v>
      </c>
      <c s="1">
        <v>13580.993399999999</v>
      </c>
      <c s="3">
        <v>21397.011300000013</v>
      </c>
    </row>
    <row>
      <c s="60"/>
      <c s="8" t="s">
        <v>46</v>
      </c>
      <c s="1">
        <v>503.3897</v>
      </c>
      <c s="1">
        <v>1766.3877000000009</v>
      </c>
      <c s="3">
        <v>2269.7773999999995</v>
      </c>
    </row>
    <row>
      <c s="60"/>
      <c s="8" t="s">
        <v>23</v>
      </c>
      <c s="1">
        <v>626.33460000000002</v>
      </c>
      <c s="1">
        <v>2097.2791000000002</v>
      </c>
      <c s="3">
        <v>2723.6137000000003</v>
      </c>
    </row>
    <row>
      <c s="60"/>
      <c s="8" t="s">
        <v>61</v>
      </c>
      <c s="1">
        <v>537.67960000000005</v>
      </c>
      <c s="1">
        <v>1832.5541000000003</v>
      </c>
      <c s="3">
        <v>2370.2337000000007</v>
      </c>
    </row>
    <row>
      <c s="60"/>
      <c s="8" t="s">
        <v>106</v>
      </c>
      <c s="1">
        <v>88.655000000000001</v>
      </c>
      <c s="1">
        <v>264.72500000000002</v>
      </c>
      <c s="3">
        <v>353.38</v>
      </c>
    </row>
    <row>
      <c s="60"/>
      <c s="8" t="s">
        <v>31</v>
      </c>
      <c s="1">
        <v>6686.2935999999982</v>
      </c>
      <c s="1">
        <v>9717.3265999999985</v>
      </c>
      <c s="3">
        <v>16403.620200000001</v>
      </c>
    </row>
    <row>
      <c s="60"/>
      <c s="8" t="s">
        <v>39</v>
      </c>
      <c s="1">
        <v>207.98499999999999</v>
      </c>
      <c s="1">
        <v>353.38</v>
      </c>
      <c s="3">
        <v>561.36500000000001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2170.6812</v>
      </c>
      <c s="1">
        <v>3855.3947999999996</v>
      </c>
      <c s="3">
        <v>6026.076</v>
      </c>
    </row>
    <row>
      <c s="60"/>
      <c s="8" t="s">
        <v>54</v>
      </c>
      <c s="1">
        <v>468.15499999999997</v>
      </c>
      <c s="1">
        <v>475.92999999999995</v>
      </c>
      <c s="3">
        <v>944.08500000000004</v>
      </c>
    </row>
    <row>
      <c s="60"/>
      <c s="8" t="s">
        <v>2</v>
      </c>
      <c s="1">
        <v>8104.2164999999986</v>
      </c>
      <c s="1">
        <v>5067.2939000000006</v>
      </c>
      <c s="3">
        <v>13171.510399999992</v>
      </c>
    </row>
    <row>
      <c s="60"/>
      <c s="8" t="s">
        <v>41</v>
      </c>
      <c s="4">
        <v>1035.1683999999998</v>
      </c>
      <c s="4">
        <v>575.33070000000009</v>
      </c>
      <c s="6">
        <v>1610.4990999999998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322.036</v>
      </c>
      <c s="1">
        <v>44.060000000000002</v>
      </c>
      <c s="3">
        <v>366.096</v>
      </c>
    </row>
    <row>
      <c s="60"/>
      <c s="7" t="s">
        <v>22</v>
      </c>
      <c s="2">
        <v>15920.234399999998</v>
      </c>
      <c s="2">
        <v>18648.287300000015</v>
      </c>
      <c s="2">
        <v>34568.52169999999</v>
      </c>
    </row>
    <row>
      <c s="60" t="s">
        <v>78</v>
      </c>
      <c s="8" t="s">
        <v>43</v>
      </c>
      <c s="1">
        <v>7662.9927999999991</v>
      </c>
      <c s="1">
        <v>13382.532699999991</v>
      </c>
      <c s="3">
        <v>21045.525499999992</v>
      </c>
    </row>
    <row>
      <c s="60"/>
      <c s="8" t="s">
        <v>46</v>
      </c>
      <c s="1">
        <v>485.46719999999999</v>
      </c>
      <c s="1">
        <v>1770.1319000000005</v>
      </c>
      <c s="3">
        <v>2255.5991000000004</v>
      </c>
    </row>
    <row>
      <c s="60"/>
      <c s="8" t="s">
        <v>23</v>
      </c>
      <c s="1">
        <v>591.60260000000005</v>
      </c>
      <c s="1">
        <v>2123.7191000000003</v>
      </c>
      <c s="3">
        <v>2715.3217</v>
      </c>
    </row>
    <row>
      <c s="60"/>
      <c s="8" t="s">
        <v>61</v>
      </c>
      <c s="1">
        <v>531.87760000000003</v>
      </c>
      <c s="1">
        <v>1925.3441</v>
      </c>
      <c s="3">
        <v>2457.2217000000001</v>
      </c>
    </row>
    <row>
      <c s="60"/>
      <c s="8" t="s">
        <v>106</v>
      </c>
      <c s="1">
        <v>59.725000000000001</v>
      </c>
      <c s="1">
        <v>198.375</v>
      </c>
      <c s="3">
        <v>258.09999999999997</v>
      </c>
    </row>
    <row>
      <c s="60"/>
      <c s="8" t="s">
        <v>31</v>
      </c>
      <c s="1">
        <v>6585.922999999998</v>
      </c>
      <c s="1">
        <v>9488.6816999999937</v>
      </c>
      <c s="3">
        <v>16074.604699999994</v>
      </c>
    </row>
    <row>
      <c s="60"/>
      <c s="8" t="s">
        <v>39</v>
      </c>
      <c s="1">
        <v>193.42500000000001</v>
      </c>
      <c s="1">
        <v>315.5</v>
      </c>
      <c s="3">
        <v>508.92500000000001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2123.7542999999991</v>
      </c>
      <c s="1">
        <v>3778.4191999999994</v>
      </c>
      <c s="3">
        <v>5902.173499999999</v>
      </c>
    </row>
    <row>
      <c s="60"/>
      <c s="8" t="s">
        <v>54</v>
      </c>
      <c s="1">
        <v>489.77999999999997</v>
      </c>
      <c s="1">
        <v>450.88999999999999</v>
      </c>
      <c s="3">
        <v>940.67000000000007</v>
      </c>
    </row>
    <row>
      <c s="60"/>
      <c s="8" t="s">
        <v>2</v>
      </c>
      <c s="1">
        <v>7983.1796999999997</v>
      </c>
      <c s="1">
        <v>5035.4793000000009</v>
      </c>
      <c s="3">
        <v>13018.658999999994</v>
      </c>
    </row>
    <row>
      <c s="60"/>
      <c s="8" t="s">
        <v>41</v>
      </c>
      <c s="4">
        <v>838.86699999999996</v>
      </c>
      <c s="4">
        <v>515.52589999999987</v>
      </c>
      <c s="6">
        <v>1354.3928999999998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390.41499999999996</v>
      </c>
      <c s="1">
        <v>74.25</v>
      </c>
      <c s="3">
        <v>464.66499999999996</v>
      </c>
    </row>
    <row>
      <c s="60"/>
      <c s="7" t="s">
        <v>22</v>
      </c>
      <c s="2">
        <v>15646.172499999997</v>
      </c>
      <c s="2">
        <v>18418.011999999992</v>
      </c>
      <c s="2">
        <v>34064.184500000003</v>
      </c>
    </row>
    <row>
      <c s="60" t="s">
        <v>12</v>
      </c>
      <c s="8" t="s">
        <v>43</v>
      </c>
      <c s="1">
        <v>7744.9006000000009</v>
      </c>
      <c s="1">
        <v>13609.735800000004</v>
      </c>
      <c s="3">
        <v>21354.636399999981</v>
      </c>
    </row>
    <row>
      <c s="60"/>
      <c s="8" t="s">
        <v>46</v>
      </c>
      <c s="1">
        <v>460.91249999999997</v>
      </c>
      <c s="1">
        <v>1775.4818</v>
      </c>
      <c s="3">
        <v>2236.3942999999999</v>
      </c>
    </row>
    <row>
      <c s="60"/>
      <c s="8" t="s">
        <v>23</v>
      </c>
      <c s="1">
        <v>572.42009999999993</v>
      </c>
      <c s="1">
        <v>2182.6378</v>
      </c>
      <c s="3">
        <v>2755.0579000000002</v>
      </c>
    </row>
    <row>
      <c s="60"/>
      <c s="8" t="s">
        <v>61</v>
      </c>
      <c s="1">
        <v>542.95759999999996</v>
      </c>
      <c s="1">
        <v>2060.1378</v>
      </c>
      <c s="3">
        <v>2603.0954000000002</v>
      </c>
    </row>
    <row>
      <c s="60"/>
      <c s="8" t="s">
        <v>106</v>
      </c>
      <c s="1">
        <v>29.462499999999999</v>
      </c>
      <c s="1">
        <v>122.5</v>
      </c>
      <c s="3">
        <v>151.96250000000001</v>
      </c>
    </row>
    <row>
      <c s="60"/>
      <c s="8" t="s">
        <v>31</v>
      </c>
      <c s="1">
        <v>6711.5680000000011</v>
      </c>
      <c s="1">
        <v>9651.616200000004</v>
      </c>
      <c s="3">
        <v>16363.184200000009</v>
      </c>
    </row>
    <row>
      <c s="60"/>
      <c s="8" t="s">
        <v>39</v>
      </c>
      <c s="1">
        <v>150.125</v>
      </c>
      <c s="1">
        <v>317</v>
      </c>
      <c s="3">
        <v>467.125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2168.7370999999998</v>
      </c>
      <c s="1">
        <v>3699.1253999999994</v>
      </c>
      <c s="3">
        <v>5867.8625000000002</v>
      </c>
    </row>
    <row>
      <c s="60"/>
      <c s="8" t="s">
        <v>54</v>
      </c>
      <c s="1">
        <v>484.97500000000002</v>
      </c>
      <c s="1">
        <v>475.60000000000002</v>
      </c>
      <c s="3">
        <v>960.57500000000005</v>
      </c>
    </row>
    <row>
      <c s="60"/>
      <c s="8" t="s">
        <v>2</v>
      </c>
      <c s="1">
        <v>7936.7571000000007</v>
      </c>
      <c s="1">
        <v>4984.1910000000007</v>
      </c>
      <c s="3">
        <v>12920.948100000003</v>
      </c>
    </row>
    <row>
      <c s="60"/>
      <c s="8" t="s">
        <v>41</v>
      </c>
      <c s="4">
        <v>816.37619999999993</v>
      </c>
      <c s="4">
        <v>466.39079999999996</v>
      </c>
      <c s="6">
        <v>1282.7670000000001</v>
      </c>
    </row>
    <row>
      <c s="60"/>
      <c s="8" t="s">
        <v>63</v>
      </c>
      <c s="4">
        <v>37.25</v>
      </c>
      <c s="4">
        <v>26</v>
      </c>
      <c s="6">
        <v>63.25</v>
      </c>
    </row>
    <row>
      <c s="60"/>
      <c s="8" t="s">
        <v>13</v>
      </c>
      <c s="1">
        <v>402.14999999999998</v>
      </c>
      <c s="1">
        <v>76.549999999999997</v>
      </c>
      <c s="3">
        <v>478.69999999999999</v>
      </c>
    </row>
    <row>
      <c s="60"/>
      <c s="7" t="s">
        <v>22</v>
      </c>
      <c s="2">
        <v>15681.657700000002</v>
      </c>
      <c s="2">
        <v>18593.926799999987</v>
      </c>
      <c s="2">
        <v>34275.584499999983</v>
      </c>
    </row>
    <row>
      <c s="60" t="s">
        <v>62</v>
      </c>
      <c s="8" t="s">
        <v>43</v>
      </c>
      <c s="1">
        <v>7572.4254000000019</v>
      </c>
      <c s="1">
        <v>13569.838299999999</v>
      </c>
      <c s="3">
        <v>21142.263699999992</v>
      </c>
    </row>
    <row>
      <c s="60"/>
      <c s="8" t="s">
        <v>46</v>
      </c>
      <c s="1">
        <v>424.43900000000008</v>
      </c>
      <c s="1">
        <v>1739.4970999999996</v>
      </c>
      <c s="3">
        <v>2163.9361000000004</v>
      </c>
    </row>
    <row>
      <c s="60"/>
      <c s="8" t="s">
        <v>23</v>
      </c>
      <c s="1">
        <v>577.03579999999999</v>
      </c>
      <c s="1">
        <v>2249.5378000000001</v>
      </c>
      <c s="3">
        <v>2826.5736000000002</v>
      </c>
    </row>
    <row>
      <c s="60"/>
      <c s="8" t="s">
        <v>61</v>
      </c>
      <c s="1">
        <v>560.91079999999999</v>
      </c>
      <c s="1">
        <v>2183.8378000000002</v>
      </c>
      <c s="3">
        <v>2744.7486000000004</v>
      </c>
    </row>
    <row>
      <c s="60"/>
      <c s="8" t="s">
        <v>106</v>
      </c>
      <c s="1">
        <v>16.125</v>
      </c>
      <c s="1">
        <v>65.700000000000003</v>
      </c>
      <c s="3">
        <v>81.825000000000003</v>
      </c>
    </row>
    <row>
      <c s="60"/>
      <c s="8" t="s">
        <v>31</v>
      </c>
      <c s="1">
        <v>6570.950600000001</v>
      </c>
      <c s="1">
        <v>9580.8033999999989</v>
      </c>
      <c s="3">
        <v>16151.754000000001</v>
      </c>
    </row>
    <row>
      <c s="60"/>
      <c s="8" t="s">
        <v>39</v>
      </c>
      <c s="1">
        <v>84.424999999999997</v>
      </c>
      <c s="1">
        <v>188.44999999999999</v>
      </c>
      <c s="3">
        <v>272.875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2141.9461000000001</v>
      </c>
      <c s="1">
        <v>3684.7875000000004</v>
      </c>
      <c s="3">
        <v>5826.7335999999996</v>
      </c>
    </row>
    <row>
      <c s="60"/>
      <c s="8" t="s">
        <v>54</v>
      </c>
      <c s="1">
        <v>484.30000000000001</v>
      </c>
      <c s="1">
        <v>510.44999999999999</v>
      </c>
      <c s="3">
        <v>994.74999999999989</v>
      </c>
    </row>
    <row>
      <c s="60"/>
      <c s="8" t="s">
        <v>2</v>
      </c>
      <c s="1">
        <v>7829.647600000003</v>
      </c>
      <c s="1">
        <v>4945.9054000000015</v>
      </c>
      <c s="3">
        <v>12775.553</v>
      </c>
    </row>
    <row>
      <c s="60"/>
      <c s="8" t="s">
        <v>41</v>
      </c>
      <c s="4">
        <v>1008.9506</v>
      </c>
      <c s="4">
        <v>489.00749999999999</v>
      </c>
      <c s="6">
        <v>1497.9581000000003</v>
      </c>
    </row>
    <row>
      <c s="60"/>
      <c s="8" t="s">
        <v>63</v>
      </c>
      <c s="4">
        <v>31</v>
      </c>
      <c s="4">
        <v>19</v>
      </c>
      <c s="6">
        <v>50</v>
      </c>
    </row>
    <row>
      <c s="60"/>
      <c s="8" t="s">
        <v>13</v>
      </c>
      <c s="1">
        <v>320.99099999999999</v>
      </c>
      <c s="1">
        <v>52.600000000000001</v>
      </c>
      <c s="3">
        <v>373.59100000000001</v>
      </c>
    </row>
    <row>
      <c s="60"/>
      <c s="7" t="s">
        <v>22</v>
      </c>
      <c s="2">
        <v>15402.072999999997</v>
      </c>
      <c s="2">
        <v>18515.743699999992</v>
      </c>
      <c s="2">
        <v>33917.816700000018</v>
      </c>
    </row>
    <row>
      <c s="60" t="s">
        <v>49</v>
      </c>
      <c s="8" t="s">
        <v>43</v>
      </c>
      <c s="1">
        <v>8398.0205999999962</v>
      </c>
      <c s="1">
        <v>14057.775700000007</v>
      </c>
      <c s="3">
        <v>22455.796299999998</v>
      </c>
    </row>
    <row>
      <c s="60"/>
      <c s="8" t="s">
        <v>46</v>
      </c>
      <c s="1">
        <v>399.7704</v>
      </c>
      <c s="1">
        <v>1739.4524000000001</v>
      </c>
      <c s="3">
        <v>2139.2228000000005</v>
      </c>
    </row>
    <row>
      <c s="60"/>
      <c s="8" t="s">
        <v>23</v>
      </c>
      <c s="1">
        <v>613.46590000000003</v>
      </c>
      <c s="1">
        <v>2426.1012999999998</v>
      </c>
      <c s="3">
        <v>3039.5671999999995</v>
      </c>
    </row>
    <row>
      <c s="60"/>
      <c s="8" t="s">
        <v>61</v>
      </c>
      <c s="1">
        <v>613.46590000000003</v>
      </c>
      <c s="1">
        <v>2426.1012999999998</v>
      </c>
      <c s="3">
        <v>3039.5671999999995</v>
      </c>
    </row>
    <row>
      <c s="60"/>
      <c s="8" t="s">
        <v>106</v>
      </c>
      <c s="1">
        <v>0</v>
      </c>
      <c s="1">
        <v>0</v>
      </c>
      <c s="3">
        <v>0</v>
      </c>
    </row>
    <row>
      <c s="60"/>
      <c s="8" t="s">
        <v>31</v>
      </c>
      <c s="1">
        <v>7384.7843000000003</v>
      </c>
      <c s="1">
        <v>9892.2220000000016</v>
      </c>
      <c s="3">
        <v>17277.006299999997</v>
      </c>
    </row>
    <row>
      <c s="60"/>
      <c s="8" t="s">
        <v>39</v>
      </c>
      <c s="1">
        <v>0</v>
      </c>
      <c s="1">
        <v>0</v>
      </c>
      <c s="3">
        <v>0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2956.9070000000006</v>
      </c>
      <c s="1">
        <v>3932.1233999999999</v>
      </c>
      <c s="3">
        <v>6889.0304000000015</v>
      </c>
    </row>
    <row>
      <c s="60"/>
      <c s="8" t="s">
        <v>54</v>
      </c>
      <c s="1">
        <v>461.66120000000001</v>
      </c>
      <c s="1">
        <v>486.35000000000002</v>
      </c>
      <c s="3">
        <v>948.01120000000014</v>
      </c>
    </row>
    <row>
      <c s="60"/>
      <c s="8" t="s">
        <v>2</v>
      </c>
      <c s="1">
        <v>6894.0455000000002</v>
      </c>
      <c s="1">
        <v>4365.1935999999996</v>
      </c>
      <c s="3">
        <v>11259.239099999999</v>
      </c>
    </row>
    <row>
      <c s="60"/>
      <c s="8" t="s">
        <v>41</v>
      </c>
      <c s="4">
        <v>0</v>
      </c>
      <c s="4">
        <v>0</v>
      </c>
      <c s="6">
        <v>0</v>
      </c>
    </row>
    <row>
      <c s="60"/>
      <c s="8" t="s">
        <v>63</v>
      </c>
      <c s="4">
        <v>35.75</v>
      </c>
      <c s="4">
        <v>19</v>
      </c>
      <c s="6">
        <v>54.75</v>
      </c>
    </row>
    <row>
      <c s="60"/>
      <c s="8" t="s">
        <v>13</v>
      </c>
      <c s="1">
        <v>403.42849999999999</v>
      </c>
      <c s="1">
        <v>68.450000000000003</v>
      </c>
      <c s="3">
        <v>471.87849999999997</v>
      </c>
    </row>
    <row>
      <c s="60"/>
      <c s="7" t="s">
        <v>22</v>
      </c>
      <c s="2">
        <v>15292.066099999998</v>
      </c>
      <c s="2">
        <v>18422.969299999997</v>
      </c>
      <c s="2">
        <v>33715.035399999979</v>
      </c>
    </row>
    <row>
      <c s="60" t="s">
        <v>100</v>
      </c>
      <c s="8" t="s">
        <v>43</v>
      </c>
      <c s="1">
        <v>7938.2893000000013</v>
      </c>
      <c s="1">
        <v>13708.870300000002</v>
      </c>
      <c s="3">
        <v>21647.159599999999</v>
      </c>
    </row>
    <row>
      <c s="60"/>
      <c s="8" t="s">
        <v>46</v>
      </c>
      <c s="1">
        <v>352.89930000000004</v>
      </c>
      <c s="1">
        <v>1749.8631999999998</v>
      </c>
      <c s="3">
        <v>2102.7625000000003</v>
      </c>
    </row>
    <row>
      <c s="60"/>
      <c s="8" t="s">
        <v>23</v>
      </c>
      <c s="1">
        <v>621.9701</v>
      </c>
      <c s="1">
        <v>2538.3059000000003</v>
      </c>
      <c s="3">
        <v>3160.2760000000003</v>
      </c>
    </row>
    <row>
      <c s="60"/>
      <c s="8" t="s">
        <v>61</v>
      </c>
      <c s="1">
        <v>621.9701</v>
      </c>
      <c s="1">
        <v>2538.3059000000003</v>
      </c>
      <c s="3">
        <v>3160.2760000000003</v>
      </c>
    </row>
    <row>
      <c s="60"/>
      <c s="8" t="s">
        <v>106</v>
      </c>
      <c s="1">
        <v>0</v>
      </c>
      <c s="1">
        <v>0</v>
      </c>
      <c s="3">
        <v>0</v>
      </c>
    </row>
    <row>
      <c s="60"/>
      <c s="8" t="s">
        <v>31</v>
      </c>
      <c s="1">
        <v>6963.4198999999999</v>
      </c>
      <c s="1">
        <v>9420.7012000000013</v>
      </c>
      <c s="3">
        <v>16384.1211</v>
      </c>
    </row>
    <row>
      <c s="60"/>
      <c s="8" t="s">
        <v>39</v>
      </c>
      <c s="1">
        <v>0</v>
      </c>
      <c s="1">
        <v>0</v>
      </c>
      <c s="3">
        <v>0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2884.8526000000002</v>
      </c>
      <c s="1">
        <v>3826.2683000000002</v>
      </c>
      <c s="3">
        <v>6711.1209000000008</v>
      </c>
    </row>
    <row>
      <c s="60"/>
      <c s="8" t="s">
        <v>54</v>
      </c>
      <c s="1">
        <v>449.96499999999998</v>
      </c>
      <c s="1">
        <v>483.12</v>
      </c>
      <c s="3">
        <v>933.08500000000004</v>
      </c>
    </row>
    <row>
      <c s="60"/>
      <c s="8" t="s">
        <v>2</v>
      </c>
      <c s="1">
        <v>6775.0878000000002</v>
      </c>
      <c s="1">
        <v>4275.6443000000017</v>
      </c>
      <c s="3">
        <v>11050.732099999997</v>
      </c>
    </row>
    <row>
      <c s="60"/>
      <c s="8" t="s">
        <v>41</v>
      </c>
      <c s="4">
        <v>0</v>
      </c>
      <c s="4">
        <v>0</v>
      </c>
      <c s="6">
        <v>0</v>
      </c>
    </row>
    <row>
      <c s="60"/>
      <c s="8" t="s">
        <v>63</v>
      </c>
      <c s="4">
        <v>0</v>
      </c>
      <c s="4">
        <v>0.20000000000000001</v>
      </c>
      <c s="6">
        <v>0.20000000000000001</v>
      </c>
    </row>
    <row>
      <c s="60"/>
      <c s="8" t="s">
        <v>13</v>
      </c>
      <c s="1">
        <v>332.34100000000001</v>
      </c>
      <c s="1">
        <v>49</v>
      </c>
      <c s="3">
        <v>381.34100000000001</v>
      </c>
    </row>
    <row>
      <c s="60"/>
      <c s="7" t="s">
        <v>22</v>
      </c>
      <c s="2">
        <v>14713.377099999994</v>
      </c>
      <c s="2">
        <v>17984.514600000002</v>
      </c>
      <c s="2">
        <v>32697.891700000004</v>
      </c>
    </row>
    <row>
      <c s="60" t="s">
        <v>29</v>
      </c>
      <c s="8" t="s">
        <v>43</v>
      </c>
      <c s="1">
        <v>7332.2656999999999</v>
      </c>
      <c s="1">
        <v>13289.408899999995</v>
      </c>
      <c s="3">
        <v>20621.674599999998</v>
      </c>
    </row>
    <row>
      <c s="60"/>
      <c s="8" t="s">
        <v>46</v>
      </c>
      <c s="1">
        <v>333.11859999999996</v>
      </c>
      <c s="1">
        <v>1751.3175000000017</v>
      </c>
      <c s="3">
        <v>2084.4361000000022</v>
      </c>
    </row>
    <row>
      <c s="60"/>
      <c s="8" t="s">
        <v>23</v>
      </c>
      <c s="1">
        <v>590.88260000000002</v>
      </c>
      <c s="1">
        <v>2531.9761000000003</v>
      </c>
      <c s="3">
        <v>3122.8587000000002</v>
      </c>
    </row>
    <row>
      <c s="60"/>
      <c s="8" t="s">
        <v>61</v>
      </c>
      <c s="1">
        <v>590.88260000000002</v>
      </c>
      <c s="1">
        <v>2531.9761000000003</v>
      </c>
      <c s="3">
        <v>3122.8587000000002</v>
      </c>
    </row>
    <row>
      <c s="60"/>
      <c s="8" t="s">
        <v>106</v>
      </c>
      <c s="1">
        <v>0</v>
      </c>
      <c s="1">
        <v>0</v>
      </c>
      <c s="3">
        <v>0</v>
      </c>
    </row>
    <row>
      <c s="60"/>
      <c s="8" t="s">
        <v>31</v>
      </c>
      <c s="1">
        <v>6408.2645000000002</v>
      </c>
      <c s="1">
        <v>9006.1152999999958</v>
      </c>
      <c s="3">
        <v>15414.379799999993</v>
      </c>
    </row>
    <row>
      <c s="60"/>
      <c s="8" t="s">
        <v>39</v>
      </c>
      <c s="1">
        <v>0</v>
      </c>
      <c s="1">
        <v>0</v>
      </c>
      <c s="3">
        <v>0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2591.6442999999995</v>
      </c>
      <c s="1">
        <v>3537.4256000000005</v>
      </c>
      <c s="3">
        <v>6129.0699000000004</v>
      </c>
    </row>
    <row>
      <c s="60"/>
      <c s="8" t="s">
        <v>54</v>
      </c>
      <c s="1">
        <v>395.30000000000001</v>
      </c>
      <c s="1">
        <v>443.16999999999996</v>
      </c>
      <c s="3">
        <v>838.46999999999991</v>
      </c>
    </row>
    <row>
      <c s="60"/>
      <c s="8" t="s">
        <v>2</v>
      </c>
      <c s="1">
        <v>6697.7375000000011</v>
      </c>
      <c s="1">
        <v>4333.8580000000002</v>
      </c>
      <c s="3">
        <v>11031.595500000001</v>
      </c>
    </row>
    <row>
      <c s="60"/>
      <c s="8" t="s">
        <v>41</v>
      </c>
      <c s="4">
        <v>0</v>
      </c>
      <c s="4">
        <v>0</v>
      </c>
      <c s="6">
        <v>0</v>
      </c>
    </row>
    <row>
      <c s="60"/>
      <c s="8" t="s">
        <v>63</v>
      </c>
      <c s="4">
        <v>0</v>
      </c>
      <c s="4">
        <v>0.20000000000000001</v>
      </c>
      <c s="6">
        <v>0.20000000000000001</v>
      </c>
    </row>
    <row>
      <c s="60"/>
      <c s="8" t="s">
        <v>13</v>
      </c>
      <c s="1">
        <v>324.14099999999996</v>
      </c>
      <c s="1">
        <v>47.25</v>
      </c>
      <c s="3">
        <v>371.39099999999996</v>
      </c>
    </row>
    <row>
      <c s="60"/>
      <c s="7" t="s">
        <v>22</v>
      </c>
      <c s="2">
        <v>14030.003199999997</v>
      </c>
      <c s="2">
        <v>17623.266900000006</v>
      </c>
      <c s="2">
        <v>31653.270100000002</v>
      </c>
    </row>
    <row>
      <c s="60" t="s">
        <v>83</v>
      </c>
      <c s="8" t="s">
        <v>43</v>
      </c>
      <c s="1">
        <v>6786.2123000000011</v>
      </c>
      <c s="1">
        <v>12718.587800000008</v>
      </c>
      <c s="3">
        <v>19504.8001</v>
      </c>
    </row>
    <row>
      <c s="60"/>
      <c s="8" t="s">
        <v>46</v>
      </c>
      <c s="1">
        <v>325.62810000000007</v>
      </c>
      <c s="1">
        <v>1732.5757000000001</v>
      </c>
      <c s="3">
        <v>2058.2038000000002</v>
      </c>
    </row>
    <row>
      <c s="60"/>
      <c s="8" t="s">
        <v>23</v>
      </c>
      <c s="1">
        <v>566.08259999999996</v>
      </c>
      <c s="1">
        <v>2517.2953000000002</v>
      </c>
      <c s="3">
        <v>3083.3779000000004</v>
      </c>
    </row>
    <row>
      <c s="60"/>
      <c s="8" t="s">
        <v>61</v>
      </c>
      <c s="1">
        <v>566.08259999999996</v>
      </c>
      <c s="1">
        <v>2517.2953000000002</v>
      </c>
      <c s="3">
        <v>3083.3779000000004</v>
      </c>
    </row>
    <row>
      <c s="60"/>
      <c s="8" t="s">
        <v>106</v>
      </c>
      <c s="1">
        <v>0</v>
      </c>
      <c s="1">
        <v>0</v>
      </c>
      <c s="3">
        <v>0</v>
      </c>
    </row>
    <row>
      <c s="60"/>
      <c s="8" t="s">
        <v>31</v>
      </c>
      <c s="1">
        <v>5894.5016000000005</v>
      </c>
      <c s="1">
        <v>8468.7168000000001</v>
      </c>
      <c s="3">
        <v>14363.218400000005</v>
      </c>
    </row>
    <row>
      <c s="60"/>
      <c s="8" t="s">
        <v>39</v>
      </c>
      <c s="1">
        <v>0</v>
      </c>
      <c s="1">
        <v>0</v>
      </c>
      <c s="3">
        <v>0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2351.0051000000008</v>
      </c>
      <c s="1">
        <v>3032.1118999999999</v>
      </c>
      <c s="3">
        <v>5383.1170000000002</v>
      </c>
    </row>
    <row>
      <c s="60"/>
      <c s="8" t="s">
        <v>54</v>
      </c>
      <c s="1">
        <v>313.06999999999999</v>
      </c>
      <c s="1">
        <v>378.22000000000003</v>
      </c>
      <c s="3">
        <v>691.29000000000008</v>
      </c>
    </row>
    <row>
      <c s="60"/>
      <c s="8" t="s">
        <v>2</v>
      </c>
      <c s="1">
        <v>6525.4922000000006</v>
      </c>
      <c s="1">
        <v>4261.9027000000006</v>
      </c>
      <c s="3">
        <v>10787.394900000001</v>
      </c>
    </row>
    <row>
      <c s="60"/>
      <c s="8" t="s">
        <v>41</v>
      </c>
      <c s="4">
        <v>0</v>
      </c>
      <c s="4">
        <v>0</v>
      </c>
      <c s="6">
        <v>0</v>
      </c>
    </row>
    <row>
      <c s="60"/>
      <c s="8" t="s">
        <v>63</v>
      </c>
      <c s="4">
        <v>0</v>
      </c>
      <c s="4">
        <v>0</v>
      </c>
      <c s="6">
        <v>0</v>
      </c>
    </row>
    <row>
      <c s="60"/>
      <c s="8" t="s">
        <v>13</v>
      </c>
      <c s="1">
        <v>322.56599999999997</v>
      </c>
      <c s="1">
        <v>47.75</v>
      </c>
      <c s="3">
        <v>370.31599999999997</v>
      </c>
    </row>
    <row>
      <c s="60"/>
      <c s="7" t="s">
        <v>22</v>
      </c>
      <c s="2">
        <v>13311.704499999996</v>
      </c>
      <c s="2">
        <v>16980.490500000014</v>
      </c>
      <c s="2">
        <v>30292.194999999996</v>
      </c>
    </row>
    <row>
      <c s="60" t="s">
        <v>120</v>
      </c>
      <c s="8" t="s">
        <v>43</v>
      </c>
      <c s="1">
        <v>6613.5057999999981</v>
      </c>
      <c s="1">
        <v>12641.483000000002</v>
      </c>
      <c s="3">
        <v>19254.988799999988</v>
      </c>
    </row>
    <row>
      <c s="60"/>
      <c s="8" t="s">
        <v>46</v>
      </c>
      <c s="1">
        <v>311.05540000000008</v>
      </c>
      <c s="1">
        <v>1776.328299999999</v>
      </c>
      <c s="3">
        <v>2087.3836999999999</v>
      </c>
    </row>
    <row>
      <c s="60"/>
      <c s="8" t="s">
        <v>23</v>
      </c>
      <c s="1">
        <v>537.73260000000005</v>
      </c>
      <c s="1">
        <v>2557.0820000000003</v>
      </c>
      <c s="3">
        <v>3094.8146000000002</v>
      </c>
    </row>
    <row>
      <c s="60"/>
      <c s="8" t="s">
        <v>61</v>
      </c>
      <c s="1">
        <v>537.73260000000005</v>
      </c>
      <c s="1">
        <v>2557.0820000000003</v>
      </c>
      <c s="3">
        <v>3094.8146000000002</v>
      </c>
    </row>
    <row>
      <c s="60"/>
      <c s="8" t="s">
        <v>106</v>
      </c>
      <c s="1">
        <v>0</v>
      </c>
      <c s="1">
        <v>0</v>
      </c>
      <c s="3">
        <v>0</v>
      </c>
    </row>
    <row>
      <c s="60"/>
      <c s="8" t="s">
        <v>31</v>
      </c>
      <c s="1">
        <v>5764.7177999999976</v>
      </c>
      <c s="1">
        <v>8308.0727000000024</v>
      </c>
      <c s="3">
        <v>14072.790500000003</v>
      </c>
    </row>
    <row>
      <c s="60"/>
      <c s="8" t="s">
        <v>39</v>
      </c>
      <c s="1">
        <v>0</v>
      </c>
      <c s="1">
        <v>0</v>
      </c>
      <c s="3">
        <v>0</v>
      </c>
    </row>
    <row>
      <c s="60"/>
      <c s="8" t="s">
        <v>51</v>
      </c>
      <c s="1">
        <v>0</v>
      </c>
      <c s="1">
        <v>0</v>
      </c>
      <c s="3">
        <v>0</v>
      </c>
    </row>
    <row>
      <c s="60"/>
      <c s="8" t="s">
        <v>25</v>
      </c>
      <c s="1">
        <v>2159.2507000000005</v>
      </c>
      <c s="1">
        <v>2631.7767000000003</v>
      </c>
      <c s="3">
        <v>4791.0273999999999</v>
      </c>
    </row>
    <row>
      <c s="60"/>
      <c s="8" t="s">
        <v>54</v>
      </c>
      <c s="1">
        <v>257.89999999999998</v>
      </c>
      <c s="1">
        <v>315.375</v>
      </c>
      <c s="3">
        <v>573.27499999999998</v>
      </c>
    </row>
    <row>
      <c s="60"/>
      <c s="8" t="s">
        <v>2</v>
      </c>
      <c s="1">
        <v>6411.6881999999987</v>
      </c>
      <c s="1">
        <v>4094.1250000000009</v>
      </c>
      <c s="3">
        <v>10505.813200000001</v>
      </c>
    </row>
    <row>
      <c s="60"/>
      <c s="8" t="s">
        <v>41</v>
      </c>
      <c s="4">
        <v>0</v>
      </c>
      <c s="4">
        <v>0</v>
      </c>
      <c s="6">
        <v>0</v>
      </c>
    </row>
    <row>
      <c s="60"/>
      <c s="8" t="s">
        <v>63</v>
      </c>
      <c s="4">
        <v>5.75</v>
      </c>
      <c s="4">
        <v>1</v>
      </c>
      <c s="6">
        <v>6.75</v>
      </c>
    </row>
    <row>
      <c s="60"/>
      <c s="8" t="s">
        <v>13</v>
      </c>
      <c s="1">
        <v>299.166</v>
      </c>
      <c s="1">
        <v>47.75</v>
      </c>
      <c s="3">
        <v>346.916</v>
      </c>
    </row>
    <row>
      <c s="60"/>
      <c s="7" t="s">
        <v>22</v>
      </c>
      <c s="2">
        <v>13025.194</v>
      </c>
      <c s="2">
        <v>16735.608000000004</v>
      </c>
      <c s="2">
        <v>29760.801999999992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63"/>
      <c s="10"/>
      <c s="10"/>
      <c s="10"/>
      <c s="10"/>
      <c s="10"/>
      <c s="10"/>
      <c s="10"/>
      <c s="10"/>
      <c s="10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25">
    <mergeCell ref="A4:E4"/>
    <mergeCell ref="A5:E5"/>
    <mergeCell ref="A6:C6"/>
    <mergeCell ref="A9:E9"/>
    <mergeCell ref="C21:E21"/>
    <mergeCell ref="A23:A38"/>
    <mergeCell ref="A39:A54"/>
    <mergeCell ref="A55:A69"/>
    <mergeCell ref="A70:A84"/>
    <mergeCell ref="A85:A99"/>
    <mergeCell ref="A100:A114"/>
    <mergeCell ref="A115:A129"/>
    <mergeCell ref="A130:A144"/>
    <mergeCell ref="A145:A159"/>
    <mergeCell ref="A160:A174"/>
    <mergeCell ref="A175:A189"/>
    <mergeCell ref="A190:A204"/>
    <mergeCell ref="A205:A219"/>
    <mergeCell ref="A220:A234"/>
    <mergeCell ref="A235:A249"/>
    <mergeCell ref="A250:A264"/>
    <mergeCell ref="A265:A279"/>
    <mergeCell ref="A280:A294"/>
    <mergeCell ref="A295:A309"/>
    <mergeCell ref="A310:A324"/>
  </mergeCells>
  <pageMargins left="0.70866141732283472" right="0.70866141732283472" top="0.78740157480314965" bottom="0.78740157480314965" header="0.31496062992125984" footer="0.31496062992125984"/>
  <pageSetup paperSize="9" scale="81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5"/>
  <sheetViews>
    <sheetView workbookViewId="0">
      <selection activeCell="D6" sqref="D6"/>
    </sheetView>
  </sheetViews>
  <sheetFormatPr defaultColWidth="9.140625" defaultRowHeight="13.6"/>
  <cols>
    <col min="1" max="1" width="13.5703125" style="30" customWidth="1"/>
    <col min="2" max="2" width="40.85546875" style="30" customWidth="1"/>
    <col min="3" max="3" width="28.140625" style="30" customWidth="1"/>
    <col min="4" max="4" width="16.28515625" style="30" customWidth="1"/>
    <col min="5" max="5" width="19.42578125" style="30" customWidth="1"/>
    <col min="6" max="6" width="11.140625" style="30" customWidth="1"/>
    <col min="7" max="7" width="9.140625" style="30" customWidth="1"/>
    <col min="8" max="8" width="17.28515625" style="30" customWidth="1"/>
    <col min="9" max="9" width="19.5703125" style="30" customWidth="1"/>
    <col min="10" max="12" width="12.42578125" style="30" customWidth="1"/>
    <col min="13" max="13" width="16" style="30" customWidth="1"/>
    <col min="14" max="14" width="14.28515625" style="30" customWidth="1"/>
    <col min="15" max="15" width="18.28515625" style="30" customWidth="1"/>
    <col min="16" max="25" width="9.140625" style="30" customWidth="1"/>
    <col min="26" max="26" width="9.140625" style="30" hidden="1" customWidth="1"/>
    <col min="27" max="27" width="9.140625" style="30" customWidth="1"/>
    <col min="28" max="16384" width="9.140625" style="30"/>
  </cols>
  <sheetData>
    <row>
      <c s="52"/>
      <c r="H1" s="44">
        <v>129806172700000000</v>
      </c>
      <c r="Z1" s="70" t="b">
        <f>0=1</f>
        <v>0</v>
      </c>
    </row>
    <row>
      <c r="Z2" s="70" t="b">
        <f>1=1</f>
        <v>1</v>
      </c>
    </row>
    <row>
      <c r="Z3" s="70"/>
    </row>
    <row>
      <c r="I4" s="30" t="s">
        <v>47</v>
      </c>
      <c s="73" t="s">
        <v>85</v>
      </c>
      <c s="19"/>
      <c s="19"/>
      <c s="19"/>
      <c s="19"/>
      <c s="19"/>
    </row>
    <row>
      <c r="J5" s="29" t="s">
        <v>32</v>
      </c>
      <c s="21" t="s">
        <v>64</v>
      </c>
      <c s="21" t="s">
        <v>79</v>
      </c>
      <c s="29" t="s">
        <v>114</v>
      </c>
      <c s="75" t="s">
        <v>93</v>
      </c>
      <c s="21" t="s">
        <v>6</v>
      </c>
    </row>
    <row>
      <c r="B6" s="35" t="s">
        <v>94</v>
      </c>
      <c s="23" t="s">
        <v>101</v>
      </c>
      <c s="59" t="s">
        <v>14</v>
      </c>
      <c s="13" t="s">
        <v>65</v>
      </c>
    </row>
    <row>
      <c r="C7" s="22"/>
      <c s="32" t="s">
        <v>15</v>
      </c>
      <c s="13" t="s">
        <v>71</v>
      </c>
    </row>
    <row>
      <c r="C8" s="32" t="s">
        <v>7</v>
      </c>
      <c s="22"/>
    </row>
    <row>
      <c r="C9" s="22"/>
      <c s="23" t="s">
        <v>33</v>
      </c>
      <c s="37"/>
    </row>
    <row>
      <c r="C10" s="23" t="s">
        <v>56</v>
      </c>
      <c s="56" t="s">
        <v>80</v>
      </c>
      <c s="13" t="s">
        <v>19</v>
      </c>
    </row>
    <row>
      <c r="B11" s="35" t="s">
        <v>66</v>
      </c>
      <c s="54" t="s">
        <v>57</v>
      </c>
      <c s="64">
        <v>60398</v>
      </c>
      <c s="13" t="s">
        <v>34</v>
      </c>
    </row>
    <row>
      <c r="B12" s="35"/>
      <c s="55"/>
      <c s="47"/>
      <c s="74" t="s">
        <v>86</v>
      </c>
    </row>
    <row>
      <c r="B13" s="35" t="s">
        <v>58</v>
      </c>
      <c s="40" t="s">
        <v>26</v>
      </c>
      <c s="57">
        <v>1212</v>
      </c>
      <c s="30" t="b">
        <v>0</v>
      </c>
      <c s="13" t="s">
        <v>81</v>
      </c>
    </row>
    <row ht="12.75" hidden="1">
      <c r="B14" s="35"/>
      <c s="40"/>
      <c s="50"/>
      <c s="30" t="b">
        <v>0</v>
      </c>
    </row>
    <row>
      <c r="B15" s="35" t="s">
        <v>102</v>
      </c>
      <c s="30" t="s">
        <v>109</v>
      </c>
      <c s="66">
        <v>1212</v>
      </c>
      <c s="30" t="b">
        <v>0</v>
      </c>
      <c s="13" t="s">
        <v>27</v>
      </c>
    </row>
    <row ht="12.75" hidden="1">
      <c r="B16" s="35"/>
      <c r="D16" s="26"/>
      <c s="30" t="b">
        <v>0</v>
      </c>
      <c s="13"/>
    </row>
    <row>
      <c r="B17" s="35"/>
      <c s="30" t="s">
        <v>35</v>
      </c>
      <c s="61">
        <v>3434</v>
      </c>
      <c s="30" t="b">
        <v>0</v>
      </c>
      <c s="13" t="s">
        <v>82</v>
      </c>
    </row>
    <row>
      <c r="B18" s="35"/>
      <c r="D18" s="26"/>
      <c s="30" t="b">
        <v>0</v>
      </c>
      <c s="13"/>
    </row>
    <row>
      <c r="B19" s="35"/>
      <c s="30" t="s">
        <v>8</v>
      </c>
      <c s="49">
        <v>3434</v>
      </c>
      <c s="30" t="b">
        <v>0</v>
      </c>
      <c s="13" t="s">
        <v>95</v>
      </c>
    </row>
    <row>
      <c r="B20" s="35"/>
      <c r="D20" s="26"/>
      <c s="30" t="b">
        <v>0</v>
      </c>
      <c s="13"/>
    </row>
    <row>
      <c r="B21" s="35"/>
      <c s="30" t="s">
        <v>96</v>
      </c>
      <c s="48">
        <v>5656</v>
      </c>
      <c s="30" t="b">
        <v>0</v>
      </c>
      <c s="13" t="s">
        <v>115</v>
      </c>
    </row>
    <row>
      <c r="B22" s="35"/>
      <c r="E22" s="13"/>
      <c r="I22" s="78"/>
    </row>
    <row>
      <c r="B23" s="34" t="s">
        <v>9</v>
      </c>
      <c s="34"/>
    </row>
    <row>
      <c r="B24" s="12" t="s">
        <v>67</v>
      </c>
      <c s="12" t="s">
        <v>36</v>
      </c>
      <c s="12" t="s">
        <v>16</v>
      </c>
      <c s="12" t="s">
        <v>97</v>
      </c>
      <c s="12"/>
      <c s="12"/>
      <c s="12" t="s">
        <v>116</v>
      </c>
    </row>
    <row>
      <c s="30" t="s">
        <v>72</v>
      </c>
      <c r="C25" s="62" t="s">
        <v>68</v>
      </c>
      <c s="25" t="s">
        <v>107</v>
      </c>
      <c s="25">
        <v>1234.5599999999999</v>
      </c>
      <c s="13" t="s">
        <v>87</v>
      </c>
      <c r="H25" s="30" t="s">
        <v>98</v>
      </c>
    </row>
    <row>
      <c s="30" t="s">
        <v>103</v>
      </c>
      <c r="C26" s="62" t="s">
        <v>68</v>
      </c>
      <c s="25" t="s">
        <v>107</v>
      </c>
      <c s="25">
        <v>1234.5599999999999</v>
      </c>
      <c s="13" t="s">
        <v>73</v>
      </c>
      <c r="H26" s="30" t="s">
        <v>117</v>
      </c>
    </row>
    <row>
      <c r="C27" s="62" t="s">
        <v>68</v>
      </c>
      <c s="65" t="s">
        <v>107</v>
      </c>
      <c s="42">
        <v>1234.5599999999999</v>
      </c>
      <c r="H27" s="30" t="s">
        <v>74</v>
      </c>
    </row>
    <row>
      <c r="C28" s="39" t="s">
        <v>10</v>
      </c>
      <c s="38" t="s">
        <v>17</v>
      </c>
      <c s="25">
        <v>1234.5599999999999</v>
      </c>
      <c r="H28" s="30" t="s">
        <v>37</v>
      </c>
    </row>
    <row>
      <c r="C29" s="39" t="s">
        <v>52</v>
      </c>
      <c s="51" t="s">
        <v>22</v>
      </c>
      <c s="79">
        <v>1234.5599999999999</v>
      </c>
      <c r="H29" s="30" t="s">
        <v>118</v>
      </c>
    </row>
    <row>
      <c r="C30" s="39" t="s">
        <v>38</v>
      </c>
      <c s="67" t="s">
        <v>11</v>
      </c>
      <c s="69">
        <v>1234.5599999999999</v>
      </c>
    </row>
    <row>
      <c r="C31" s="39" t="s">
        <v>75</v>
      </c>
      <c s="76" t="s">
        <v>104</v>
      </c>
      <c s="43">
        <v>1234.5599999999999</v>
      </c>
    </row>
    <row>
      <c r="C32" s="39" t="s">
        <v>75</v>
      </c>
      <c s="76" t="s">
        <v>110</v>
      </c>
      <c s="43">
        <v>1234.5599999999999</v>
      </c>
    </row>
    <row>
      <c r="C33" s="39" t="s">
        <v>75</v>
      </c>
      <c s="76" t="s">
        <v>76</v>
      </c>
      <c s="43">
        <v>1234.5599999999999</v>
      </c>
    </row>
    <row>
      <c r="C34" s="39" t="s">
        <v>75</v>
      </c>
      <c s="76" t="s">
        <v>53</v>
      </c>
      <c s="43">
        <v>1234.5599999999999</v>
      </c>
    </row>
    <row>
      <c r="C35" s="39" t="s">
        <v>75</v>
      </c>
      <c s="72" t="s">
        <v>22</v>
      </c>
      <c s="45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
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10725" windowHeight="8370"/>
  </bookViews>
  <sheets>
    <sheet name="Tab" sheetId="1" r:id="rId1"/>
    <sheet name="XLCubedFormats" sheetId="2" state="hidden" r:id="rId2"/>
  </sheets>
  <definedNames>
    <definedName name="_xlnm.Print_Area" localSheetId="0">Tab!$A$1:$H$76</definedName>
    <definedName name="_xlnm.Print_Titles" localSheetId="0">Tab!$24:$26</definedName>
    <definedName name="XL3DisableCameraObjects" hidden="1">XLCubedFormats!A1</definedName>
    <definedName name="XL3ObjLocation4f208b83_f380_44b9_9287_f4cfba044b89">Tab!$A$10</definedName>
  </definedNames>
  <calcPr calcId="40001"/>
</workbook>
</file>

<file path=xl/sharedStrings.xml><?xml version="1.0" encoding="utf-8"?>
<sst xmlns="http://schemas.openxmlformats.org/spreadsheetml/2006/main" uniqueCount="142">
  <si>
    <t>Universität</t>
  </si>
  <si>
    <t>Semester und Datenstichtag</t>
  </si>
  <si>
    <t>Reife/Koop.-Vertrag (Inland)</t>
  </si>
  <si>
    <t>Slicer Button Background</t>
  </si>
  <si>
    <t>Grid Title</t>
  </si>
  <si>
    <t>Oth Written Member</t>
  </si>
  <si>
    <t>Fill in Grid Name, Dimension or Both</t>
  </si>
  <si>
    <t xml:space="preserve">Ordentliche Studien </t>
  </si>
  <si>
    <t>[ALLG Wertart].[Wertart]</t>
  </si>
  <si>
    <t>Frauen</t>
  </si>
  <si>
    <t>Staatengruppe (Ö, EU, andere)</t>
  </si>
  <si>
    <t>Absolutwert</t>
  </si>
  <si>
    <t>inl. akkred. Privatuniversität</t>
  </si>
  <si>
    <t>IB Diploma (Ausland)</t>
  </si>
  <si>
    <t>All Marital Status</t>
  </si>
  <si>
    <t>Male</t>
  </si>
  <si>
    <t>Member1 Name</t>
  </si>
  <si>
    <t>Studien Universitäten</t>
  </si>
  <si>
    <t>ord. Studium</t>
  </si>
  <si>
    <t>Begonnene Studien</t>
  </si>
  <si>
    <t>Studienberechtigung HStudBerG</t>
  </si>
  <si>
    <t>Aufbaurealgymnasium</t>
  </si>
  <si>
    <t>&lt;-- default Column Member Format</t>
  </si>
  <si>
    <t>[STU Universitätsreife].[Schulform]</t>
  </si>
  <si>
    <t>Gesamt</t>
  </si>
  <si>
    <t>Oberstufenrealgymnasium</t>
  </si>
  <si>
    <t>ausl. postsekund.Bildungseinr.</t>
  </si>
  <si>
    <t>Alternate Rows</t>
  </si>
  <si>
    <t>&lt;--  writeable cell format</t>
  </si>
  <si>
    <t>keine Reifeprüfung</t>
  </si>
  <si>
    <t xml:space="preserve"> </t>
  </si>
  <si>
    <t>Handelsakademie</t>
  </si>
  <si>
    <t>BA-Stud.bes.Stud.erf.eig.Uni.</t>
  </si>
  <si>
    <t>Slicer Title</t>
  </si>
  <si>
    <t>Calendar Period</t>
  </si>
  <si>
    <t>&lt;-- default cell format</t>
  </si>
  <si>
    <t>Written Member</t>
  </si>
  <si>
    <t>Dimension/Column</t>
  </si>
  <si>
    <t>4) Prozentangaben werden standardmäßig mit einer Kommastelle angezeigt</t>
  </si>
  <si>
    <t>Wirtschaftskundl.Realgymnasium</t>
  </si>
  <si>
    <t>Dadurch sind Studien auf ganze Zahlen zu runden und es kann zu Abweichungen zwischen der Gesamtsumme und den addierten Detailergebnissen kommen.</t>
  </si>
  <si>
    <t>Naturwissensch. Realgymnasium</t>
  </si>
  <si>
    <t>inl. FH-Diplom-/MA-Studiengang</t>
  </si>
  <si>
    <t>Gymnasium</t>
  </si>
  <si>
    <t>Externistenreifeprüfung</t>
  </si>
  <si>
    <t>Berufsreifeprüfung</t>
  </si>
  <si>
    <t>Männer</t>
  </si>
  <si>
    <t>Slice Name (Optional)</t>
  </si>
  <si>
    <t>UA, UB, UC, UD, UE, UF, UG, UH, UI, UJ, UK, UL, UM, UN, UO, UQ, UR, US, UT, UU, UV, UW, UZ</t>
  </si>
  <si>
    <t>Master-/Diplomst.and.inl.Univ.</t>
  </si>
  <si>
    <t>Bachelorstud. and. inl. Univ.</t>
  </si>
  <si>
    <t>ausl. beschränkte HS-Reife</t>
  </si>
  <si>
    <t>Aufbaumittelschule</t>
  </si>
  <si>
    <t>(Wirtsch.kundl.) RG f.Berufst.</t>
  </si>
  <si>
    <t>Studienjahr 2024/25</t>
  </si>
  <si>
    <t>ALLG Semester.Studienjahr (Langbezeichnung)</t>
  </si>
  <si>
    <t>Studienberechtigungsprüfung</t>
  </si>
  <si>
    <t>H.techn.u.gewerbl. Lehranstalt</t>
  </si>
  <si>
    <t>gilt als inländisch</t>
  </si>
  <si>
    <t>Europäisches Abitur (Ausland)</t>
  </si>
  <si>
    <t>Bachelorstudium eigene Univ.</t>
  </si>
  <si>
    <t>Customer</t>
  </si>
  <si>
    <t>-All Customer</t>
  </si>
  <si>
    <t>Default Alternate Row Member Format --&gt;</t>
  </si>
  <si>
    <t>Ordentliche Studien in ersten Semester an Universitäten nach Form der allgemeinen Universitätsreife</t>
  </si>
  <si>
    <t>(Members of Studienfach (Fachcode)) - (Erweiterungsstudium, Keine Angabe, Zweitfach, Keine Angabe)</t>
  </si>
  <si>
    <t>Bundesland Universität</t>
  </si>
  <si>
    <t>Schulform-Gruppe</t>
  </si>
  <si>
    <t>Realistisches Gymnasium</t>
  </si>
  <si>
    <t>Realgymnasium</t>
  </si>
  <si>
    <t>Master-/Diplomst.eigene Univ.</t>
  </si>
  <si>
    <t>Lehrerbildungsanstalt</t>
  </si>
  <si>
    <t>inl. Pädagogische Hochschule</t>
  </si>
  <si>
    <t>Akademie</t>
  </si>
  <si>
    <t>Slicer Item</t>
  </si>
  <si>
    <t>&lt;-- default Slicer Member Format</t>
  </si>
  <si>
    <t>Default Row Member Format --&gt;</t>
  </si>
  <si>
    <t>Grid/Table Name</t>
  </si>
  <si>
    <t>[Measures]</t>
  </si>
  <si>
    <t>Studientyp</t>
  </si>
  <si>
    <t>ISCED2013 3.Ebene (Code, Langtext)</t>
  </si>
  <si>
    <t>IB Diploma (Inland)</t>
  </si>
  <si>
    <t>BA f.Kindergartenpädagogik</t>
  </si>
  <si>
    <t>&lt;-- writeable Slicer Member Format</t>
  </si>
  <si>
    <t>Slice Format 1</t>
  </si>
  <si>
    <t>&lt;-- Gesamtzeile</t>
  </si>
  <si>
    <t>3) Formatierung der Gesamtspalte und -zeile (siehe E25:E26)</t>
  </si>
  <si>
    <t>BA-Stud.bes.Stud.erf.and.BE</t>
  </si>
  <si>
    <t>(ohne Erweiterungsstudien; bei kombinationspflichtigen Studien bis STJ 2015/16 nur Erstfach gezählt)</t>
  </si>
  <si>
    <t>Studienfach (Fachcode)</t>
  </si>
  <si>
    <t>Frauen-/Männeranteil in %</t>
  </si>
  <si>
    <t>Mathematisches Realgymnasium</t>
  </si>
  <si>
    <t>Doktoratsstud. eigene Univ.</t>
  </si>
  <si>
    <t>Slicer Button</t>
  </si>
  <si>
    <t>+2009</t>
  </si>
  <si>
    <t>&lt;-- default alternate row cell format</t>
  </si>
  <si>
    <t>&lt;--  written cell format</t>
  </si>
  <si>
    <t>Reifeprüfung nicht relevant</t>
  </si>
  <si>
    <t>Studienart</t>
  </si>
  <si>
    <t>Schulform-Obergruppe</t>
  </si>
  <si>
    <t>künstler. Zulassungsprüfung</t>
  </si>
  <si>
    <t>inl. postsekund. Bildungseinr.</t>
  </si>
  <si>
    <t>Humanistisches Gymnasium</t>
  </si>
  <si>
    <t>Display Formats For:</t>
  </si>
  <si>
    <t>Enabled?</t>
  </si>
  <si>
    <t>&lt;-- Gesamtspalte</t>
  </si>
  <si>
    <t>Datenprüfung und -aufbereitung: bmfwf, Abt. I/10</t>
  </si>
  <si>
    <t>Schulform</t>
  </si>
  <si>
    <t>Universität-Ausrichtung</t>
  </si>
  <si>
    <t>Gymnasium für Berufstätige</t>
  </si>
  <si>
    <t>Doktoratsstud. and. inl. Univ.</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</si>
  <si>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</si>
  <si>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</si>
  <si>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</si>
  <si>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</si>
  <si>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</si>
  <si>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</si>
  <si>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</si>
  <si>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Neusprachliches Gymnasium</t>
  </si>
  <si>
    <t>Marital Status</t>
  </si>
  <si>
    <t>Default Writeable Member Format --&gt;</t>
  </si>
  <si>
    <t>Slice Format 2</t>
  </si>
  <si>
    <t>Ao. MA gem. § 56 (2) UG 2002</t>
  </si>
  <si>
    <t>Universität (Codex)</t>
  </si>
  <si>
    <t>Reife/Koop.-Vertrag (Ausland)</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</si>
  <si>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</si>
  <si>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</si>
  <si>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H.Lehranst. f.wirtsch. Berufe</t>
  </si>
  <si>
    <t>Europäisches Abitur (Inland)</t>
  </si>
  <si>
    <t>ausländische Reifeprüfung</t>
  </si>
  <si>
    <t>Aufbaugymnasium</t>
  </si>
  <si>
    <t>Writeable Member</t>
  </si>
  <si>
    <t>Realschule</t>
  </si>
  <si>
    <t>inl. FH-Bachelorstudiengang</t>
  </si>
  <si>
    <t>H.land- u.forstwirt. Lehranst.</t>
  </si>
  <si>
    <t>BA für Sozialpädagogik</t>
  </si>
  <si>
    <t>Slicer Button Selected</t>
  </si>
  <si>
    <t>&lt;--  summary written cell</t>
  </si>
  <si>
    <t>Formatierungsrichtlinien</t>
  </si>
  <si>
    <t>2) Wenn möglich die nicht hierarchische Darstellung eines Slicers wählen (Slicer Type)</t>
  </si>
  <si>
    <t>5) Formatierung von Zahlen prüfen (Ganzzahl oder Zahl mit einer Kommastelle)</t>
  </si>
  <si>
    <t>Anmerkung: Ab dem WS 2016 erfolgt die zähltechnische Abbildung der Studien auf Basis des Verteilungsschlüssels gemäß § 22 Abs. 2 und Abs. 5 bis 7 UHSBV.</t>
  </si>
</sst>
</file>

<file path=xl/styles.xml><?xml version="1.0" encoding="utf-8"?>
<styleSheet xmlns="http://schemas.openxmlformats.org/spreadsheetml/2006/main">
  <numFmts count="2">
    <numFmt numFmtId="164" formatCode="0.0%"/>
    <numFmt numFmtId="165" formatCode=";;;"/>
  </numFmts>
  <fonts count="36">
    <font>
      <sz val="11"/>
      <color theme="1"/>
      <name val="Calibri"/>
      <family val="2"/>
      <scheme val="minor"/>
    </font>
    <font>
      <sz val="11"/>
      <color indexed="8"/>
      <name val="Calibri"/>
      <family val="2"/>
    </font>
    <font>
      <sz val="11"/>
      <name val="Calibri"/>
      <family val="2"/>
      <scheme val="minor"/>
    </font>
    <font>
      <b/>
      <sz val="11"/>
      <name val="Calibri"/>
      <family val="2"/>
      <scheme val="minor"/>
    </font>
    <font>
      <sz val="10"/>
      <color rgb="FF000000"/>
      <name val="Tahoma"/>
      <family val="2"/>
    </font>
    <font>
      <b/>
      <sz val="10"/>
      <name val="Tahoma"/>
      <family val="2"/>
    </font>
    <font>
      <b/>
      <sz val="8"/>
      <color indexed="23"/>
      <name val="Tahoma"/>
      <family val="2"/>
    </font>
    <font>
      <sz val="9"/>
      <name val="Tahoma"/>
      <family val="2"/>
    </font>
    <font>
      <sz val="11"/>
      <color rgb="FF000000"/>
      <name val="Tahoma"/>
      <family val="2"/>
    </font>
    <font>
      <sz val="10"/>
      <color rgb="FF262626"/>
      <name val="Tahoma"/>
      <family val="2"/>
    </font>
    <font>
      <b/>
      <sz val="11"/>
      <color rgb="FF000000"/>
      <name val="Tahoma"/>
      <family val="2"/>
    </font>
    <font>
      <sz val="10"/>
      <color theme="1" tint="0.0499893185216834"/>
      <name val="Tahoma"/>
      <family val="2"/>
    </font>
    <font>
      <sz val="10"/>
      <name val="Tahoma"/>
      <family val="2"/>
    </font>
    <font>
      <sz val="8"/>
      <name val="Tahoma"/>
      <family val="2"/>
    </font>
    <font>
      <sz val="10"/>
      <color theme="1" tint="0.34998626667073579"/>
      <name val="Tahoma"/>
      <family val="2"/>
    </font>
    <font>
      <sz val="10"/>
      <color rgb="FF595959"/>
      <name val="Tahoma"/>
      <family val="2"/>
    </font>
    <font>
      <sz val="10"/>
      <color theme="1" tint="0.14996795556505021"/>
      <name val="Tahoma"/>
      <family val="2"/>
    </font>
    <font>
      <b/>
      <sz val="8"/>
      <color rgb="FFFF0000"/>
      <name val="Tahoma"/>
      <family val="2"/>
    </font>
    <font>
      <sz val="10"/>
      <color theme="1"/>
      <name val="Calibri"/>
      <family val="2"/>
      <scheme val="minor"/>
    </font>
    <font>
      <b/>
      <sz val="11"/>
      <color theme="1"/>
      <name val="Calibri"/>
      <family val="2"/>
      <scheme val="minor"/>
    </font>
    <font>
      <sz val="10"/>
      <color rgb="FFFF0000"/>
      <name val="Tahoma"/>
      <family val="2"/>
    </font>
    <font>
      <sz val="11"/>
      <color theme="0"/>
      <name val="Calibri"/>
      <family val="2"/>
      <scheme val="minor"/>
    </font>
    <font>
      <b/>
      <sz val="11"/>
      <color theme="3"/>
      <name val="Calibri"/>
      <family val="2"/>
      <scheme val="minor"/>
    </font>
    <font>
      <b/>
      <sz val="13"/>
      <color theme="3"/>
      <name val="Calibri"/>
      <family val="2"/>
      <scheme val="minor"/>
    </font>
    <font>
      <sz val="11"/>
      <color rgb="FFFA7D00"/>
      <name val="Calibri"/>
      <family val="2"/>
      <scheme val="minor"/>
    </font>
    <font>
      <b/>
      <sz val="18"/>
      <color theme="3"/>
      <name val="Cambria"/>
      <family val="2"/>
      <scheme val="major"/>
    </font>
    <font>
      <sz val="11"/>
      <color rgb="FFFF0000"/>
      <name val="Calibri"/>
      <family val="2"/>
      <scheme val="minor"/>
    </font>
    <font>
      <sz val="11"/>
      <color rgb="FF9C6500"/>
      <name val="Calibri"/>
      <family val="2"/>
      <scheme val="minor"/>
    </font>
    <font>
      <b/>
      <sz val="11"/>
      <color rgb="FFFA7D00"/>
      <name val="Calibri"/>
      <family val="2"/>
      <scheme val="minor"/>
    </font>
    <font>
      <b/>
      <sz val="11"/>
      <color rgb="FF3F3F3F"/>
      <name val="Calibri"/>
      <family val="2"/>
      <scheme val="minor"/>
    </font>
    <font>
      <sz val="11"/>
      <color rgb="FF3F3F76"/>
      <name val="Calibri"/>
      <family val="2"/>
      <scheme val="minor"/>
    </font>
    <font>
      <b/>
      <sz val="15"/>
      <color theme="3"/>
      <name val="Calibri"/>
      <family val="2"/>
      <scheme val="minor"/>
    </font>
    <font>
      <sz val="11"/>
      <color rgb="FF006100"/>
      <name val="Calibri"/>
      <family val="2"/>
      <scheme val="minor"/>
    </font>
    <font>
      <b/>
      <sz val="11"/>
      <color theme="0"/>
      <name val="Calibri"/>
      <family val="2"/>
      <scheme val="minor"/>
    </font>
    <font>
      <i/>
      <sz val="11"/>
      <color rgb="FF7F7F7F"/>
      <name val="Calibri"/>
      <family val="2"/>
      <scheme val="minor"/>
    </font>
    <font>
      <sz val="11"/>
      <color rgb="FF9C0006"/>
      <name val="Calibri"/>
      <family val="2"/>
      <scheme val="minor"/>
    </font>
  </fonts>
  <fills count="14">
    <fill>
      <patternFill patternType="none"/>
    </fill>
    <fill>
      <patternFill patternType="gray125"/>
    </fill>
    <fill>
      <patternFill patternType="solid">
        <fgColor indexed="22"/>
        <bgColor indexed="64"/>
      </patternFill>
    </fill>
    <fill>
      <patternFill patternType="solid">
        <fgColor rgb="FFD9D9D9"/>
        <bgColor rgb="FFFFFFFF"/>
      </patternFill>
    </fill>
    <fill>
      <patternFill patternType="solid">
        <fgColor theme="3" tint="0.79995117038483843"/>
        <bgColor indexed="64"/>
      </patternFill>
    </fill>
    <fill>
      <patternFill patternType="solid">
        <fgColor rgb="FFC6D9F1"/>
        <bgColor rgb="FFFFFFFF"/>
      </patternFill>
    </fill>
    <fill>
      <patternFill patternType="solid">
        <fgColor rgb="FFC0C0C0"/>
        <bgColor rgb="FFFFFFFF"/>
      </patternFill>
    </fill>
    <fill>
      <patternFill patternType="solid">
        <fgColor rgb="FFDDDDDD"/>
        <bgColor rgb="FFFFFFFF"/>
      </patternFill>
    </fill>
    <fill>
      <patternFill patternType="solid">
        <fgColor indexed="43"/>
        <bgColor indexed="64"/>
      </patternFill>
    </fill>
    <fill>
      <patternFill patternType="solid">
        <fgColor rgb="FFC0C0C0"/>
        <bgColor indexed="64"/>
      </patternFill>
    </fill>
    <fill>
      <patternFill patternType="solid">
        <fgColor rgb="FFDDDDDD"/>
        <bgColor indexed="64"/>
      </patternFill>
    </fill>
    <fill>
      <patternFill patternType="solid">
        <fgColor rgb="FFD9D9D9"/>
        <bgColor indexed="64"/>
      </patternFill>
    </fill>
    <fill>
      <patternFill patternType="solid">
        <fgColor indexed="42"/>
        <bgColor indexed="64"/>
      </patternFill>
    </fill>
    <fill>
      <patternFill patternType="solid">
        <fgColor indexed="40"/>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style="hair">
        <color rgb="FFC0C0C0"/>
      </left>
      <right/>
      <top style="hair">
        <color rgb="FFC0C0C0"/>
      </top>
      <bottom/>
      <diagonal/>
    </border>
    <border>
      <left/>
      <right style="hair">
        <color rgb="FFC0C0C0"/>
      </right>
      <top/>
      <bottom/>
      <diagonal/>
    </border>
    <border>
      <left style="thin">
        <color indexed="23"/>
      </left>
      <right/>
      <top/>
      <bottom/>
      <diagonal/>
    </border>
    <border>
      <left style="hair">
        <color indexed="22"/>
      </left>
      <right style="hair">
        <color indexed="22"/>
      </right>
      <top style="hair">
        <color indexed="22"/>
      </top>
      <bottom style="hair">
        <color indexed="22"/>
      </bottom>
      <diagonal/>
    </border>
    <border>
      <left style="hair">
        <color rgb="FFC0C0C0"/>
      </left>
      <right/>
      <top style="hair">
        <color rgb="FFC0C0C0"/>
      </top>
      <bottom style="hair">
        <color rgb="FFC0C0C0"/>
      </bottom>
      <diagonal/>
    </border>
    <border>
      <left style="hair">
        <color rgb="FFC0C0C0"/>
      </left>
      <right style="hair">
        <color rgb="FFC0C0C0"/>
      </right>
      <top style="hair">
        <color rgb="FFC0C0C0"/>
      </top>
      <bottom/>
      <diagonal/>
    </border>
  </borders>
  <cellStyleXfs count="2">
    <xf numFmtId="0" fontId="0" fillId="0" borderId="0"/>
    <xf numFmtId="0" fontId="1" fillId="0" borderId="0"/>
  </cellStyleXfs>
  <cellXfs count="75">
    <xf numFmtId="0" fontId="0" fillId="0" borderId="0" xfId="0"/>
    <xf numFmtId="0" fontId="2" fillId="0" borderId="0" xfId="0" applyFont="1" applyFill="1" applyBorder="1"/>
    <xf numFmtId="3" fontId="3" fillId="0" borderId="0" xfId="0" applyNumberFormat="1" applyFont="1" applyFill="1" applyBorder="1"/>
    <xf numFmtId="0" fontId="4" fillId="0" borderId="0" xfId="0" quotePrefix="1" applyFont="1" applyFill="1" applyAlignment="1">
      <alignment horizontal="left" vertical="top" wrapText="1"/>
    </xf>
    <xf numFmtId="0" fontId="5" fillId="0" borderId="0" xfId="0" applyFont="1"/>
    <xf numFmtId="0" fontId="6" fillId="0" borderId="0" xfId="0" applyFont="1"/>
    <xf numFmtId="0" fontId="7" fillId="2" borderId="0" xfId="1" applyFont="1" applyFill="1" applyBorder="1" applyAlignment="1">
      <alignment horizontal="center"/>
    </xf>
    <xf numFmtId="0" fontId="8" fillId="0" borderId="0" xfId="0" applyFont="1" applyFill="1" applyAlignment="1">
      <alignment vertical="center"/>
    </xf>
    <xf numFmtId="0" fontId="9" fillId="0" borderId="1" xfId="0" quotePrefix="1" applyFont="1" applyFill="1" applyBorder="1" applyAlignment="1" applyProtection="1">
      <alignment horizontal="center"/>
    </xf>
    <xf numFmtId="0" fontId="10" fillId="0" borderId="0" xfId="0" applyFont="1" applyFill="1" applyAlignment="1">
      <alignment vertical="top"/>
    </xf>
    <xf numFmtId="0" fontId="4" fillId="0" borderId="0" xfId="0" applyFont="1" applyFill="1" applyAlignment="1">
      <alignment vertical="top"/>
    </xf>
    <xf numFmtId="0" fontId="4" fillId="0" borderId="0" xfId="0" applyFont="1" applyFill="1" applyAlignment="1"/>
    <xf numFmtId="0" fontId="4" fillId="0" borderId="0" xfId="0" applyFont="1" applyFill="1" applyAlignment="1">
      <alignment horizontal="left" vertical="top"/>
    </xf>
    <xf numFmtId="0" fontId="9" fillId="0" borderId="1" xfId="0" applyFont="1" applyFill="1" applyBorder="1" applyAlignment="1" applyProtection="1">
      <alignment horizontal="right"/>
    </xf>
    <xf numFmtId="0" fontId="9" fillId="0" borderId="2" xfId="0" applyFont="1" applyBorder="1" applyAlignment="1" applyProtection="1">
      <alignment horizontal="right"/>
    </xf>
    <xf numFmtId="3" fontId="9" fillId="3" borderId="1" xfId="0" applyNumberFormat="1" applyFont="1" applyFill="1" applyBorder="1" applyAlignment="1" applyProtection="1">
      <alignment horizontal="right" vertical="center"/>
    </xf>
    <xf numFmtId="0" fontId="11" fillId="0" borderId="0" xfId="0" applyFont="1"/>
    <xf numFmtId="0" fontId="12" fillId="0" borderId="0" xfId="0" applyNumberFormat="1" applyFont="1" applyAlignment="1"/>
    <xf numFmtId="0" fontId="13" fillId="0" borderId="0" xfId="1" applyFont="1"/>
    <xf numFmtId="0" fontId="14" fillId="4" borderId="0" xfId="0" applyFont="1" applyFill="1" applyAlignment="1"/>
    <xf numFmtId="3" fontId="9" fillId="0" borderId="1" xfId="0" applyNumberFormat="1" applyFont="1" applyFill="1" applyBorder="1" applyAlignment="1" applyProtection="1">
      <alignment horizontal="right"/>
    </xf>
    <xf numFmtId="0" fontId="6" fillId="0" borderId="0" xfId="0" applyFont="1" applyAlignment="1">
      <alignment horizontal="right"/>
    </xf>
    <xf numFmtId="0" fontId="0" fillId="0" borderId="0" xfId="0" applyFill="1" applyAlignment="1"/>
    <xf numFmtId="0" fontId="15" fillId="5" borderId="3" xfId="0" quotePrefix="1" applyFont="1" applyFill="1" applyBorder="1" applyAlignment="1" applyProtection="1"/>
    <xf numFmtId="164" fontId="9" fillId="3" borderId="1" xfId="0" applyNumberFormat="1" applyFont="1" applyFill="1" applyBorder="1" applyAlignment="1" applyProtection="1">
      <alignment horizontal="right" vertical="center"/>
    </xf>
    <xf numFmtId="164" fontId="9" fillId="6" borderId="1" xfId="0" applyNumberFormat="1" applyFont="1" applyFill="1" applyBorder="1" applyAlignment="1" applyProtection="1">
      <alignment horizontal="right"/>
    </xf>
    <xf numFmtId="0" fontId="9" fillId="0" borderId="2" xfId="0" applyFont="1" applyBorder="1" applyAlignment="1" applyProtection="1">
      <alignment horizontal="center"/>
    </xf>
    <xf numFmtId="0" fontId="16" fillId="0" borderId="0" xfId="0" applyFont="1"/>
    <xf numFmtId="0" fontId="12" fillId="0" borderId="0" xfId="0" applyFont="1" applyAlignment="1">
      <alignment horizontal="center"/>
    </xf>
    <xf numFmtId="0" fontId="13" fillId="4" borderId="0" xfId="1" applyFont="1" applyFill="1"/>
    <xf numFmtId="0" fontId="12" fillId="0" borderId="0" xfId="0" applyFont="1"/>
    <xf numFmtId="164" fontId="9" fillId="6" borderId="1" xfId="0" quotePrefix="1" applyNumberFormat="1" applyFont="1" applyFill="1" applyBorder="1" applyAlignment="1" applyProtection="1">
      <alignment horizontal="center"/>
    </xf>
    <xf numFmtId="0" fontId="9" fillId="7" borderId="1" xfId="0" applyFont="1" applyFill="1" applyBorder="1" applyAlignment="1" applyProtection="1">
      <alignment horizontal="right"/>
    </xf>
    <xf numFmtId="0" fontId="4" fillId="0" borderId="0" xfId="0" quotePrefix="1" applyFont="1" applyFill="1" applyAlignment="1"/>
    <xf numFmtId="0" fontId="0" fillId="0" borderId="0" xfId="0" applyFont="1"/>
    <xf numFmtId="0" fontId="9" fillId="3" borderId="1" xfId="0" applyFont="1" applyFill="1" applyBorder="1" applyAlignment="1" applyProtection="1">
      <alignment vertical="center"/>
    </xf>
    <xf numFmtId="2" fontId="12" fillId="0" borderId="0" xfId="0" applyNumberFormat="1" applyFont="1"/>
    <xf numFmtId="3" fontId="12" fillId="8" borderId="0" xfId="0" applyNumberFormat="1" applyFont="1" applyFill="1" applyAlignment="1"/>
    <xf numFmtId="0" fontId="4" fillId="0" borderId="0" xfId="0" quotePrefix="1" applyFont="1" applyFill="1" applyAlignment="1">
      <alignment horizontal="left" vertical="top"/>
    </xf>
    <xf numFmtId="164" fontId="9" fillId="9" borderId="2" xfId="0" applyNumberFormat="1" applyFont="1" applyFill="1" applyBorder="1" applyAlignment="1" applyProtection="1">
      <alignment horizontal="center"/>
    </xf>
    <xf numFmtId="0" fontId="9" fillId="10" borderId="2" xfId="0" applyFont="1" applyFill="1" applyBorder="1" applyAlignment="1" applyProtection="1">
      <alignment horizontal="right"/>
    </xf>
    <xf numFmtId="0" fontId="6" fillId="0" borderId="0" xfId="0" applyFont="1" applyAlignment="1">
      <alignment horizontal="center"/>
    </xf>
    <xf numFmtId="0" fontId="17" fillId="0" borderId="0" xfId="0" applyFont="1"/>
    <xf numFmtId="0" fontId="12" fillId="0" borderId="0" xfId="0" applyNumberFormat="1" applyFont="1"/>
    <xf numFmtId="0" fontId="13" fillId="8" borderId="0" xfId="1" applyFont="1" applyFill="1"/>
    <xf numFmtId="0" fontId="7" fillId="2" borderId="4" xfId="1" applyFont="1" applyFill="1" applyBorder="1" applyAlignment="1">
      <alignment horizontal="center"/>
    </xf>
    <xf numFmtId="0" fontId="12" fillId="0" borderId="0" xfId="0" quotePrefix="1" applyFont="1" applyFill="1"/>
    <xf numFmtId="0" fontId="18" fillId="0" borderId="0" xfId="0" applyFont="1" applyFill="1" applyAlignment="1"/>
    <xf numFmtId="0" fontId="16" fillId="0" borderId="5" xfId="0" applyFont="1" applyFill="1" applyBorder="1" applyAlignment="1">
      <alignment vertical="center"/>
    </xf>
    <xf numFmtId="0" fontId="9" fillId="11" borderId="6" xfId="0" applyFont="1" applyFill="1" applyBorder="1" applyAlignment="1" applyProtection="1">
      <alignment vertical="center"/>
    </xf>
    <xf numFmtId="0" fontId="12" fillId="8" borderId="0" xfId="0" applyNumberFormat="1" applyFont="1" applyFill="1" applyAlignment="1"/>
    <xf numFmtId="0" fontId="9" fillId="11" borderId="1" xfId="0" applyFont="1" applyFill="1" applyBorder="1" applyAlignment="1" applyProtection="1">
      <alignment vertical="center"/>
    </xf>
    <xf numFmtId="0" fontId="12" fillId="8" borderId="0" xfId="0" applyFont="1" applyFill="1"/>
    <xf numFmtId="3" fontId="12" fillId="12" borderId="0" xfId="0" applyNumberFormat="1" applyFont="1" applyFill="1" applyAlignment="1"/>
    <xf numFmtId="0" fontId="19" fillId="0" borderId="0" xfId="0" applyFont="1" applyFill="1" applyAlignment="1"/>
    <xf numFmtId="0" fontId="5" fillId="0" borderId="0" xfId="0" applyFont="1" applyFill="1" applyBorder="1" applyAlignment="1">
      <alignment vertical="center"/>
    </xf>
    <xf numFmtId="0" fontId="9" fillId="0" borderId="1" xfId="0" applyFont="1" applyFill="1" applyBorder="1" applyAlignment="1" applyProtection="1">
      <alignment vertical="center"/>
    </xf>
    <xf numFmtId="165" fontId="12" fillId="0" borderId="0" xfId="0" applyNumberFormat="1" applyFont="1"/>
    <xf numFmtId="0" fontId="19" fillId="0" borderId="0" xfId="0" applyFont="1"/>
    <xf numFmtId="0" fontId="4" fillId="0" borderId="0" xfId="0" quotePrefix="1" applyFont="1" applyFill="1" applyAlignment="1">
      <alignment vertical="top"/>
    </xf>
    <xf numFmtId="3" fontId="12" fillId="0" borderId="0" xfId="0" applyNumberFormat="1" applyFont="1" applyAlignment="1"/>
    <xf numFmtId="0" fontId="9" fillId="0" borderId="1" xfId="0" quotePrefix="1" applyFont="1" applyBorder="1" applyAlignment="1" applyProtection="1"/>
    <xf numFmtId="0" fontId="19" fillId="0" borderId="0" xfId="0" applyFont="1" applyAlignment="1">
      <alignment horizontal="left"/>
    </xf>
    <xf numFmtId="0" fontId="9" fillId="10" borderId="7" xfId="0" applyFont="1" applyFill="1" applyBorder="1" applyAlignment="1" applyProtection="1">
      <alignment horizontal="right"/>
    </xf>
    <xf numFmtId="3" fontId="12" fillId="13" borderId="0" xfId="0" applyNumberFormat="1" applyFont="1" applyFill="1" applyAlignment="1"/>
    <xf numFmtId="3" fontId="9" fillId="7" borderId="1" xfId="0" applyNumberFormat="1" applyFont="1" applyFill="1" applyBorder="1" applyAlignment="1" applyProtection="1">
      <alignment horizontal="right"/>
    </xf>
    <xf numFmtId="0" fontId="20" fillId="0" borderId="0" xfId="0" applyFont="1"/>
    <xf numFmtId="3" fontId="16" fillId="0" borderId="5" xfId="0" applyNumberFormat="1" applyFont="1" applyFill="1" applyBorder="1" applyAlignment="1"/>
    <xf numFmtId="0" fontId="12" fillId="0" borderId="0" xfId="0" quotePrefix="1" applyFont="1"/>
    <xf numFmtId="3" fontId="5" fillId="0" borderId="0" xfId="0" applyNumberFormat="1" applyFont="1" applyFill="1" applyAlignment="1"/>
    <xf numFmtId="164" fontId="9" fillId="9" borderId="2" xfId="0" applyNumberFormat="1" applyFont="1" applyFill="1" applyBorder="1" applyAlignment="1" applyProtection="1">
      <alignment horizontal="right"/>
    </xf>
    <xf numFmtId="0" fontId="12" fillId="0" borderId="0" xfId="0" applyFont="1" applyFill="1" applyBorder="1" applyAlignment="1">
      <alignment vertical="center"/>
    </xf>
    <xf numFmtId="0" fontId="16" fillId="0" borderId="5" xfId="0" quotePrefix="1" applyFont="1" applyFill="1" applyBorder="1" applyAlignment="1">
      <alignment horizontal="right"/>
    </xf>
    <xf numFmtId="0" fontId="12" fillId="0" borderId="0" xfId="0" applyNumberFormat="1" applyFont="1" applyFill="1" applyBorder="1" applyAlignment="1"/>
    <xf numFmtId="0" fontId="16" fillId="0" borderId="5" xfId="0" quotePrefix="1" applyFont="1" applyFill="1" applyBorder="1" applyAlignment="1"/>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2.png" /><Relationship Id="rId2"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editAs="oneCell">
    <xdr:from>
      <xdr:col>0</xdr:col>
      <xdr:colOff>3551980</xdr:colOff>
      <xdr:row>8</xdr:row>
      <xdr:rowOff>189865</xdr:rowOff>
    </xdr:from>
    <xdr:to>
      <xdr:col>5</xdr:col>
      <xdr:colOff>281181</xdr:colOff>
      <xdr:row>10</xdr:row>
      <xdr:rowOff>0</xdr:rowOff>
    </xdr:to>
    <xdr:pic>
      <xdr:nvPicPr>
        <xdr:cNvPr id="3" name="Picture 2"/>
        <xdr:cNvPicPr>
          <a:picLocks/>
        </xdr:cNvPicPr>
      </xdr:nvPicPr>
      <xdr:blipFill>
        <a:blip xmlns:r="http://schemas.openxmlformats.org/officeDocument/2006/relationships" r:embed="rId1"/>
        <a:stretch>
          <a:fillRect/>
        </a:stretch>
      </xdr:blipFill>
      <xdr:spPr>
        <a:xfrm>
          <a:off x="3551980" y="2025015"/>
          <a:ext cx="3697008" cy="190500"/>
        </a:xfrm>
        <a:prstGeom prst="rect">
          <a:avLst/>
        </a:prstGeom>
        <a:noFill/>
        <a:ln w="0">
          <a:noFill/>
        </a:ln>
      </xdr:spPr>
    </xdr:pic>
    <xdr:clientData/>
  </xdr:twoCellAnchor>
  <xdr:twoCellAnchor editAs="oneCell">
    <xdr:from>
      <xdr:col>0</xdr:col>
      <xdr:colOff>3551980</xdr:colOff>
      <xdr:row>9</xdr:row>
      <xdr:rowOff>190500</xdr:rowOff>
    </xdr:from>
    <xdr:to>
      <xdr:col>5</xdr:col>
      <xdr:colOff>281181</xdr:colOff>
      <xdr:row>11</xdr:row>
      <xdr:rowOff>0</xdr:rowOff>
    </xdr:to>
    <xdr:pic>
      <xdr:nvPicPr>
        <xdr:cNvPr id="4" name="Picture 3"/>
        <xdr:cNvPicPr>
          <a:picLocks/>
        </xdr:cNvPicPr>
      </xdr:nvPicPr>
      <xdr:blipFill>
        <a:blip xmlns:r="http://schemas.openxmlformats.org/officeDocument/2006/relationships" r:embed="rId2"/>
        <a:stretch>
          <a:fillRect/>
        </a:stretch>
      </xdr:blipFill>
      <xdr:spPr>
        <a:xfrm>
          <a:off x="3551980" y="2215515"/>
          <a:ext cx="3697008" cy="190500"/>
        </a:xfrm>
        <a:prstGeom prst="rect">
          <a:avLst/>
        </a:prstGeom>
        <a:noFill/>
        <a:ln w="0">
          <a:noFill/>
        </a:ln>
      </xdr:spPr>
    </xdr:pic>
    <xdr:clientData/>
  </xdr:twoCellAnchor>
  <xdr:twoCellAnchor editAs="oneCell">
    <xdr:from>
      <xdr:col>0</xdr:col>
      <xdr:colOff>3551980</xdr:colOff>
      <xdr:row>10</xdr:row>
      <xdr:rowOff>190500</xdr:rowOff>
    </xdr:from>
    <xdr:to>
      <xdr:col>5</xdr:col>
      <xdr:colOff>281181</xdr:colOff>
      <xdr:row>12</xdr:row>
      <xdr:rowOff>0</xdr:rowOff>
    </xdr:to>
    <xdr:pic>
      <xdr:nvPicPr>
        <xdr:cNvPr id="5" name="Picture 4"/>
        <xdr:cNvPicPr>
          <a:picLocks/>
        </xdr:cNvPicPr>
      </xdr:nvPicPr>
      <xdr:blipFill>
        <a:blip xmlns:r="http://schemas.openxmlformats.org/officeDocument/2006/relationships" r:embed="rId2"/>
        <a:stretch>
          <a:fillRect/>
        </a:stretch>
      </xdr:blipFill>
      <xdr:spPr>
        <a:xfrm>
          <a:off x="3551980" y="2406015"/>
          <a:ext cx="3697008" cy="190500"/>
        </a:xfrm>
        <a:prstGeom prst="rect">
          <a:avLst/>
        </a:prstGeom>
        <a:noFill/>
        <a:ln w="0">
          <a:noFill/>
        </a:ln>
      </xdr:spPr>
    </xdr:pic>
    <xdr:clientData/>
  </xdr:twoCellAnchor>
  <xdr:twoCellAnchor editAs="oneCell">
    <xdr:from>
      <xdr:col>0</xdr:col>
      <xdr:colOff>3551980</xdr:colOff>
      <xdr:row>11</xdr:row>
      <xdr:rowOff>190500</xdr:rowOff>
    </xdr:from>
    <xdr:to>
      <xdr:col>5</xdr:col>
      <xdr:colOff>281181</xdr:colOff>
      <xdr:row>13</xdr:row>
      <xdr:rowOff>0</xdr:rowOff>
    </xdr:to>
    <xdr:pic>
      <xdr:nvPicPr>
        <xdr:cNvPr id="6" name="Picture 5"/>
        <xdr:cNvPicPr>
          <a:picLocks/>
        </xdr:cNvPicPr>
      </xdr:nvPicPr>
      <xdr:blipFill>
        <a:blip xmlns:r="http://schemas.openxmlformats.org/officeDocument/2006/relationships" r:embed="rId2"/>
        <a:stretch>
          <a:fillRect/>
        </a:stretch>
      </xdr:blipFill>
      <xdr:spPr>
        <a:xfrm>
          <a:off x="3551980" y="2596515"/>
          <a:ext cx="3697008" cy="190500"/>
        </a:xfrm>
        <a:prstGeom prst="rect">
          <a:avLst/>
        </a:prstGeom>
        <a:noFill/>
        <a:ln w="0">
          <a:noFill/>
        </a:ln>
      </xdr:spPr>
    </xdr:pic>
    <xdr:clientData/>
  </xdr:twoCellAnchor>
  <xdr:twoCellAnchor editAs="oneCell">
    <xdr:from>
      <xdr:col>0</xdr:col>
      <xdr:colOff>3551980</xdr:colOff>
      <xdr:row>12</xdr:row>
      <xdr:rowOff>190500</xdr:rowOff>
    </xdr:from>
    <xdr:to>
      <xdr:col>5</xdr:col>
      <xdr:colOff>281181</xdr:colOff>
      <xdr:row>14</xdr:row>
      <xdr:rowOff>0</xdr:rowOff>
    </xdr:to>
    <xdr:pic>
      <xdr:nvPicPr>
        <xdr:cNvPr id="7" name="Picture 6"/>
        <xdr:cNvPicPr>
          <a:picLocks/>
        </xdr:cNvPicPr>
      </xdr:nvPicPr>
      <xdr:blipFill>
        <a:blip xmlns:r="http://schemas.openxmlformats.org/officeDocument/2006/relationships" r:embed="rId2"/>
        <a:stretch>
          <a:fillRect/>
        </a:stretch>
      </xdr:blipFill>
      <xdr:spPr>
        <a:xfrm>
          <a:off x="3551980" y="2787015"/>
          <a:ext cx="3697008" cy="190500"/>
        </a:xfrm>
        <a:prstGeom prst="rect">
          <a:avLst/>
        </a:prstGeom>
        <a:noFill/>
        <a:ln w="0">
          <a:noFill/>
        </a:ln>
      </xdr:spPr>
    </xdr:pic>
    <xdr:clientData/>
  </xdr:twoCellAnchor>
  <xdr:twoCellAnchor editAs="oneCell">
    <xdr:from>
      <xdr:col>0</xdr:col>
      <xdr:colOff>3551980</xdr:colOff>
      <xdr:row>13</xdr:row>
      <xdr:rowOff>190500</xdr:rowOff>
    </xdr:from>
    <xdr:to>
      <xdr:col>5</xdr:col>
      <xdr:colOff>281181</xdr:colOff>
      <xdr:row>15</xdr:row>
      <xdr:rowOff>0</xdr:rowOff>
    </xdr:to>
    <xdr:pic>
      <xdr:nvPicPr>
        <xdr:cNvPr id="8" name="Picture 7"/>
        <xdr:cNvPicPr>
          <a:picLocks/>
        </xdr:cNvPicPr>
      </xdr:nvPicPr>
      <xdr:blipFill>
        <a:blip xmlns:r="http://schemas.openxmlformats.org/officeDocument/2006/relationships" r:embed="rId2"/>
        <a:stretch>
          <a:fillRect/>
        </a:stretch>
      </xdr:blipFill>
      <xdr:spPr>
        <a:xfrm>
          <a:off x="3551980" y="2977515"/>
          <a:ext cx="3697008" cy="190500"/>
        </a:xfrm>
        <a:prstGeom prst="rect">
          <a:avLst/>
        </a:prstGeom>
        <a:noFill/>
        <a:ln w="0">
          <a:noFill/>
        </a:ln>
      </xdr:spPr>
    </xdr:pic>
    <xdr:clientData/>
  </xdr:twoCellAnchor>
  <xdr:twoCellAnchor editAs="oneCell">
    <xdr:from>
      <xdr:col>0</xdr:col>
      <xdr:colOff>3551980</xdr:colOff>
      <xdr:row>14</xdr:row>
      <xdr:rowOff>190500</xdr:rowOff>
    </xdr:from>
    <xdr:to>
      <xdr:col>5</xdr:col>
      <xdr:colOff>281181</xdr:colOff>
      <xdr:row>16</xdr:row>
      <xdr:rowOff>0</xdr:rowOff>
    </xdr:to>
    <xdr:pic>
      <xdr:nvPicPr>
        <xdr:cNvPr id="9" name="Picture 8"/>
        <xdr:cNvPicPr>
          <a:picLocks/>
        </xdr:cNvPicPr>
      </xdr:nvPicPr>
      <xdr:blipFill>
        <a:blip xmlns:r="http://schemas.openxmlformats.org/officeDocument/2006/relationships" r:embed="rId2"/>
        <a:stretch>
          <a:fillRect/>
        </a:stretch>
      </xdr:blipFill>
      <xdr:spPr>
        <a:xfrm>
          <a:off x="3551980" y="3168015"/>
          <a:ext cx="3697008" cy="190500"/>
        </a:xfrm>
        <a:prstGeom prst="rect">
          <a:avLst/>
        </a:prstGeom>
        <a:noFill/>
        <a:ln w="0">
          <a:noFill/>
        </a:ln>
      </xdr:spPr>
    </xdr:pic>
    <xdr:clientData/>
  </xdr:twoCellAnchor>
  <xdr:twoCellAnchor editAs="oneCell">
    <xdr:from>
      <xdr:col>0</xdr:col>
      <xdr:colOff>3551980</xdr:colOff>
      <xdr:row>16</xdr:row>
      <xdr:rowOff>0</xdr:rowOff>
    </xdr:from>
    <xdr:to>
      <xdr:col>5</xdr:col>
      <xdr:colOff>281181</xdr:colOff>
      <xdr:row>17</xdr:row>
      <xdr:rowOff>0</xdr:rowOff>
    </xdr:to>
    <xdr:pic>
      <xdr:nvPicPr>
        <xdr:cNvPr id="10" name="Picture 9"/>
        <xdr:cNvPicPr>
          <a:picLocks/>
        </xdr:cNvPicPr>
      </xdr:nvPicPr>
      <xdr:blipFill>
        <a:blip xmlns:r="http://schemas.openxmlformats.org/officeDocument/2006/relationships" r:embed="rId2"/>
        <a:stretch>
          <a:fillRect/>
        </a:stretch>
      </xdr:blipFill>
      <xdr:spPr>
        <a:xfrm>
          <a:off x="3551980" y="3358515"/>
          <a:ext cx="3697008" cy="190500"/>
        </a:xfrm>
        <a:prstGeom prst="rect">
          <a:avLst/>
        </a:prstGeom>
        <a:noFill/>
        <a:ln w="0">
          <a:noFill/>
        </a:ln>
      </xdr:spPr>
    </xdr:pic>
    <xdr:clientData/>
  </xdr:twoCellAnchor>
  <xdr:twoCellAnchor editAs="oneCell">
    <xdr:from>
      <xdr:col>0</xdr:col>
      <xdr:colOff>3551980</xdr:colOff>
      <xdr:row>17</xdr:row>
      <xdr:rowOff>0</xdr:rowOff>
    </xdr:from>
    <xdr:to>
      <xdr:col>5</xdr:col>
      <xdr:colOff>281181</xdr:colOff>
      <xdr:row>18</xdr:row>
      <xdr:rowOff>0</xdr:rowOff>
    </xdr:to>
    <xdr:pic>
      <xdr:nvPicPr>
        <xdr:cNvPr id="11" name="Picture 10"/>
        <xdr:cNvPicPr>
          <a:picLocks/>
        </xdr:cNvPicPr>
      </xdr:nvPicPr>
      <xdr:blipFill>
        <a:blip xmlns:r="http://schemas.openxmlformats.org/officeDocument/2006/relationships" r:embed="rId2"/>
        <a:stretch>
          <a:fillRect/>
        </a:stretch>
      </xdr:blipFill>
      <xdr:spPr>
        <a:xfrm>
          <a:off x="3551980" y="3549015"/>
          <a:ext cx="3697008" cy="190500"/>
        </a:xfrm>
        <a:prstGeom prst="rect">
          <a:avLst/>
        </a:prstGeom>
        <a:noFill/>
        <a:ln w="0">
          <a:noFill/>
        </a:ln>
      </xdr:spPr>
    </xdr:pic>
    <xdr:clientData/>
  </xdr:twoCellAnchor>
  <xdr:twoCellAnchor editAs="oneCell">
    <xdr:from>
      <xdr:col>0</xdr:col>
      <xdr:colOff>3551980</xdr:colOff>
      <xdr:row>18</xdr:row>
      <xdr:rowOff>0</xdr:rowOff>
    </xdr:from>
    <xdr:to>
      <xdr:col>5</xdr:col>
      <xdr:colOff>281181</xdr:colOff>
      <xdr:row>19</xdr:row>
      <xdr:rowOff>0</xdr:rowOff>
    </xdr:to>
    <xdr:pic>
      <xdr:nvPicPr>
        <xdr:cNvPr id="12" name="Picture 11"/>
        <xdr:cNvPicPr>
          <a:picLocks/>
        </xdr:cNvPicPr>
      </xdr:nvPicPr>
      <xdr:blipFill>
        <a:blip xmlns:r="http://schemas.openxmlformats.org/officeDocument/2006/relationships" r:embed="rId2"/>
        <a:stretch>
          <a:fillRect/>
        </a:stretch>
      </xdr:blipFill>
      <xdr:spPr>
        <a:xfrm>
          <a:off x="3551980" y="3739515"/>
          <a:ext cx="3697008" cy="190500"/>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315752</xdr:colOff>
      <xdr:row>7</xdr:row>
      <xdr:rowOff>104140</xdr:rowOff>
    </xdr:to>
    <xdr:sp macro="" textlink="">
      <xdr:nvSpPr>
        <xdr:cNvPr id="2" name="Comment 1" hidden="1"/>
        <xdr:cNvSpPr txBox="1"/>
      </xdr:nvSpPr>
      <xdr:spPr>
        <a:xfrm>
          <a:off x="12864400"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315752</xdr:colOff>
      <xdr:row>7</xdr:row>
      <xdr:rowOff>104140</xdr:rowOff>
    </xdr:to>
    <xdr:sp macro="" textlink="">
      <xdr:nvSpPr>
        <xdr:cNvPr id="3" name="Comment 2" hidden="1"/>
        <xdr:cNvSpPr txBox="1"/>
      </xdr:nvSpPr>
      <xdr:spPr>
        <a:xfrm>
          <a:off x="13760229"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315752</xdr:colOff>
      <xdr:row>7</xdr:row>
      <xdr:rowOff>104140</xdr:rowOff>
    </xdr:to>
    <xdr:sp macro="" textlink="">
      <xdr:nvSpPr>
        <xdr:cNvPr id="4" name="Comment 3" hidden="1"/>
        <xdr:cNvSpPr txBox="1"/>
      </xdr:nvSpPr>
      <xdr:spPr>
        <a:xfrm>
          <a:off x="14656057"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55188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18598"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76026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555304</xdr:colOff>
      <xdr:row>7</xdr:row>
      <xdr:rowOff>104140</xdr:rowOff>
    </xdr:to>
    <xdr:sp macro="" textlink="">
      <xdr:nvSpPr>
        <xdr:cNvPr id="8" name="Comment 7" hidden="1"/>
        <xdr:cNvSpPr txBox="1"/>
      </xdr:nvSpPr>
      <xdr:spPr>
        <a:xfrm>
          <a:off x="19093611"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12259"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40"/>
  <sheetViews>
    <sheetView tabSelected="1" workbookViewId="0"/>
  </sheetViews>
  <sheetFormatPr defaultColWidth="11.28515625" defaultRowHeight="14.95"/>
  <cols>
    <col min="1" max="1" width="48.7109375" style="34" customWidth="1"/>
    <col min="2" max="7" width="11.7109375" customWidth="1"/>
    <col min="8" max="8" width="22.85546875" customWidth="1"/>
    <col min="9" max="10" width="11.7109375" customWidth="1"/>
    <col min="11" max="11" width="31.85546875" customWidth="1"/>
    <col min="12" max="12" width="38.28515625" customWidth="1"/>
    <col min="13" max="13" width="7.28515625" customWidth="1"/>
    <col min="14" max="14" width="9.7109375" customWidth="1"/>
    <col min="15" max="16" width="7.28515625" customWidth="1"/>
    <col min="17" max="17" width="8.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 customWidth="1"/>
    <col min="27" max="27" width="6.7109375" customWidth="1"/>
    <col min="28" max="28" width="7" customWidth="1"/>
    <col min="29" max="29" width="17" customWidth="1"/>
    <col min="30" max="30" width="6.7109375" customWidth="1"/>
    <col min="31" max="31" width="7" customWidth="1"/>
    <col min="32" max="32" width="17" customWidth="1"/>
    <col min="33" max="33" width="6.7109375" customWidth="1"/>
    <col min="34" max="34" width="7" customWidth="1"/>
  </cols>
  <sheetData>
    <row>
      <c s="7" t="s">
        <v>17</v>
      </c>
      <c s="7"/>
      <c s="7"/>
      <c s="7"/>
      <c s="7"/>
      <c s="22"/>
    </row>
    <row s="58" customFormat="1">
      <c s="9" t="s">
        <v>64</v>
      </c>
      <c s="9"/>
      <c s="9"/>
      <c s="9"/>
      <c s="9"/>
      <c s="54"/>
    </row>
    <row ht="15" customHeight="1" s="58" customFormat="1">
      <c s="38" t="s">
        <v>88</v>
      </c>
      <c s="12"/>
      <c s="12"/>
      <c s="12"/>
      <c s="12"/>
      <c s="47"/>
    </row>
    <row s="58" customFormat="1">
      <c s="3" t="s">
        <v>141</v>
      </c>
      <c s="3"/>
      <c s="3"/>
      <c s="3"/>
      <c s="3"/>
      <c s="3"/>
      <c s="3"/>
      <c s="3"/>
    </row>
    <row s="62" customFormat="1">
      <c s="3" t="s">
        <v>40</v>
      </c>
      <c s="3"/>
      <c s="3"/>
      <c s="3"/>
      <c s="3"/>
      <c s="3"/>
      <c s="3"/>
      <c s="3"/>
    </row>
    <row ht="39.75" customHeight="1" s="62" customFormat="1">
      <c s="3" t="s">
        <v>125</v>
      </c>
      <c s="3"/>
      <c s="3"/>
      <c s="3"/>
      <c s="3"/>
      <c s="3"/>
      <c s="3"/>
      <c s="3"/>
    </row>
    <row ht="15" customHeight="1">
      <c s="33" t="s">
        <v>126</v>
      </c>
      <c s="11"/>
      <c s="11"/>
      <c s="11"/>
      <c s="11"/>
      <c s="11"/>
    </row>
    <row>
      <c s="59" t="s">
        <v>106</v>
      </c>
      <c s="10"/>
      <c s="10"/>
      <c s="10"/>
      <c s="10"/>
      <c s="22"/>
    </row>
    <row>
      <c s="10"/>
      <c s="10"/>
      <c s="10"/>
      <c s="10"/>
      <c s="10"/>
      <c s="22"/>
    </row>
    <row ht="15" customHeight="1">
      <c s="23" t="s">
        <v>55</v>
      </c>
      <c s="61" t="s">
        <v>54</v>
      </c>
      <c r="F10" t="s">
        <v>30</v>
      </c>
    </row>
    <row ht="15" customHeight="1">
      <c s="23" t="s">
        <v>1</v>
      </c>
      <c s="61" t="s">
        <v>24</v>
      </c>
      <c r="F11" t="s">
        <v>30</v>
      </c>
    </row>
    <row ht="15" customHeight="1">
      <c s="23" t="s">
        <v>0</v>
      </c>
      <c s="61" t="s">
        <v>24</v>
      </c>
      <c r="F12" t="s">
        <v>30</v>
      </c>
    </row>
    <row ht="15" customHeight="1">
      <c s="23" t="s">
        <v>80</v>
      </c>
      <c s="61" t="s">
        <v>24</v>
      </c>
      <c r="F13" t="s">
        <v>30</v>
      </c>
    </row>
    <row ht="15" customHeight="1">
      <c s="23" t="s">
        <v>67</v>
      </c>
      <c s="61" t="s">
        <v>24</v>
      </c>
      <c r="F14" t="s">
        <v>30</v>
      </c>
    </row>
    <row ht="15" customHeight="1">
      <c s="23" t="s">
        <v>99</v>
      </c>
      <c s="61" t="s">
        <v>24</v>
      </c>
      <c r="F15" t="s">
        <v>30</v>
      </c>
    </row>
    <row ht="15" customHeight="1">
      <c s="23" t="s">
        <v>10</v>
      </c>
      <c s="61" t="s">
        <v>24</v>
      </c>
      <c r="F16" t="s">
        <v>30</v>
      </c>
    </row>
    <row ht="15" customHeight="1">
      <c s="23" t="s">
        <v>98</v>
      </c>
      <c s="61" t="s">
        <v>24</v>
      </c>
      <c r="F17" t="s">
        <v>30</v>
      </c>
    </row>
    <row ht="15" customHeight="1">
      <c s="23" t="s">
        <v>66</v>
      </c>
      <c s="61" t="s">
        <v>24</v>
      </c>
      <c r="F18" t="s">
        <v>30</v>
      </c>
    </row>
    <row ht="15" customHeight="1">
      <c s="23" t="s">
        <v>108</v>
      </c>
      <c s="61" t="s">
        <v>24</v>
      </c>
      <c r="F19" t="s">
        <v>30</v>
      </c>
    </row>
    <row ht="15" hidden="1" customHeight="1">
      <c s="23" t="s">
        <v>89</v>
      </c>
      <c s="61" t="s">
        <v>65</v>
      </c>
    </row>
    <row ht="15" hidden="1">
      <c s="23" t="s">
        <v>79</v>
      </c>
      <c s="61" t="s">
        <v>18</v>
      </c>
    </row>
    <row ht="15" hidden="1">
      <c s="23" t="s">
        <v>123</v>
      </c>
      <c s="61" t="s">
        <v>48</v>
      </c>
    </row>
    <row>
      <c/>
    </row>
    <row ht="15" customHeight="1">
      <c/>
    </row>
    <row>
      <c/>
      <c s="8" t="s">
        <v>19</v>
      </c>
      <c s="8"/>
      <c s="8"/>
      <c s="8"/>
      <c s="8"/>
    </row>
    <row>
      <c/>
      <c s="8" t="s">
        <v>11</v>
      </c>
      <c s="8"/>
      <c s="8"/>
      <c s="31" t="s">
        <v>90</v>
      </c>
      <c s="31"/>
    </row>
    <row>
      <c s="23" t="s">
        <v>107</v>
      </c>
      <c s="13" t="s">
        <v>9</v>
      </c>
      <c s="13" t="s">
        <v>46</v>
      </c>
      <c s="32" t="s">
        <v>24</v>
      </c>
      <c s="13" t="s">
        <v>9</v>
      </c>
      <c s="13" t="s">
        <v>46</v>
      </c>
    </row>
    <row>
      <c s="56" t="s">
        <v>53</v>
      </c>
      <c s="20">
        <v>112.99360000000003</v>
      </c>
      <c s="20">
        <v>61.900350000000003</v>
      </c>
      <c s="65">
        <v>174.89395000000002</v>
      </c>
      <c s="25">
        <v>0.6460692322404521</v>
      </c>
      <c s="25">
        <v>0.35393076775954796</v>
      </c>
    </row>
    <row>
      <c s="56" t="s">
        <v>73</v>
      </c>
      <c s="20">
        <v>2</v>
      </c>
      <c s="20"/>
      <c s="65">
        <v>2</v>
      </c>
      <c s="25">
        <v>1</v>
      </c>
      <c s="25"/>
    </row>
    <row>
      <c s="56" t="s">
        <v>122</v>
      </c>
      <c s="20">
        <v>1</v>
      </c>
      <c s="20"/>
      <c s="65">
        <v>1</v>
      </c>
      <c s="25">
        <v>1</v>
      </c>
      <c s="25"/>
    </row>
    <row>
      <c s="56" t="s">
        <v>130</v>
      </c>
      <c s="20">
        <v>15.329000000000001</v>
      </c>
      <c s="20">
        <v>8.8900000000000006</v>
      </c>
      <c s="65">
        <v>24.219000000000001</v>
      </c>
      <c s="25">
        <v>0.63293282133861839</v>
      </c>
      <c s="25">
        <v>0.36706717866138155</v>
      </c>
    </row>
    <row>
      <c s="56" t="s">
        <v>52</v>
      </c>
      <c s="20">
        <v>2</v>
      </c>
      <c s="20">
        <v>1</v>
      </c>
      <c s="65">
        <v>3</v>
      </c>
      <c s="25">
        <v>0.66666666666666663</v>
      </c>
      <c s="25">
        <v>0.33333333333333331</v>
      </c>
    </row>
    <row>
      <c s="56" t="s">
        <v>21</v>
      </c>
      <c s="20">
        <v>59.271099999999997</v>
      </c>
      <c s="20">
        <v>47.324449999999999</v>
      </c>
      <c s="65">
        <v>106.59555000000002</v>
      </c>
      <c s="25">
        <v>0.55603728298226318</v>
      </c>
      <c s="25">
        <v>0.4439627170177366</v>
      </c>
    </row>
    <row>
      <c s="56" t="s">
        <v>51</v>
      </c>
      <c s="20">
        <v>6.4348999999999998</v>
      </c>
      <c s="20">
        <v>8</v>
      </c>
      <c s="65">
        <v>14.434900000000001</v>
      </c>
      <c s="25">
        <v>0.44578763967883389</v>
      </c>
      <c s="25">
        <v>0.55421236032116605</v>
      </c>
    </row>
    <row>
      <c s="56" t="s">
        <v>26</v>
      </c>
      <c s="20">
        <v>4998.2994500000004</v>
      </c>
      <c s="20">
        <v>5279.9782200000018</v>
      </c>
      <c s="65">
        <v>10278.277670000003</v>
      </c>
      <c s="25">
        <v>0.48629737495698527</v>
      </c>
      <c s="25">
        <v>0.51370262504301467</v>
      </c>
    </row>
    <row>
      <c s="56" t="s">
        <v>129</v>
      </c>
      <c s="20">
        <v>6636.044600000002</v>
      </c>
      <c s="20">
        <v>5372.1632500000005</v>
      </c>
      <c s="65">
        <v>12008.207849999997</v>
      </c>
      <c s="25">
        <v>0.55262572757682604</v>
      </c>
      <c s="25">
        <v>0.44737427242317446</v>
      </c>
    </row>
    <row>
      <c s="56" t="s">
        <v>82</v>
      </c>
      <c s="20">
        <v>416.44449999999995</v>
      </c>
      <c s="20">
        <v>36.086000000000006</v>
      </c>
      <c s="65">
        <v>452.5304999999999</v>
      </c>
      <c s="25">
        <v>0.92025730862339672</v>
      </c>
      <c s="25">
        <v>0.079742691376603378</v>
      </c>
    </row>
    <row>
      <c s="56" t="s">
        <v>135</v>
      </c>
      <c s="20">
        <v>25.587999999999997</v>
      </c>
      <c s="20">
        <v>2</v>
      </c>
      <c s="65">
        <v>27.587999999999997</v>
      </c>
      <c s="25">
        <v>0.92750471219370745</v>
      </c>
      <c s="25">
        <v>0.072495287806292594</v>
      </c>
    </row>
    <row>
      <c s="56" t="s">
        <v>50</v>
      </c>
      <c s="20">
        <v>1049.49145</v>
      </c>
      <c s="20">
        <v>756.05595000000017</v>
      </c>
      <c s="65">
        <v>1805.5473999999997</v>
      </c>
      <c s="25">
        <v>0.58125942858104984</v>
      </c>
      <c s="25">
        <v>0.41874057141895044</v>
      </c>
    </row>
    <row>
      <c s="56" t="s">
        <v>60</v>
      </c>
      <c s="20">
        <v>7187.1381500000025</v>
      </c>
      <c s="20">
        <v>5840.4835000000003</v>
      </c>
      <c s="65">
        <v>13027.621649999999</v>
      </c>
      <c s="25">
        <v>0.55168459317361296</v>
      </c>
      <c s="25">
        <v>0.44831540682638726</v>
      </c>
    </row>
    <row>
      <c s="56" t="s">
        <v>87</v>
      </c>
      <c s="20"/>
      <c s="20">
        <v>1</v>
      </c>
      <c s="65">
        <v>1</v>
      </c>
      <c s="25"/>
      <c s="25">
        <v>1</v>
      </c>
    </row>
    <row>
      <c s="56" t="s">
        <v>32</v>
      </c>
      <c s="20">
        <v>2</v>
      </c>
      <c s="20"/>
      <c s="65">
        <v>2</v>
      </c>
      <c s="25">
        <v>1</v>
      </c>
      <c s="25"/>
    </row>
    <row>
      <c s="56" t="s">
        <v>45</v>
      </c>
      <c s="20">
        <v>564.24320000000012</v>
      </c>
      <c s="20">
        <v>728.81295</v>
      </c>
      <c s="65">
        <v>1293.0561499999999</v>
      </c>
      <c s="25">
        <v>0.43636403569945525</v>
      </c>
      <c s="25">
        <v>0.56363596430054497</v>
      </c>
    </row>
    <row>
      <c s="56" t="s">
        <v>110</v>
      </c>
      <c s="20">
        <v>1</v>
      </c>
      <c s="20">
        <v>2</v>
      </c>
      <c s="65">
        <v>3</v>
      </c>
      <c s="25">
        <v>0.33333333333333331</v>
      </c>
      <c s="25">
        <v>0.66666666666666663</v>
      </c>
    </row>
    <row>
      <c s="56" t="s">
        <v>92</v>
      </c>
      <c s="20">
        <v>3</v>
      </c>
      <c s="20">
        <v>2</v>
      </c>
      <c s="65">
        <v>5</v>
      </c>
      <c s="25">
        <v>0.59999999999999998</v>
      </c>
      <c s="25">
        <v>0.40000000000000002</v>
      </c>
    </row>
    <row>
      <c s="56" t="s">
        <v>59</v>
      </c>
      <c s="20">
        <v>39</v>
      </c>
      <c s="20">
        <v>44</v>
      </c>
      <c s="65">
        <v>83.000000000000014</v>
      </c>
      <c s="25">
        <v>0.46987951807228906</v>
      </c>
      <c s="25">
        <v>0.53012048192771077</v>
      </c>
    </row>
    <row>
      <c s="56" t="s">
        <v>128</v>
      </c>
      <c s="20"/>
      <c s="20">
        <v>1</v>
      </c>
      <c s="65">
        <v>1</v>
      </c>
      <c s="25"/>
      <c s="25">
        <v>1</v>
      </c>
    </row>
    <row>
      <c s="56" t="s">
        <v>44</v>
      </c>
      <c s="20">
        <v>77.87945000000002</v>
      </c>
      <c s="20">
        <v>109.62004999999999</v>
      </c>
      <c s="65">
        <v>187.49949999999998</v>
      </c>
      <c s="25">
        <v>0.41535817428846489</v>
      </c>
      <c s="25">
        <v>0.58464182571153522</v>
      </c>
    </row>
    <row>
      <c s="56" t="s">
        <v>58</v>
      </c>
      <c s="20">
        <v>451.23649999999998</v>
      </c>
      <c s="20">
        <v>364.69259999999997</v>
      </c>
      <c s="65">
        <v>815.92910000000006</v>
      </c>
      <c s="25">
        <v>0.5530339584652636</v>
      </c>
      <c s="25">
        <v>0.44696604153473624</v>
      </c>
    </row>
    <row>
      <c s="56" t="s">
        <v>43</v>
      </c>
      <c s="20">
        <v>5371.8762000000024</v>
      </c>
      <c s="20">
        <v>2750.8314000000005</v>
      </c>
      <c s="65">
        <v>8122.7075999999988</v>
      </c>
      <c s="25">
        <v>0.6613405854963933</v>
      </c>
      <c s="25">
        <v>0.33865941450360726</v>
      </c>
    </row>
    <row>
      <c s="56" t="s">
        <v>109</v>
      </c>
      <c s="20">
        <v>154.08260000000004</v>
      </c>
      <c s="20">
        <v>113.87080000000002</v>
      </c>
      <c s="65">
        <v>267.95339999999999</v>
      </c>
      <c s="25">
        <v>0.57503506206676258</v>
      </c>
      <c s="25">
        <v>0.42496493793323775</v>
      </c>
    </row>
    <row>
      <c s="56" t="s">
        <v>134</v>
      </c>
      <c s="20">
        <v>144.9503</v>
      </c>
      <c s="20">
        <v>116.13239999999999</v>
      </c>
      <c s="65">
        <v>261.08270000000005</v>
      </c>
      <c s="25">
        <v>0.55518921782255193</v>
      </c>
      <c s="25">
        <v>0.44481078217744785</v>
      </c>
    </row>
    <row>
      <c s="56" t="s">
        <v>127</v>
      </c>
      <c s="20">
        <v>2308.8957499999997</v>
      </c>
      <c s="20">
        <v>456.50239999999997</v>
      </c>
      <c s="65">
        <v>2765.39815</v>
      </c>
      <c s="25">
        <v>0.83492344492962056</v>
      </c>
      <c s="25">
        <v>0.16507655507037927</v>
      </c>
    </row>
    <row>
      <c s="56" t="s">
        <v>57</v>
      </c>
      <c s="20">
        <v>1110.8624500000001</v>
      </c>
      <c s="20">
        <v>3049.2779499999997</v>
      </c>
      <c s="65">
        <v>4160.1404000000011</v>
      </c>
      <c s="25">
        <v>0.2670252306869258</v>
      </c>
      <c s="25">
        <v>0.73297476931307393</v>
      </c>
    </row>
    <row>
      <c s="56" t="s">
        <v>31</v>
      </c>
      <c s="20">
        <v>1942.1840000000002</v>
      </c>
      <c s="20">
        <v>1278.9512000000002</v>
      </c>
      <c s="65">
        <v>3221.1351999999993</v>
      </c>
      <c s="25">
        <v>0.6029501648983876</v>
      </c>
      <c s="25">
        <v>0.39704983510161279</v>
      </c>
    </row>
    <row>
      <c s="56" t="s">
        <v>102</v>
      </c>
      <c s="20">
        <v>131.42755</v>
      </c>
      <c s="20">
        <v>100.91499999999999</v>
      </c>
      <c s="65">
        <v>232.34254999999996</v>
      </c>
      <c s="25">
        <v>0.56566285426410279</v>
      </c>
      <c s="25">
        <v>0.43433714573589732</v>
      </c>
    </row>
    <row>
      <c s="56" t="s">
        <v>13</v>
      </c>
      <c s="20">
        <v>163</v>
      </c>
      <c s="20">
        <v>111.00000000000001</v>
      </c>
      <c s="65">
        <v>274</v>
      </c>
      <c s="25">
        <v>0.5948905109489051</v>
      </c>
      <c s="25">
        <v>0.40510948905109495</v>
      </c>
    </row>
    <row>
      <c s="56" t="s">
        <v>81</v>
      </c>
      <c s="20">
        <v>57.329050000000002</v>
      </c>
      <c s="20">
        <v>49</v>
      </c>
      <c s="65">
        <v>106.32905000000001</v>
      </c>
      <c s="25">
        <v>0.53916638961788899</v>
      </c>
      <c s="25">
        <v>0.46083361038211096</v>
      </c>
    </row>
    <row>
      <c s="56" t="s">
        <v>12</v>
      </c>
      <c s="20">
        <v>33</v>
      </c>
      <c s="20">
        <v>15</v>
      </c>
      <c s="65">
        <v>48</v>
      </c>
      <c s="25">
        <v>0.6875</v>
      </c>
      <c s="25">
        <v>0.3125</v>
      </c>
    </row>
    <row>
      <c s="56" t="s">
        <v>133</v>
      </c>
      <c s="20">
        <v>526.97874999999999</v>
      </c>
      <c s="20">
        <v>393.73399999999998</v>
      </c>
      <c s="65">
        <v>920.71275000000003</v>
      </c>
      <c s="25">
        <v>0.57235956599927607</v>
      </c>
      <c s="25">
        <v>0.42764043400072388</v>
      </c>
    </row>
    <row>
      <c s="56" t="s">
        <v>42</v>
      </c>
      <c s="20">
        <v>72.749249999999989</v>
      </c>
      <c s="20">
        <v>70.700000000000003</v>
      </c>
      <c s="65">
        <v>143.44925000000001</v>
      </c>
      <c s="25">
        <v>0.50714277000402574</v>
      </c>
      <c s="25">
        <v>0.4928572299959742</v>
      </c>
    </row>
    <row>
      <c s="56" t="s">
        <v>72</v>
      </c>
      <c s="20">
        <v>53.353799999999993</v>
      </c>
      <c s="20">
        <v>14.936500000000001</v>
      </c>
      <c s="65">
        <v>68.290300000000002</v>
      </c>
      <c s="25">
        <v>0.78127933249670878</v>
      </c>
      <c s="25">
        <v>0.21872066750329111</v>
      </c>
    </row>
    <row>
      <c s="56" t="s">
        <v>101</v>
      </c>
      <c s="20">
        <v>112.90000000000001</v>
      </c>
      <c s="20">
        <v>109.90000000000001</v>
      </c>
      <c s="65">
        <v>222.80000000000001</v>
      </c>
      <c s="25">
        <v>0.50673249551166966</v>
      </c>
      <c s="25">
        <v>0.49326750448833034</v>
      </c>
    </row>
    <row>
      <c s="56" t="s">
        <v>29</v>
      </c>
      <c s="20"/>
      <c s="20">
        <v>1</v>
      </c>
      <c s="65">
        <v>1</v>
      </c>
      <c s="25"/>
      <c s="25">
        <v>1</v>
      </c>
    </row>
    <row>
      <c s="56" t="s">
        <v>100</v>
      </c>
      <c s="20">
        <v>530</v>
      </c>
      <c s="20">
        <v>401</v>
      </c>
      <c s="65">
        <v>931</v>
      </c>
      <c s="25">
        <v>0.56928034371643399</v>
      </c>
      <c s="25">
        <v>0.43071965628356607</v>
      </c>
    </row>
    <row>
      <c s="56" t="s">
        <v>71</v>
      </c>
      <c s="20">
        <v>2</v>
      </c>
      <c s="20"/>
      <c s="65">
        <v>2</v>
      </c>
      <c s="25">
        <v>1</v>
      </c>
      <c s="25"/>
    </row>
    <row>
      <c s="56" t="s">
        <v>49</v>
      </c>
      <c s="20">
        <v>418.83339999999998</v>
      </c>
      <c s="20">
        <v>345.73250000000007</v>
      </c>
      <c s="65">
        <v>764.56589999999994</v>
      </c>
      <c s="25">
        <v>0.54780549328710582</v>
      </c>
      <c s="25">
        <v>0.45219450671289435</v>
      </c>
    </row>
    <row>
      <c s="56" t="s">
        <v>70</v>
      </c>
      <c s="20">
        <v>1005.6213499999999</v>
      </c>
      <c s="20">
        <v>1076.4555499999999</v>
      </c>
      <c s="65">
        <v>2082.0769</v>
      </c>
      <c s="25">
        <v>0.48298953319159338</v>
      </c>
      <c s="25">
        <v>0.51701046680840645</v>
      </c>
    </row>
    <row>
      <c s="56" t="s">
        <v>91</v>
      </c>
      <c s="20">
        <v>22.2483</v>
      </c>
      <c s="20">
        <v>13</v>
      </c>
      <c s="65">
        <v>35.2483</v>
      </c>
      <c s="25">
        <v>0.63118788707540507</v>
      </c>
      <c s="25">
        <v>0.36881211292459493</v>
      </c>
    </row>
    <row>
      <c s="56" t="s">
        <v>41</v>
      </c>
      <c s="20">
        <v>460.83154999999994</v>
      </c>
      <c s="20">
        <v>515.92984999999999</v>
      </c>
      <c s="65">
        <v>976.76139999999987</v>
      </c>
      <c s="25">
        <v>0.47179541492937782</v>
      </c>
      <c s="25">
        <v>0.52820458507062218</v>
      </c>
    </row>
    <row>
      <c s="56" t="s">
        <v>118</v>
      </c>
      <c s="20">
        <v>174.5685</v>
      </c>
      <c s="20">
        <v>92.286449999999988</v>
      </c>
      <c s="65">
        <v>266.85494999999997</v>
      </c>
      <c s="25">
        <v>0.65416999010136412</v>
      </c>
      <c s="25">
        <v>0.34583000989863594</v>
      </c>
    </row>
    <row>
      <c s="56" t="s">
        <v>25</v>
      </c>
      <c s="20">
        <v>2891.9594000000006</v>
      </c>
      <c s="20">
        <v>1646.9087499999998</v>
      </c>
      <c s="65">
        <v>4538.8681499999975</v>
      </c>
      <c s="25">
        <v>0.6371543090538998</v>
      </c>
      <c s="25">
        <v>0.36284569094610092</v>
      </c>
    </row>
    <row>
      <c s="56" t="s">
        <v>69</v>
      </c>
      <c s="20">
        <v>2981.4298999999992</v>
      </c>
      <c s="20">
        <v>3160.3594000000007</v>
      </c>
      <c s="65">
        <v>6141.7892999999976</v>
      </c>
      <c s="25">
        <v>0.48543343875375217</v>
      </c>
      <c s="25">
        <v>0.51456656124624822</v>
      </c>
    </row>
    <row>
      <c s="56" t="s">
        <v>68</v>
      </c>
      <c s="20">
        <v>18.31475</v>
      </c>
      <c s="20">
        <v>22.4312</v>
      </c>
      <c s="65">
        <v>40.745950000000001</v>
      </c>
      <c s="25">
        <v>0.44948639067195634</v>
      </c>
      <c s="25">
        <v>0.55051360932804361</v>
      </c>
    </row>
    <row>
      <c s="56" t="s">
        <v>132</v>
      </c>
      <c s="20">
        <v>1</v>
      </c>
      <c s="20">
        <v>2.4199999999999999</v>
      </c>
      <c s="65">
        <v>3.4199999999999999</v>
      </c>
      <c s="25">
        <v>0.29239766081871343</v>
      </c>
      <c s="25">
        <v>0.70760233918128657</v>
      </c>
    </row>
    <row>
      <c s="56" t="s">
        <v>124</v>
      </c>
      <c s="20">
        <v>4331.0075500000003</v>
      </c>
      <c s="20">
        <v>2367.7224499999998</v>
      </c>
      <c s="65">
        <v>6698.7299999999987</v>
      </c>
      <c s="25">
        <v>0.64654159071943507</v>
      </c>
      <c s="25">
        <v>0.35345840928056516</v>
      </c>
    </row>
    <row>
      <c s="56" t="s">
        <v>2</v>
      </c>
      <c s="20">
        <v>10</v>
      </c>
      <c s="20">
        <v>6</v>
      </c>
      <c s="65">
        <v>16</v>
      </c>
      <c s="25">
        <v>0.625</v>
      </c>
      <c s="25">
        <v>0.375</v>
      </c>
    </row>
    <row>
      <c s="56" t="s">
        <v>97</v>
      </c>
      <c s="20">
        <v>1</v>
      </c>
      <c s="20">
        <v>3</v>
      </c>
      <c s="65">
        <v>4</v>
      </c>
      <c s="25">
        <v>0.25</v>
      </c>
      <c s="25">
        <v>0.75</v>
      </c>
    </row>
    <row>
      <c s="56" t="s">
        <v>20</v>
      </c>
      <c s="20">
        <v>0.48539999999999994</v>
      </c>
      <c s="20">
        <v>1</v>
      </c>
      <c s="65">
        <v>1.4853999999999998</v>
      </c>
      <c s="25">
        <v>0.32678066514070286</v>
      </c>
      <c s="25">
        <v>0.67321933485929719</v>
      </c>
    </row>
    <row>
      <c s="56" t="s">
        <v>56</v>
      </c>
      <c s="20">
        <v>120.89324999999999</v>
      </c>
      <c s="20">
        <v>113.74165000000002</v>
      </c>
      <c s="65">
        <v>234.63489999999993</v>
      </c>
      <c s="25">
        <v>0.51523984709862014</v>
      </c>
      <c s="25">
        <v>0.48476015290138019</v>
      </c>
    </row>
    <row>
      <c s="56" t="s">
        <v>39</v>
      </c>
      <c s="20">
        <v>563.47354999999982</v>
      </c>
      <c s="20">
        <v>362.85584999999992</v>
      </c>
      <c s="65">
        <v>926.32940000000019</v>
      </c>
      <c s="25">
        <v>0.60828637199682933</v>
      </c>
      <c s="25">
        <v>0.39171362800317017</v>
      </c>
    </row>
    <row>
      <c s="35" t="s">
        <v>24</v>
      </c>
      <c s="15">
        <v>47367.650499999982</v>
      </c>
      <c s="15">
        <v>37429.602619999991</v>
      </c>
      <c s="15">
        <v>84797.253119999994</v>
      </c>
      <c s="24">
        <v>0.5585988785859386</v>
      </c>
      <c s="24">
        <v>0.44140112141406113</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55"/>
      <c s="2"/>
      <c s="2"/>
      <c s="2"/>
      <c s="2"/>
      <c s="2"/>
      <c s="2"/>
      <c s="2"/>
      <c s="2"/>
      <c s="2"/>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6">
    <mergeCell ref="A4:H4"/>
    <mergeCell ref="A5:H5"/>
    <mergeCell ref="A6:H6"/>
    <mergeCell ref="B25:F25"/>
    <mergeCell ref="B26:D26"/>
    <mergeCell ref="E26:F26"/>
  </mergeCells>
  <pageMargins left="0.70866141732283472" right="0.70866141732283472" top="0.78740157480314965" bottom="0.78740157480314965" header="0.31496062992125984" footer="0.31496062992125984"/>
  <pageSetup paperSize="9" scale="81" fitToHeight="2" orientation="landscape"/>
  <headerFooter>
    <oddHeader>&amp;L&amp;"Tahoma,Standard"&amp;10unidata.gv.at&amp;R&amp;"Tahoma,Standard"&amp;10&amp;D</oddHeader>
    <oddFooter>&amp;R&amp;"Tahoma,Standard"&amp;10&amp;P/&amp;N</oddFooter>
  </headerFooter>
  <rowBreaks count="1" manualBreakCount="1">
    <brk id="40" max="7" man="1"/>
  </rowBreaks>
  <drawing r:id="rId1"/>
</worksheet>
</file>

<file path=xl/worksheets/sheet2.xml><?xml version="1.0" encoding="utf-8"?>
<worksheet xmlns:r="http://schemas.openxmlformats.org/officeDocument/2006/relationships" xmlns="http://schemas.openxmlformats.org/spreadsheetml/2006/main">
  <dimension ref="A1:Z32"/>
  <sheetViews>
    <sheetView workbookViewId="0">
      <selection activeCell="E31" sqref="E31"/>
    </sheetView>
  </sheetViews>
  <sheetFormatPr defaultColWidth="9" defaultRowHeight="13.6"/>
  <cols>
    <col min="1" max="1" width="13.5703125" style="30" customWidth="1"/>
    <col min="2" max="2" width="40.85546875" style="30" customWidth="1"/>
    <col min="3" max="3" width="28" style="30" customWidth="1"/>
    <col min="4" max="4" width="16.28515625" style="30" customWidth="1"/>
    <col min="5" max="5" width="19.28515625" style="30" customWidth="1"/>
    <col min="6" max="6" width="11" style="30" customWidth="1"/>
    <col min="7" max="7" width="9" style="30" customWidth="1"/>
    <col min="8" max="8" width="17.28515625" style="30" customWidth="1"/>
    <col min="9" max="9" width="19.5703125" style="30" customWidth="1"/>
    <col min="10" max="12" width="12.28515625" style="30" customWidth="1"/>
    <col min="13" max="13" width="16" style="30" customWidth="1"/>
    <col min="14" max="14" width="14.28515625" style="30" customWidth="1"/>
    <col min="15" max="15" width="18.28515625" style="30" customWidth="1"/>
    <col min="16" max="25" width="9" style="30" customWidth="1"/>
    <col min="26" max="26" width="9" style="30" hidden="1" customWidth="1"/>
    <col min="27" max="27" width="9" style="30" customWidth="1"/>
    <col min="28" max="16384" width="9" style="30"/>
  </cols>
  <sheetData>
    <row>
      <c s="43"/>
      <c r="H1" s="57">
        <v>129806172700000000</v>
      </c>
      <c r="Z1" s="36" t="b">
        <f>0=1</f>
        <v>0</v>
      </c>
    </row>
    <row>
      <c r="Z2" s="36" t="b">
        <f>1=1</f>
        <v>1</v>
      </c>
    </row>
    <row>
      <c r="Z3" s="36"/>
    </row>
    <row>
      <c r="I4" s="30" t="s">
        <v>47</v>
      </c>
      <c s="45" t="s">
        <v>103</v>
      </c>
      <c s="6"/>
      <c s="6"/>
      <c s="6"/>
      <c s="6"/>
      <c s="6"/>
    </row>
    <row>
      <c r="J5" s="29" t="s">
        <v>33</v>
      </c>
      <c s="18" t="s">
        <v>74</v>
      </c>
      <c s="18" t="s">
        <v>93</v>
      </c>
      <c s="29" t="s">
        <v>136</v>
      </c>
      <c s="44" t="s">
        <v>111</v>
      </c>
      <c s="18" t="s">
        <v>3</v>
      </c>
    </row>
    <row>
      <c r="B6" s="21" t="s">
        <v>112</v>
      </c>
      <c s="19" t="s">
        <v>119</v>
      </c>
      <c s="74" t="s">
        <v>14</v>
      </c>
      <c s="5" t="s">
        <v>75</v>
      </c>
    </row>
    <row>
      <c r="C7" s="16"/>
      <c s="27" t="s">
        <v>15</v>
      </c>
      <c s="5" t="s">
        <v>83</v>
      </c>
    </row>
    <row>
      <c r="C8" s="27" t="s">
        <v>4</v>
      </c>
      <c s="16"/>
    </row>
    <row>
      <c r="C9" s="16"/>
      <c s="19" t="s">
        <v>34</v>
      </c>
      <c s="42"/>
    </row>
    <row>
      <c r="C10" s="19" t="s">
        <v>61</v>
      </c>
      <c s="72" t="s">
        <v>94</v>
      </c>
      <c s="5" t="s">
        <v>22</v>
      </c>
    </row>
    <row>
      <c r="B11" s="21" t="s">
        <v>76</v>
      </c>
      <c s="48" t="s">
        <v>62</v>
      </c>
      <c s="67">
        <v>60398</v>
      </c>
      <c s="5" t="s">
        <v>35</v>
      </c>
    </row>
    <row>
      <c r="B12" s="21"/>
      <c s="71"/>
      <c s="73"/>
      <c s="41" t="s">
        <v>104</v>
      </c>
    </row>
    <row>
      <c r="B13" s="21" t="s">
        <v>63</v>
      </c>
      <c s="52" t="s">
        <v>27</v>
      </c>
      <c s="37">
        <v>1212</v>
      </c>
      <c s="30" t="b">
        <v>0</v>
      </c>
      <c s="5" t="s">
        <v>95</v>
      </c>
    </row>
    <row ht="12.75" hidden="1">
      <c r="B14" s="21"/>
      <c s="52"/>
      <c s="50"/>
      <c s="30" t="b">
        <v>0</v>
      </c>
    </row>
    <row>
      <c r="B15" s="21" t="s">
        <v>120</v>
      </c>
      <c s="30" t="s">
        <v>131</v>
      </c>
      <c s="60">
        <v>1212</v>
      </c>
      <c s="30" t="b">
        <v>0</v>
      </c>
      <c s="5" t="s">
        <v>28</v>
      </c>
    </row>
    <row ht="12.75" hidden="1">
      <c r="B16" s="21"/>
      <c r="D16" s="17"/>
      <c s="30" t="b">
        <v>0</v>
      </c>
      <c s="5"/>
    </row>
    <row>
      <c r="B17" s="21"/>
      <c s="30" t="s">
        <v>36</v>
      </c>
      <c s="53">
        <v>3434</v>
      </c>
      <c s="30" t="b">
        <v>0</v>
      </c>
      <c s="5" t="s">
        <v>96</v>
      </c>
    </row>
    <row>
      <c r="B18" s="21"/>
      <c r="D18" s="17"/>
      <c s="30" t="b">
        <v>0</v>
      </c>
      <c s="5"/>
    </row>
    <row>
      <c r="B19" s="21"/>
      <c s="30" t="s">
        <v>5</v>
      </c>
      <c s="64">
        <v>3434</v>
      </c>
      <c s="30" t="b">
        <v>0</v>
      </c>
      <c s="5" t="s">
        <v>113</v>
      </c>
    </row>
    <row>
      <c r="B20" s="21"/>
      <c r="D20" s="17"/>
      <c s="30" t="b">
        <v>0</v>
      </c>
      <c s="5"/>
    </row>
    <row>
      <c r="B21" s="21"/>
      <c s="30" t="s">
        <v>114</v>
      </c>
      <c s="69">
        <v>5656</v>
      </c>
      <c s="30" t="b">
        <v>0</v>
      </c>
      <c s="5" t="s">
        <v>137</v>
      </c>
    </row>
    <row>
      <c r="B22" s="21"/>
      <c r="E22" s="5"/>
      <c r="I22" s="66"/>
    </row>
    <row>
      <c r="B23" s="28" t="s">
        <v>6</v>
      </c>
      <c s="28"/>
    </row>
    <row>
      <c r="B24" s="4" t="s">
        <v>77</v>
      </c>
      <c s="4" t="s">
        <v>37</v>
      </c>
      <c s="4" t="s">
        <v>16</v>
      </c>
      <c s="4" t="s">
        <v>115</v>
      </c>
      <c s="4"/>
      <c s="4"/>
      <c s="4" t="s">
        <v>138</v>
      </c>
    </row>
    <row>
      <c s="30" t="s">
        <v>84</v>
      </c>
      <c r="C25" s="46" t="s">
        <v>78</v>
      </c>
      <c s="14" t="s">
        <v>7</v>
      </c>
      <c s="14">
        <v>1234.5599999999999</v>
      </c>
      <c s="5" t="s">
        <v>105</v>
      </c>
      <c r="H25" s="30" t="s">
        <v>116</v>
      </c>
    </row>
    <row>
      <c s="30" t="s">
        <v>121</v>
      </c>
      <c r="C26" s="46" t="s">
        <v>78</v>
      </c>
      <c s="14" t="s">
        <v>7</v>
      </c>
      <c s="14">
        <v>1234.5599999999999</v>
      </c>
      <c s="5" t="s">
        <v>85</v>
      </c>
      <c r="H26" s="30" t="s">
        <v>139</v>
      </c>
    </row>
    <row>
      <c r="C27" s="46" t="s">
        <v>78</v>
      </c>
      <c s="26" t="s">
        <v>7</v>
      </c>
      <c s="14">
        <v>1234.5599999999999</v>
      </c>
      <c r="H27" s="30" t="s">
        <v>86</v>
      </c>
    </row>
    <row>
      <c r="C28" s="68" t="s">
        <v>8</v>
      </c>
      <c s="26" t="s">
        <v>11</v>
      </c>
      <c s="14">
        <v>1234.5599999999999</v>
      </c>
      <c r="H28" s="30" t="s">
        <v>38</v>
      </c>
    </row>
    <row>
      <c r="C29" s="68" t="s">
        <v>8</v>
      </c>
      <c s="39" t="s">
        <v>90</v>
      </c>
      <c s="70">
        <v>1234.5599999999999</v>
      </c>
      <c r="H29" s="30" t="s">
        <v>140</v>
      </c>
    </row>
    <row>
      <c r="C30" s="68" t="s">
        <v>117</v>
      </c>
      <c s="40" t="s">
        <v>24</v>
      </c>
      <c s="63">
        <v>1234.5599999999999</v>
      </c>
    </row>
    <row>
      <c r="C31" s="68" t="s">
        <v>78</v>
      </c>
      <c s="26" t="s">
        <v>19</v>
      </c>
      <c s="14">
        <v>1234.5599999999999</v>
      </c>
    </row>
    <row>
      <c r="C32" s="68" t="s">
        <v>23</v>
      </c>
      <c s="49" t="s">
        <v>24</v>
      </c>
      <c s="51">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
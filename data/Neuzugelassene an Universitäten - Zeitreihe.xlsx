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000"/>
  </bookViews>
  <sheets>
    <sheet name="Tab" sheetId="1" r:id="rId1"/>
    <sheet name="XLCubedFormats" sheetId="2" state="hidden" r:id="rId2"/>
    <sheet name="Tabelle1" sheetId="3" state="hidden" r:id="rId3"/>
  </sheets>
  <definedNames>
    <definedName name="XL3DisableCameraObjects" hidden="1">XLCubedFormats!A1</definedName>
    <definedName name="XL3ObjLocation6479baa9_7246_48eb_b187_8ddc5d9d30e1">Tab!$A$8</definedName>
    <definedName name="XL3ObjLocatione705412a_4a27_47fa_9ae8_3386a4fa6bbc">Tabelle1!$A$1</definedName>
  </definedNames>
  <calcPr calcId="40001"/>
</workbook>
</file>

<file path=xl/sharedStrings.xml><?xml version="1.0" encoding="utf-8"?>
<sst xmlns="http://schemas.openxmlformats.org/spreadsheetml/2006/main" uniqueCount="178">
  <si>
    <t>Universität</t>
  </si>
  <si>
    <t>Semester und Datenstichtag</t>
  </si>
  <si>
    <t>Frauen</t>
  </si>
  <si>
    <t>Sommersemester 2016 (Stichtag: 30.09.2016)</t>
  </si>
  <si>
    <t>Wintersemester 2016 (Stichtag: 28.02.2017)</t>
  </si>
  <si>
    <t>Wintersemester 2001 (Stichtag: 28.02.2002)</t>
  </si>
  <si>
    <t>Studienjahr 2004/05</t>
  </si>
  <si>
    <t>Studienjahr 2022/23</t>
  </si>
  <si>
    <t>Slicer Button Background</t>
  </si>
  <si>
    <t>Grid Title</t>
  </si>
  <si>
    <t>Oth Written Member</t>
  </si>
  <si>
    <t>Fill in Grid Name, Dimension or Both</t>
  </si>
  <si>
    <t>[ALLG Wertart].[Wertart]</t>
  </si>
  <si>
    <t>Sommersemester 2001 (Stichtag: 30.09.2001)</t>
  </si>
  <si>
    <t>2008/09</t>
  </si>
  <si>
    <t>Staatengruppe (Ö, EU, andere)</t>
  </si>
  <si>
    <t>Sommersemester 2024 (Stichtag: 30.09.2024)</t>
  </si>
  <si>
    <t>All Marital Status</t>
  </si>
  <si>
    <t>Male</t>
  </si>
  <si>
    <t>Member1 Name</t>
  </si>
  <si>
    <t>Absolutwert</t>
  </si>
  <si>
    <t>2019/20</t>
  </si>
  <si>
    <t>2021/22</t>
  </si>
  <si>
    <t>ALLG Semester.Studienjahr (Kurzbezeichnung)</t>
  </si>
  <si>
    <t>Studienjahr 2016/17</t>
  </si>
  <si>
    <t>Wintersemester 2024 (Stichtag: 28.02.2025)</t>
  </si>
  <si>
    <t>Anmerkung: Ab dem WS 2016 erfolgt die zähltechnische Abbildung der Studierenden auf Basis des Verteilungsschlüssels gemäß § 22 Abs. 2 UHSBV.</t>
  </si>
  <si>
    <t>Sommersemester 2018 (Stichtag: 30.09.2018)</t>
  </si>
  <si>
    <t>Wintersemester 2018 (Stichtag: 28.02.2019)</t>
  </si>
  <si>
    <t>Sommersemester 2003 (Stichtag: 30.09.2003)</t>
  </si>
  <si>
    <t>Wintersemester 2003 (Stichtag: 28.02.2004)</t>
  </si>
  <si>
    <t>Studienjahr 2009/10</t>
  </si>
  <si>
    <t>Studienjahr 2011/12</t>
  </si>
  <si>
    <t>&lt;-- default Column Member Format</t>
  </si>
  <si>
    <t>2003/04</t>
  </si>
  <si>
    <t>2015/16</t>
  </si>
  <si>
    <t>Gesamt</t>
  </si>
  <si>
    <t>neuzugelassene Studierende (PN)</t>
  </si>
  <si>
    <t>Studienjahr 2005/06</t>
  </si>
  <si>
    <t>Studienjahr 2023/24</t>
  </si>
  <si>
    <t>Wintersemester 2011 (Stichtag: 28.02.2012)</t>
  </si>
  <si>
    <t>Alternate Rows</t>
  </si>
  <si>
    <t>&lt;--  writeable cell format</t>
  </si>
  <si>
    <t>Sommersemester 2011 (Stichtag: 30.09.2011)</t>
  </si>
  <si>
    <t>2010/11</t>
  </si>
  <si>
    <t xml:space="preserve"> </t>
  </si>
  <si>
    <t>Sommersemester 2005 (Stichtag: 30.09.2005)</t>
  </si>
  <si>
    <t>Studienjahr 2000/01</t>
  </si>
  <si>
    <t>Studienjahr 2017/18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</si>
  <si>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</si>
  <si>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</si>
  <si>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</si>
  <si>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</si>
  <si>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</si>
  <si>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</si>
  <si>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 xml:space="preserve">Erstzugelassene </t>
  </si>
  <si>
    <t>4) Prozentangaben werden standardmäßig mit einer Kommastelle angezeigt</t>
  </si>
  <si>
    <t>2022/23</t>
  </si>
  <si>
    <t>Männer</t>
  </si>
  <si>
    <t>Wintersemester 2013 (Stichtag: 28.02.2014)</t>
  </si>
  <si>
    <t>Studienjahr 2012/13</t>
  </si>
  <si>
    <t>Slice Name (Optional)</t>
  </si>
  <si>
    <t>Frauen-/ Männeranteil in %</t>
  </si>
  <si>
    <t>2004/05</t>
  </si>
  <si>
    <t>2016/17</t>
  </si>
  <si>
    <t>Sommersemester 2013 (Stichtag: 30.09.2013)</t>
  </si>
  <si>
    <t>Measures</t>
  </si>
  <si>
    <t>Wintersemester 2021 (Stichtag: 28.02.2022)</t>
  </si>
  <si>
    <t>Studienjahr 2006/07</t>
  </si>
  <si>
    <t>Wintersemester 2007 (Stichtag: 28.02.2008)</t>
  </si>
  <si>
    <t>Studienjahr 2024/25</t>
  </si>
  <si>
    <t>Wintersemester 2009 (Stichtag: 28.02.2010)</t>
  </si>
  <si>
    <t>Sommersemester 2021 (Stichtag: 30.09.2021)</t>
  </si>
  <si>
    <t>2011/12</t>
  </si>
  <si>
    <t>Sommersemester 2007 (Stichtag: 30.09.2007)</t>
  </si>
  <si>
    <t>Wintersemester 2000 (Stichtag: 28.02.2001)</t>
  </si>
  <si>
    <t>Sommersemester 2015 (Stichtag: 30.09.2015)</t>
  </si>
  <si>
    <t>Sommersemester 2025 (Stichtag: 20.06.2025)</t>
  </si>
  <si>
    <t>Studienjahr 2001/02</t>
  </si>
  <si>
    <t>Wintersemester 2015 (Stichtag: 28.02.2016)</t>
  </si>
  <si>
    <t>Studienjahr 2018/19</t>
  </si>
  <si>
    <t>Customer</t>
  </si>
  <si>
    <t>-All Customer</t>
  </si>
  <si>
    <t>Default Alternate Row Member Format --&gt;</t>
  </si>
  <si>
    <t>2009/10</t>
  </si>
  <si>
    <t>2023/24</t>
  </si>
  <si>
    <t>ALLG Semester.Studienjahr (Langbezeichnung)</t>
  </si>
  <si>
    <t>Bundesland Universität</t>
  </si>
  <si>
    <t>Sommersemester 2009 (Stichtag: 30.09.2009)</t>
  </si>
  <si>
    <t>Studienjahr 2013/14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</si>
  <si>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</si>
  <si>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</si>
  <si>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</si>
  <si>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</si>
  <si>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</si>
  <si>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</si>
  <si>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2005/06</t>
  </si>
  <si>
    <t>2017/18</t>
  </si>
  <si>
    <t>Sommersemester 2023 (Stichtag: 30.09.2023)</t>
  </si>
  <si>
    <t>Studierende Universitäten</t>
  </si>
  <si>
    <t>Sommersemester 2002 (Stichtag: 30.09.2002)</t>
  </si>
  <si>
    <t>Sommersemester 2017 (Stichtag: 30.09.2017)</t>
  </si>
  <si>
    <t>Wintersemester 2017 (Stichtag: 28.02.2018)</t>
  </si>
  <si>
    <t>Wintersemester 2019 (Stichtag: 28.02.2020)</t>
  </si>
  <si>
    <t>Wintersemester 2002 (Stichtag: 28.02.2003)</t>
  </si>
  <si>
    <t>Studienjahr 2007/08</t>
  </si>
  <si>
    <t>ord. Neuzugelassene (PN)</t>
  </si>
  <si>
    <t>&lt;-- writeable Slicer Member Format</t>
  </si>
  <si>
    <t>Slice Format 1</t>
  </si>
  <si>
    <t>&lt;-- Gesamtzeile</t>
  </si>
  <si>
    <t>3) Formatierung der Gesamtspalte und -zeile (siehe E25:E26)</t>
  </si>
  <si>
    <t>2000/01</t>
  </si>
  <si>
    <t>2012/13</t>
  </si>
  <si>
    <t>Neuzugelassene an Universitäten - Zeitreihe Studienjahr</t>
  </si>
  <si>
    <t>Sommersemester 2010 (Stichtag: 30.09.2010)</t>
  </si>
  <si>
    <t>Studienjahr 2002/03</t>
  </si>
  <si>
    <t>Studienjahr 2020/21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</si>
  <si>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</si>
  <si>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</si>
  <si>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</si>
  <si>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</si>
  <si>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</si>
  <si>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2024/25</t>
  </si>
  <si>
    <t>Wintersemester 2004 (Stichtag: 28.02.2005)</t>
  </si>
  <si>
    <t>Sommersemester 2004 (Stichtag: 30.09.2004)</t>
  </si>
  <si>
    <t>Sommersemester 2019 (Stichtag: 30.09.2019)</t>
  </si>
  <si>
    <t>Studienjahr 2014/15</t>
  </si>
  <si>
    <t>Display Formats For:</t>
  </si>
  <si>
    <t>Enabled?</t>
  </si>
  <si>
    <t>&lt;-- Gesamtspalte</t>
  </si>
  <si>
    <t>2006/07</t>
  </si>
  <si>
    <t>2018/19</t>
  </si>
  <si>
    <t>Datenprüfung und -aufbereitung: bmfwf, Abt. I/10</t>
  </si>
  <si>
    <t>Bundesland</t>
  </si>
  <si>
    <t>Sommersemester 2012 (Stichtag: 30.09.2012)</t>
  </si>
  <si>
    <t>Studienjahr 2008/09</t>
  </si>
  <si>
    <t>ao. Neuzugelassene (PN)</t>
  </si>
  <si>
    <t>Wintersemester 2012 (Stichtag: 28.02.2013)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</si>
  <si>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</si>
  <si>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</si>
  <si>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</si>
  <si>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</si>
  <si>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</si>
  <si>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</si>
  <si>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</si>
  <si>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2001/02</t>
  </si>
  <si>
    <t>2013/14</t>
  </si>
  <si>
    <t>Sommersemester 2006 (Stichtag: 30.09.2006)</t>
  </si>
  <si>
    <t>Wintersemester 2020 (Stichtag: 28.02.2021)</t>
  </si>
  <si>
    <t>Wintersemester 2006 (Stichtag: 28.02.2007)</t>
  </si>
  <si>
    <t>Studienjahr 2003/04</t>
  </si>
  <si>
    <t>Studienjahr 2019/20</t>
  </si>
  <si>
    <t>Studienjahr 2021/22</t>
  </si>
  <si>
    <t>Sommersemester 2020 (Stichtag: 30.09.2020)</t>
  </si>
  <si>
    <t>Marital Status</t>
  </si>
  <si>
    <t>Default Writeable Member Format --&gt;</t>
  </si>
  <si>
    <t>Slice Format 2</t>
  </si>
  <si>
    <t>2007/08</t>
  </si>
  <si>
    <t>Quelle: Datenmeldungen der Universitäten auf Basis UHSBV zum jeweiligen Stichtag</t>
  </si>
  <si>
    <t>Sommersemester 2014 (Stichtag: 30.09.2014)</t>
  </si>
  <si>
    <t>Wintersemester 2014 (Stichtag: 28.02.2015)</t>
  </si>
  <si>
    <t>Studienjahr 2015/16</t>
  </si>
  <si>
    <t>Writeable Member</t>
  </si>
  <si>
    <t>2020/21</t>
  </si>
  <si>
    <t>Hinweis: Aufgrund der semesterweisen Einspielung von vorläufigen und endgültigen Daten kann im aktuellsten Studienjahr nur der Datenstand des (vorläufigen) Wintersemesters bzw. des endgültigen Wintersemesters und des vorläufigen Sommersemesters verfügbar sein.</t>
  </si>
  <si>
    <t>Geschlecht</t>
  </si>
  <si>
    <t>Sommersemester 2008 (Stichtag: 30.09.2008)</t>
  </si>
  <si>
    <t>Wintersemester 2022 (Stichtag: 28.02.2023)</t>
  </si>
  <si>
    <t>Studienjahr 2010/11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</si>
  <si>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</si>
  <si>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</si>
  <si>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</si>
  <si>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</si>
  <si>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</si>
  <si>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Sommersemester 2022 (Stichtag: 30.09.2022)</t>
  </si>
  <si>
    <t>Wintersemester 2008 (Stichtag: 28.02.2009)</t>
  </si>
  <si>
    <t>2002/03</t>
  </si>
  <si>
    <t>2014/15</t>
  </si>
</sst>
</file>

<file path=xl/styles.xml><?xml version="1.0" encoding="utf-8"?>
<styleSheet xmlns="http://schemas.openxmlformats.org/spreadsheetml/2006/main">
  <numFmts count="2">
    <numFmt numFmtId="164" formatCode=";;;"/>
    <numFmt numFmtId="165" formatCode="0.0%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0"/>
        <bgColor indexed="64"/>
      </patternFill>
    </fill>
  </fills>
  <borders count="7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0" borderId="0" xfId="0" applyFont="1" applyFill="1" applyBorder="1"/>
    <xf numFmtId="0" fontId="3" fillId="0" borderId="1" xfId="0" quotePrefix="1" applyFont="1" applyFill="1" applyBorder="1" applyAlignment="1" applyProtection="1">
      <alignment horizontal="right"/>
    </xf>
    <xf numFmtId="0" fontId="0" fillId="0" borderId="0" xfId="0" applyFill="1" applyAlignment="1"/>
    <xf numFmtId="3" fontId="4" fillId="0" borderId="0" xfId="0" applyNumberFormat="1" applyFont="1" applyFill="1" applyBorder="1"/>
    <xf numFmtId="0" fontId="3" fillId="0" borderId="1" xfId="0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/>
    <xf numFmtId="0" fontId="5" fillId="0" borderId="0" xfId="0" quotePrefix="1" applyFont="1" applyFill="1" applyAlignment="1">
      <alignment horizontal="left" vertical="top"/>
    </xf>
    <xf numFmtId="0" fontId="6" fillId="0" borderId="0" xfId="0" applyFont="1"/>
    <xf numFmtId="0" fontId="5" fillId="0" borderId="0" xfId="0" quotePrefix="1" applyFont="1" applyFill="1" applyAlignment="1">
      <alignment horizontal="left" vertical="top" wrapText="1"/>
    </xf>
    <xf numFmtId="0" fontId="7" fillId="2" borderId="2" xfId="0" quotePrefix="1" applyFont="1" applyFill="1" applyBorder="1" applyAlignment="1" applyProtection="1"/>
    <xf numFmtId="0" fontId="8" fillId="0" borderId="0" xfId="0" applyFont="1"/>
    <xf numFmtId="0" fontId="9" fillId="3" borderId="0" xfId="1" applyFont="1" applyFill="1" applyBorder="1" applyAlignment="1">
      <alignment horizont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top"/>
    </xf>
    <xf numFmtId="0" fontId="5" fillId="0" borderId="0" xfId="0" applyFont="1" applyFill="1" applyAlignment="1"/>
    <xf numFmtId="0" fontId="3" fillId="4" borderId="1" xfId="0" applyFont="1" applyFill="1" applyBorder="1" applyAlignment="1" applyProtection="1">
      <alignment horizontal="right"/>
    </xf>
    <xf numFmtId="0" fontId="5" fillId="0" borderId="0" xfId="0" applyFont="1" applyFill="1" applyAlignment="1">
      <alignment vertical="top"/>
    </xf>
    <xf numFmtId="3" fontId="3" fillId="4" borderId="1" xfId="0" applyNumberFormat="1" applyFont="1" applyFill="1" applyBorder="1" applyAlignment="1" applyProtection="1">
      <alignment horizontal="right"/>
    </xf>
    <xf numFmtId="0" fontId="12" fillId="0" borderId="0" xfId="0" applyFont="1"/>
    <xf numFmtId="0" fontId="13" fillId="0" borderId="0" xfId="1" applyFont="1"/>
    <xf numFmtId="0" fontId="14" fillId="5" borderId="0" xfId="0" applyFont="1" applyFill="1" applyAlignment="1"/>
    <xf numFmtId="0" fontId="15" fillId="0" borderId="0" xfId="0" applyNumberFormat="1" applyFont="1" applyAlignment="1"/>
    <xf numFmtId="0" fontId="15" fillId="0" borderId="0" xfId="0" applyFont="1" applyAlignment="1">
      <alignment horizontal="center"/>
    </xf>
    <xf numFmtId="0" fontId="3" fillId="0" borderId="1" xfId="0" applyFont="1" applyFill="1" applyBorder="1" applyAlignment="1" applyProtection="1">
      <alignment vertical="center"/>
    </xf>
    <xf numFmtId="0" fontId="16" fillId="0" borderId="0" xfId="0" applyFont="1"/>
    <xf numFmtId="0" fontId="13" fillId="5" borderId="0" xfId="1" applyFont="1" applyFill="1"/>
    <xf numFmtId="0" fontId="15" fillId="0" borderId="0" xfId="0" applyFont="1"/>
    <xf numFmtId="0" fontId="3" fillId="0" borderId="1" xfId="0" quotePrefix="1" applyFont="1" applyBorder="1" applyAlignment="1" applyProtection="1"/>
    <xf numFmtId="0" fontId="3" fillId="0" borderId="3" xfId="0" applyFont="1" applyBorder="1" applyAlignment="1" applyProtection="1">
      <alignment horizontal="right"/>
    </xf>
    <xf numFmtId="0" fontId="17" fillId="0" borderId="0" xfId="0" applyFont="1" applyFill="1" applyAlignment="1"/>
    <xf numFmtId="0" fontId="8" fillId="0" borderId="0" xfId="0" applyFont="1" applyAlignment="1">
      <alignment horizontal="right"/>
    </xf>
    <xf numFmtId="0" fontId="16" fillId="0" borderId="4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3" fontId="6" fillId="0" borderId="0" xfId="0" applyNumberFormat="1" applyFont="1" applyFill="1" applyAlignment="1"/>
    <xf numFmtId="3" fontId="15" fillId="0" borderId="0" xfId="0" applyNumberFormat="1" applyFont="1" applyAlignment="1"/>
    <xf numFmtId="0" fontId="16" fillId="0" borderId="4" xfId="0" quotePrefix="1" applyFont="1" applyFill="1" applyBorder="1" applyAlignment="1">
      <alignment horizontal="right"/>
    </xf>
    <xf numFmtId="0" fontId="3" fillId="6" borderId="5" xfId="0" applyFont="1" applyFill="1" applyBorder="1" applyAlignment="1" applyProtection="1">
      <alignment horizontal="right"/>
    </xf>
    <xf numFmtId="0" fontId="18" fillId="0" borderId="0" xfId="0" applyFont="1"/>
    <xf numFmtId="0" fontId="3" fillId="6" borderId="1" xfId="0" applyFont="1" applyFill="1" applyBorder="1" applyAlignment="1" applyProtection="1">
      <alignment horizontal="right"/>
    </xf>
    <xf numFmtId="3" fontId="15" fillId="7" borderId="0" xfId="0" applyNumberFormat="1" applyFont="1" applyFill="1" applyAlignment="1"/>
    <xf numFmtId="0" fontId="15" fillId="0" borderId="0" xfId="0" quotePrefix="1" applyFont="1" applyFill="1"/>
    <xf numFmtId="0" fontId="19" fillId="0" borderId="0" xfId="0" applyFont="1"/>
    <xf numFmtId="0" fontId="15" fillId="0" borderId="0" xfId="0" applyNumberFormat="1" applyFont="1"/>
    <xf numFmtId="0" fontId="3" fillId="0" borderId="1" xfId="0" quotePrefix="1" applyFont="1" applyFill="1" applyBorder="1" applyAlignment="1" applyProtection="1">
      <alignment vertical="center"/>
    </xf>
    <xf numFmtId="0" fontId="0" fillId="0" borderId="0" xfId="0" applyFill="1" applyBorder="1" applyAlignment="1"/>
    <xf numFmtId="0" fontId="0" fillId="0" borderId="0" xfId="0" applyFont="1"/>
    <xf numFmtId="0" fontId="5" fillId="0" borderId="0" xfId="0" quotePrefix="1" applyFont="1" applyFill="1" applyAlignment="1"/>
    <xf numFmtId="0" fontId="3" fillId="0" borderId="3" xfId="0" applyFont="1" applyBorder="1" applyAlignment="1" applyProtection="1">
      <alignment horizontal="center"/>
    </xf>
    <xf numFmtId="0" fontId="13" fillId="8" borderId="0" xfId="1" applyFont="1" applyFill="1"/>
    <xf numFmtId="3" fontId="16" fillId="0" borderId="4" xfId="0" applyNumberFormat="1" applyFont="1" applyFill="1" applyBorder="1" applyAlignment="1"/>
    <xf numFmtId="164" fontId="15" fillId="0" borderId="0" xfId="0" applyNumberFormat="1" applyFont="1"/>
    <xf numFmtId="0" fontId="5" fillId="0" borderId="0" xfId="0" quotePrefix="1" applyFont="1" applyFill="1" applyAlignment="1">
      <alignment vertical="top"/>
    </xf>
    <xf numFmtId="0" fontId="15" fillId="0" borderId="0" xfId="0" applyNumberFormat="1" applyFont="1" applyFill="1" applyBorder="1" applyAlignment="1"/>
    <xf numFmtId="165" fontId="3" fillId="9" borderId="3" xfId="0" applyNumberFormat="1" applyFont="1" applyFill="1" applyBorder="1" applyAlignment="1" applyProtection="1">
      <alignment horizontal="center"/>
    </xf>
    <xf numFmtId="3" fontId="15" fillId="10" borderId="0" xfId="0" applyNumberFormat="1" applyFont="1" applyFill="1" applyAlignment="1"/>
    <xf numFmtId="0" fontId="0" fillId="0" borderId="0" xfId="0" applyFont="1" applyFill="1" applyAlignment="1"/>
    <xf numFmtId="0" fontId="15" fillId="0" borderId="0" xfId="0" quotePrefix="1" applyFont="1"/>
    <xf numFmtId="0" fontId="9" fillId="3" borderId="6" xfId="1" applyFont="1" applyFill="1" applyBorder="1" applyAlignment="1">
      <alignment horizontal="center"/>
    </xf>
    <xf numFmtId="0" fontId="15" fillId="0" borderId="0" xfId="0" applyFont="1" applyFill="1" applyBorder="1" applyAlignment="1">
      <alignment vertical="center"/>
    </xf>
    <xf numFmtId="3" fontId="15" fillId="8" borderId="0" xfId="0" applyNumberFormat="1" applyFont="1" applyFill="1" applyAlignment="1"/>
    <xf numFmtId="0" fontId="15" fillId="8" borderId="0" xfId="0" applyNumberFormat="1" applyFont="1" applyFill="1" applyAlignment="1"/>
    <xf numFmtId="2" fontId="15" fillId="0" borderId="0" xfId="0" applyNumberFormat="1" applyFont="1"/>
    <xf numFmtId="0" fontId="6" fillId="0" borderId="0" xfId="0" applyFont="1" applyFill="1" applyBorder="1" applyAlignment="1">
      <alignment vertical="center"/>
    </xf>
    <xf numFmtId="0" fontId="16" fillId="0" borderId="4" xfId="0" quotePrefix="1" applyFont="1" applyFill="1" applyBorder="1" applyAlignment="1"/>
    <xf numFmtId="165" fontId="3" fillId="9" borderId="3" xfId="0" applyNumberFormat="1" applyFont="1" applyFill="1" applyBorder="1" applyAlignment="1" applyProtection="1">
      <alignment horizontal="right"/>
    </xf>
    <xf numFmtId="0" fontId="15" fillId="8" borderId="0" xfId="0" applyFont="1" applyFill="1"/>
    <xf numFmtId="0" fontId="17" fillId="0" borderId="0" xfId="0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Tabelle1!$B$9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Tabelle1!$B$11:$B$25</c:f>
              <c:numCache/>
            </c:numRef>
          </c:val>
          <c:smooth val="0"/>
        </c:ser>
        <c:ser>
          <c:idx val="1"/>
          <c:order val="1"/>
          <c:tx>
            <c:strRef>
              <c:f>Tabelle1!$C$9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Tabelle1!$C$11:$C$25</c:f>
              <c:numCache/>
            </c:numRef>
          </c:val>
          <c:smooth val="0"/>
        </c:ser>
        <c:ser>
          <c:idx val="2"/>
          <c:order val="2"/>
          <c:tx>
            <c:strRef>
              <c:f>Tabelle1!$D$9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Tabelle1!$A$11:$A$25</c:f>
              <c:strCache/>
            </c:strRef>
          </c:cat>
          <c:val>
            <c:numRef>
              <c:f>Tabelle1!$D$11:$D$25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Tab!$I$15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13</xdr:col>
      <xdr:colOff>0</xdr:colOff>
      <xdr:row>15</xdr:row>
      <xdr:rowOff>0</xdr:rowOff>
    </xdr:from>
    <xdr:to>
      <xdr:col>25</xdr:col>
      <xdr:colOff>0</xdr:colOff>
      <xdr:row>42</xdr:row>
      <xdr:rowOff>6350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791472</xdr:colOff>
      <xdr:row>8</xdr:row>
      <xdr:rowOff>0</xdr:rowOff>
    </xdr:to>
    <xdr:pic>
      <xdr:nvPicPr>
        <xdr:cNvPr id="20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540510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791472</xdr:colOff>
      <xdr:row>9</xdr:row>
      <xdr:rowOff>0</xdr:rowOff>
    </xdr:to>
    <xdr:pic>
      <xdr:nvPicPr>
        <xdr:cNvPr id="21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30375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189865</xdr:rowOff>
    </xdr:from>
    <xdr:to>
      <xdr:col>2</xdr:col>
      <xdr:colOff>791472</xdr:colOff>
      <xdr:row>9</xdr:row>
      <xdr:rowOff>189865</xdr:rowOff>
    </xdr:to>
    <xdr:pic>
      <xdr:nvPicPr>
        <xdr:cNvPr id="22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920240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189865</xdr:rowOff>
    </xdr:from>
    <xdr:to>
      <xdr:col>2</xdr:col>
      <xdr:colOff>791472</xdr:colOff>
      <xdr:row>11</xdr:row>
      <xdr:rowOff>0</xdr:rowOff>
    </xdr:to>
    <xdr:pic>
      <xdr:nvPicPr>
        <xdr:cNvPr id="23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110105"/>
          <a:ext cx="3697716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8"/>
  <sheetViews>
    <sheetView tabSelected="1" workbookViewId="0"/>
  </sheetViews>
  <sheetFormatPr defaultColWidth="11.42578125" defaultRowHeight="14.95"/>
  <cols>
    <col min="1" max="1" width="40.7109375" style="46" customWidth="1"/>
    <col min="2" max="2" width="39.85546875" customWidth="1"/>
    <col min="3" max="31" width="11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>
      <c s="13" t="s">
        <v>99</v>
      </c>
      <c s="13"/>
      <c s="13"/>
      <c s="13"/>
      <c s="13"/>
      <c s="3"/>
      <c s="3"/>
    </row>
    <row s="67" customFormat="1">
      <c s="14" t="s">
        <v>113</v>
      </c>
      <c s="14"/>
      <c s="14"/>
      <c s="14"/>
      <c s="14"/>
      <c s="30"/>
      <c s="30"/>
    </row>
    <row ht="15" customHeight="1" s="67" customFormat="1">
      <c s="7" t="s">
        <v>26</v>
      </c>
      <c s="7"/>
      <c s="7"/>
      <c s="7"/>
      <c s="7"/>
      <c s="7"/>
      <c s="7"/>
    </row>
    <row ht="30" customHeight="1" s="67" customFormat="1">
      <c s="9" t="s">
        <v>164</v>
      </c>
      <c s="9"/>
      <c s="9"/>
      <c s="9"/>
      <c s="9"/>
      <c s="9"/>
      <c s="9"/>
    </row>
    <row>
      <c s="47" t="s">
        <v>158</v>
      </c>
      <c s="15"/>
      <c s="15"/>
      <c s="15"/>
      <c s="15"/>
      <c s="15"/>
      <c s="3"/>
    </row>
    <row>
      <c s="52" t="s">
        <v>132</v>
      </c>
      <c s="17"/>
      <c s="17"/>
      <c s="17"/>
      <c s="17"/>
      <c s="3"/>
      <c s="3"/>
    </row>
    <row ht="16.5" customHeight="1">
      <c s="56"/>
      <c s="3"/>
      <c s="3"/>
      <c s="3"/>
      <c s="3"/>
      <c s="3"/>
      <c s="3"/>
    </row>
    <row>
      <c s="10" t="s">
        <v>0</v>
      </c>
      <c s="28" t="s">
        <v>36</v>
      </c>
      <c s="3" t="s">
        <v>45</v>
      </c>
      <c s="3"/>
      <c s="3"/>
      <c s="3"/>
      <c s="3"/>
    </row>
    <row>
      <c s="10" t="s">
        <v>15</v>
      </c>
      <c s="28" t="s">
        <v>36</v>
      </c>
      <c s="3" t="s">
        <v>45</v>
      </c>
      <c s="3"/>
      <c s="3"/>
      <c s="3"/>
      <c s="3"/>
    </row>
    <row>
      <c s="10" t="s">
        <v>133</v>
      </c>
      <c s="28" t="s">
        <v>36</v>
      </c>
      <c s="3" t="s">
        <v>45</v>
      </c>
      <c s="3"/>
      <c s="3"/>
      <c s="3"/>
      <c s="3"/>
    </row>
    <row>
      <c s="10" t="s">
        <v>87</v>
      </c>
      <c s="28" t="s">
        <v>36</v>
      </c>
      <c s="45" t="s">
        <v>45</v>
      </c>
      <c s="3"/>
      <c s="3"/>
      <c s="3"/>
      <c s="3"/>
    </row>
    <row>
      <c/>
      <c r="C12" s="3"/>
      <c s="3"/>
      <c s="3"/>
      <c s="3"/>
      <c s="3"/>
    </row>
    <row>
      <c/>
      <c r="C13" s="3"/>
      <c s="3"/>
      <c s="3"/>
      <c s="3"/>
      <c s="3"/>
    </row>
    <row>
      <c/>
      <c s="3"/>
      <c s="2" t="s">
        <v>106</v>
      </c>
      <c s="2"/>
      <c s="2"/>
      <c s="2" t="s">
        <v>136</v>
      </c>
      <c s="2"/>
      <c s="2"/>
      <c s="2" t="s">
        <v>37</v>
      </c>
      <c s="2"/>
      <c s="2"/>
    </row>
    <row ht="15" customHeight="1">
      <c s="10" t="s">
        <v>86</v>
      </c>
      <c s="10" t="s">
        <v>1</v>
      </c>
      <c s="5" t="s">
        <v>2</v>
      </c>
      <c s="5" t="s">
        <v>58</v>
      </c>
      <c s="16" t="s">
        <v>36</v>
      </c>
      <c s="5" t="s">
        <v>2</v>
      </c>
      <c s="5" t="s">
        <v>58</v>
      </c>
      <c s="16" t="s">
        <v>36</v>
      </c>
      <c s="5" t="s">
        <v>2</v>
      </c>
      <c s="5" t="s">
        <v>58</v>
      </c>
      <c s="16" t="s">
        <v>36</v>
      </c>
    </row>
    <row ht="15" customHeight="1">
      <c s="44" t="s">
        <v>70</v>
      </c>
      <c s="24" t="s">
        <v>36</v>
      </c>
      <c s="6">
        <v>33365</v>
      </c>
      <c s="6">
        <v>26239</v>
      </c>
      <c s="18">
        <v>59604</v>
      </c>
      <c s="6">
        <v>5963</v>
      </c>
      <c s="6">
        <v>5047</v>
      </c>
      <c s="18">
        <v>11010</v>
      </c>
      <c s="6">
        <v>39328</v>
      </c>
      <c s="6">
        <v>31286</v>
      </c>
      <c s="18">
        <v>70614</v>
      </c>
    </row>
    <row>
      <c s="44"/>
      <c s="24" t="s">
        <v>77</v>
      </c>
      <c s="6">
        <v>5806</v>
      </c>
      <c s="6">
        <v>5078</v>
      </c>
      <c s="18">
        <v>10884</v>
      </c>
      <c s="6">
        <v>2011</v>
      </c>
      <c s="6">
        <v>1756</v>
      </c>
      <c s="18">
        <v>3767</v>
      </c>
      <c s="6">
        <v>7817</v>
      </c>
      <c s="6">
        <v>6834</v>
      </c>
      <c s="18">
        <v>14651</v>
      </c>
    </row>
    <row>
      <c s="44"/>
      <c s="24" t="s">
        <v>25</v>
      </c>
      <c s="6">
        <v>27559</v>
      </c>
      <c s="6">
        <v>21161</v>
      </c>
      <c s="18">
        <v>48720</v>
      </c>
      <c s="6">
        <v>3952</v>
      </c>
      <c s="6">
        <v>3291</v>
      </c>
      <c s="18">
        <v>7243</v>
      </c>
      <c s="6">
        <v>31511</v>
      </c>
      <c s="6">
        <v>24452</v>
      </c>
      <c s="18">
        <v>55963</v>
      </c>
    </row>
    <row>
      <c s="44" t="s">
        <v>39</v>
      </c>
      <c s="24" t="s">
        <v>36</v>
      </c>
      <c s="6">
        <v>31901</v>
      </c>
      <c s="6">
        <v>24805</v>
      </c>
      <c s="18">
        <v>56706</v>
      </c>
      <c s="6">
        <v>5771</v>
      </c>
      <c s="6">
        <v>4575</v>
      </c>
      <c s="18">
        <v>10346</v>
      </c>
      <c s="6">
        <v>37672</v>
      </c>
      <c s="6">
        <v>29380</v>
      </c>
      <c s="18">
        <v>67052</v>
      </c>
    </row>
    <row>
      <c s="44"/>
      <c s="24" t="s">
        <v>16</v>
      </c>
      <c s="6">
        <v>5487</v>
      </c>
      <c s="6">
        <v>4630</v>
      </c>
      <c s="18">
        <v>10117</v>
      </c>
      <c s="6">
        <v>1891</v>
      </c>
      <c s="6">
        <v>1453</v>
      </c>
      <c s="18">
        <v>3344</v>
      </c>
      <c s="6">
        <v>7378</v>
      </c>
      <c s="6">
        <v>6083</v>
      </c>
      <c s="18">
        <v>13461</v>
      </c>
    </row>
    <row>
      <c s="44"/>
      <c s="24" t="s">
        <v>95</v>
      </c>
      <c s="6">
        <v>26414</v>
      </c>
      <c s="6">
        <v>20175</v>
      </c>
      <c s="18">
        <v>46589</v>
      </c>
      <c s="6">
        <v>3880</v>
      </c>
      <c s="6">
        <v>3122</v>
      </c>
      <c s="18">
        <v>7002</v>
      </c>
      <c s="6">
        <v>30294</v>
      </c>
      <c s="6">
        <v>23297</v>
      </c>
      <c s="18">
        <v>53591</v>
      </c>
    </row>
    <row>
      <c s="44" t="s">
        <v>7</v>
      </c>
      <c s="24" t="s">
        <v>36</v>
      </c>
      <c s="6">
        <v>30115</v>
      </c>
      <c s="6">
        <v>23336</v>
      </c>
      <c s="18">
        <v>53451</v>
      </c>
      <c s="6">
        <v>5280</v>
      </c>
      <c s="6">
        <v>4128</v>
      </c>
      <c s="18">
        <v>9408</v>
      </c>
      <c s="6">
        <v>35395</v>
      </c>
      <c s="6">
        <v>27464</v>
      </c>
      <c s="18">
        <v>62859</v>
      </c>
    </row>
    <row>
      <c s="44"/>
      <c s="24" t="s">
        <v>98</v>
      </c>
      <c s="6">
        <v>5027</v>
      </c>
      <c s="6">
        <v>4129</v>
      </c>
      <c s="18">
        <v>9156</v>
      </c>
      <c s="6">
        <v>1935</v>
      </c>
      <c s="6">
        <v>1491</v>
      </c>
      <c s="18">
        <v>3426</v>
      </c>
      <c s="6">
        <v>6962</v>
      </c>
      <c s="6">
        <v>5620</v>
      </c>
      <c s="18">
        <v>12582</v>
      </c>
    </row>
    <row>
      <c s="44"/>
      <c s="24" t="s">
        <v>167</v>
      </c>
      <c s="6">
        <v>25088</v>
      </c>
      <c s="6">
        <v>19207</v>
      </c>
      <c s="18">
        <v>44295</v>
      </c>
      <c s="6">
        <v>3345</v>
      </c>
      <c s="6">
        <v>2637</v>
      </c>
      <c s="18">
        <v>5982</v>
      </c>
      <c s="6">
        <v>28433</v>
      </c>
      <c s="6">
        <v>21844</v>
      </c>
      <c s="18">
        <v>50277</v>
      </c>
    </row>
    <row>
      <c s="44" t="s">
        <v>152</v>
      </c>
      <c s="24" t="s">
        <v>36</v>
      </c>
      <c s="6">
        <v>30399</v>
      </c>
      <c s="6">
        <v>22958</v>
      </c>
      <c s="18">
        <v>53357</v>
      </c>
      <c s="6">
        <v>5035</v>
      </c>
      <c s="6">
        <v>3855</v>
      </c>
      <c s="18">
        <v>8890</v>
      </c>
      <c s="6">
        <v>35434</v>
      </c>
      <c s="6">
        <v>26813</v>
      </c>
      <c s="18">
        <v>62247</v>
      </c>
    </row>
    <row>
      <c s="44"/>
      <c s="24" t="s">
        <v>174</v>
      </c>
      <c s="6">
        <v>4651</v>
      </c>
      <c s="6">
        <v>3817</v>
      </c>
      <c s="18">
        <v>8468</v>
      </c>
      <c s="6">
        <v>1822</v>
      </c>
      <c s="6">
        <v>1283</v>
      </c>
      <c s="18">
        <v>3105</v>
      </c>
      <c s="6">
        <v>6473</v>
      </c>
      <c s="6">
        <v>5100</v>
      </c>
      <c s="18">
        <v>11573</v>
      </c>
    </row>
    <row>
      <c s="44"/>
      <c s="24" t="s">
        <v>67</v>
      </c>
      <c s="6">
        <v>25748</v>
      </c>
      <c s="6">
        <v>19141</v>
      </c>
      <c s="18">
        <v>44889</v>
      </c>
      <c s="6">
        <v>3213</v>
      </c>
      <c s="6">
        <v>2572</v>
      </c>
      <c s="18">
        <v>5785</v>
      </c>
      <c s="6">
        <v>28961</v>
      </c>
      <c s="6">
        <v>21713</v>
      </c>
      <c s="18">
        <v>50674</v>
      </c>
    </row>
    <row>
      <c s="44" t="s">
        <v>116</v>
      </c>
      <c s="24" t="s">
        <v>36</v>
      </c>
      <c s="6">
        <v>32324</v>
      </c>
      <c s="6">
        <v>24168</v>
      </c>
      <c s="18">
        <v>56492</v>
      </c>
      <c s="6">
        <v>4674</v>
      </c>
      <c s="6">
        <v>3637</v>
      </c>
      <c s="18">
        <v>8311</v>
      </c>
      <c s="6">
        <v>36998</v>
      </c>
      <c s="6">
        <v>27805</v>
      </c>
      <c s="18">
        <v>64803</v>
      </c>
    </row>
    <row>
      <c s="44"/>
      <c s="24" t="s">
        <v>72</v>
      </c>
      <c s="6">
        <v>4502</v>
      </c>
      <c s="6">
        <v>3686</v>
      </c>
      <c s="18">
        <v>8188</v>
      </c>
      <c s="6">
        <v>1612</v>
      </c>
      <c s="6">
        <v>1222</v>
      </c>
      <c s="18">
        <v>2834</v>
      </c>
      <c s="6">
        <v>6114</v>
      </c>
      <c s="6">
        <v>4908</v>
      </c>
      <c s="18">
        <v>11022</v>
      </c>
    </row>
    <row>
      <c s="44"/>
      <c s="24" t="s">
        <v>148</v>
      </c>
      <c s="6">
        <v>27822</v>
      </c>
      <c s="6">
        <v>20482</v>
      </c>
      <c s="18">
        <v>48304</v>
      </c>
      <c s="6">
        <v>3062</v>
      </c>
      <c s="6">
        <v>2415</v>
      </c>
      <c s="18">
        <v>5477</v>
      </c>
      <c s="6">
        <v>30884</v>
      </c>
      <c s="6">
        <v>22897</v>
      </c>
      <c s="18">
        <v>53781</v>
      </c>
    </row>
    <row>
      <c s="44" t="s">
        <v>151</v>
      </c>
      <c s="24" t="s">
        <v>36</v>
      </c>
      <c s="6">
        <v>30224</v>
      </c>
      <c s="6">
        <v>22939</v>
      </c>
      <c s="18">
        <v>53163</v>
      </c>
      <c s="6">
        <v>4858</v>
      </c>
      <c s="6">
        <v>3951</v>
      </c>
      <c s="18">
        <v>8809</v>
      </c>
      <c s="6">
        <v>35082</v>
      </c>
      <c s="6">
        <v>26890</v>
      </c>
      <c s="18">
        <v>61972</v>
      </c>
    </row>
    <row>
      <c s="44"/>
      <c s="24" t="s">
        <v>153</v>
      </c>
      <c s="6">
        <v>4508</v>
      </c>
      <c s="6">
        <v>3675</v>
      </c>
      <c s="18">
        <v>8183</v>
      </c>
      <c s="6">
        <v>1425</v>
      </c>
      <c s="6">
        <v>1115</v>
      </c>
      <c s="18">
        <v>2540</v>
      </c>
      <c s="6">
        <v>5933</v>
      </c>
      <c s="6">
        <v>4790</v>
      </c>
      <c s="18">
        <v>10723</v>
      </c>
    </row>
    <row>
      <c s="44"/>
      <c s="24" t="s">
        <v>103</v>
      </c>
      <c s="6">
        <v>25716</v>
      </c>
      <c s="6">
        <v>19264</v>
      </c>
      <c s="18">
        <v>44980</v>
      </c>
      <c s="6">
        <v>3433</v>
      </c>
      <c s="6">
        <v>2836</v>
      </c>
      <c s="18">
        <v>6269</v>
      </c>
      <c s="6">
        <v>29149</v>
      </c>
      <c s="6">
        <v>22100</v>
      </c>
      <c s="18">
        <v>51249</v>
      </c>
    </row>
    <row>
      <c s="44" t="s">
        <v>80</v>
      </c>
      <c s="24" t="s">
        <v>36</v>
      </c>
      <c s="6">
        <v>31313</v>
      </c>
      <c s="6">
        <v>23758</v>
      </c>
      <c s="18">
        <v>55071</v>
      </c>
      <c s="6">
        <v>5560</v>
      </c>
      <c s="6">
        <v>4739</v>
      </c>
      <c s="18">
        <v>10299</v>
      </c>
      <c s="6">
        <v>36873</v>
      </c>
      <c s="6">
        <v>28497</v>
      </c>
      <c s="18">
        <v>65370</v>
      </c>
    </row>
    <row>
      <c s="44"/>
      <c s="24" t="s">
        <v>125</v>
      </c>
      <c s="6">
        <v>5251</v>
      </c>
      <c s="6">
        <v>4196</v>
      </c>
      <c s="18">
        <v>9447</v>
      </c>
      <c s="6">
        <v>1745</v>
      </c>
      <c s="6">
        <v>1451</v>
      </c>
      <c s="18">
        <v>3196</v>
      </c>
      <c s="6">
        <v>6996</v>
      </c>
      <c s="6">
        <v>5647</v>
      </c>
      <c s="18">
        <v>12643</v>
      </c>
    </row>
    <row>
      <c s="44"/>
      <c s="24" t="s">
        <v>28</v>
      </c>
      <c s="6">
        <v>26062</v>
      </c>
      <c s="6">
        <v>19562</v>
      </c>
      <c s="18">
        <v>45624</v>
      </c>
      <c s="6">
        <v>3815</v>
      </c>
      <c s="6">
        <v>3288</v>
      </c>
      <c s="18">
        <v>7103</v>
      </c>
      <c s="6">
        <v>29877</v>
      </c>
      <c s="6">
        <v>22850</v>
      </c>
      <c s="18">
        <v>52727</v>
      </c>
    </row>
    <row>
      <c s="44" t="s">
        <v>48</v>
      </c>
      <c s="24" t="s">
        <v>36</v>
      </c>
      <c s="6">
        <v>31928</v>
      </c>
      <c s="6">
        <v>24717</v>
      </c>
      <c s="18">
        <v>56645</v>
      </c>
      <c s="6">
        <v>5679</v>
      </c>
      <c s="6">
        <v>5456</v>
      </c>
      <c s="18">
        <v>11135</v>
      </c>
      <c s="6">
        <v>37607</v>
      </c>
      <c s="6">
        <v>30173</v>
      </c>
      <c s="18">
        <v>67780</v>
      </c>
    </row>
    <row>
      <c s="44"/>
      <c s="24" t="s">
        <v>27</v>
      </c>
      <c s="6">
        <v>5162</v>
      </c>
      <c s="6">
        <v>4194</v>
      </c>
      <c s="18">
        <v>9356</v>
      </c>
      <c s="6">
        <v>1923</v>
      </c>
      <c s="6">
        <v>1934</v>
      </c>
      <c s="18">
        <v>3857</v>
      </c>
      <c s="6">
        <v>7085</v>
      </c>
      <c s="6">
        <v>6128</v>
      </c>
      <c s="18">
        <v>13213</v>
      </c>
    </row>
    <row>
      <c s="44"/>
      <c s="24" t="s">
        <v>102</v>
      </c>
      <c s="6">
        <v>26766</v>
      </c>
      <c s="6">
        <v>20523</v>
      </c>
      <c s="18">
        <v>47289</v>
      </c>
      <c s="6">
        <v>3756</v>
      </c>
      <c s="6">
        <v>3522</v>
      </c>
      <c s="18">
        <v>7278</v>
      </c>
      <c s="6">
        <v>30522</v>
      </c>
      <c s="6">
        <v>24045</v>
      </c>
      <c s="18">
        <v>54567</v>
      </c>
    </row>
    <row>
      <c s="44" t="s">
        <v>24</v>
      </c>
      <c s="24" t="s">
        <v>36</v>
      </c>
      <c s="6">
        <v>32387</v>
      </c>
      <c s="6">
        <v>25213</v>
      </c>
      <c s="18">
        <v>57600</v>
      </c>
      <c s="6">
        <v>5766</v>
      </c>
      <c s="6">
        <v>5998</v>
      </c>
      <c s="18">
        <v>11764</v>
      </c>
      <c s="6">
        <v>38153</v>
      </c>
      <c s="6">
        <v>31211</v>
      </c>
      <c s="18">
        <v>69364</v>
      </c>
    </row>
    <row>
      <c s="44"/>
      <c s="24" t="s">
        <v>101</v>
      </c>
      <c s="6">
        <v>5175</v>
      </c>
      <c s="6">
        <v>4160</v>
      </c>
      <c s="18">
        <v>9335</v>
      </c>
      <c s="6">
        <v>1944</v>
      </c>
      <c s="6">
        <v>2158</v>
      </c>
      <c s="18">
        <v>4102</v>
      </c>
      <c s="6">
        <v>7119</v>
      </c>
      <c s="6">
        <v>6318</v>
      </c>
      <c s="18">
        <v>13437</v>
      </c>
    </row>
    <row>
      <c s="44"/>
      <c s="24" t="s">
        <v>4</v>
      </c>
      <c s="6">
        <v>27212</v>
      </c>
      <c s="6">
        <v>21053</v>
      </c>
      <c s="18">
        <v>48265</v>
      </c>
      <c s="6">
        <v>3822</v>
      </c>
      <c s="6">
        <v>3840</v>
      </c>
      <c s="18">
        <v>7662</v>
      </c>
      <c s="6">
        <v>31034</v>
      </c>
      <c s="6">
        <v>24893</v>
      </c>
      <c s="18">
        <v>55927</v>
      </c>
    </row>
    <row>
      <c s="44" t="s">
        <v>161</v>
      </c>
      <c s="24" t="s">
        <v>36</v>
      </c>
      <c s="6">
        <v>30858</v>
      </c>
      <c s="6">
        <v>24917</v>
      </c>
      <c s="18">
        <v>55775</v>
      </c>
      <c s="6">
        <v>7248</v>
      </c>
      <c s="6">
        <v>8099</v>
      </c>
      <c s="18">
        <v>15347</v>
      </c>
      <c s="6">
        <v>38106</v>
      </c>
      <c s="6">
        <v>33016</v>
      </c>
      <c s="18">
        <v>71122</v>
      </c>
    </row>
    <row>
      <c s="44"/>
      <c s="24" t="s">
        <v>3</v>
      </c>
      <c s="6">
        <v>4858</v>
      </c>
      <c s="6">
        <v>4602</v>
      </c>
      <c s="18">
        <v>9460</v>
      </c>
      <c s="6">
        <v>2453</v>
      </c>
      <c s="6">
        <v>3017</v>
      </c>
      <c s="18">
        <v>5470</v>
      </c>
      <c s="6">
        <v>7311</v>
      </c>
      <c s="6">
        <v>7619</v>
      </c>
      <c s="18">
        <v>14930</v>
      </c>
    </row>
    <row>
      <c s="44"/>
      <c s="24" t="s">
        <v>79</v>
      </c>
      <c s="6">
        <v>26000</v>
      </c>
      <c s="6">
        <v>20315</v>
      </c>
      <c s="18">
        <v>46315</v>
      </c>
      <c s="6">
        <v>4795</v>
      </c>
      <c s="6">
        <v>5082</v>
      </c>
      <c s="18">
        <v>9877</v>
      </c>
      <c s="6">
        <v>30795</v>
      </c>
      <c s="6">
        <v>25397</v>
      </c>
      <c s="18">
        <v>56192</v>
      </c>
    </row>
    <row>
      <c s="44" t="s">
        <v>126</v>
      </c>
      <c s="24" t="s">
        <v>36</v>
      </c>
      <c s="6">
        <v>30657</v>
      </c>
      <c s="6">
        <v>24688</v>
      </c>
      <c s="18">
        <v>55345</v>
      </c>
      <c s="6">
        <v>6517</v>
      </c>
      <c s="6">
        <v>6445</v>
      </c>
      <c s="18">
        <v>12962</v>
      </c>
      <c s="6">
        <v>37174</v>
      </c>
      <c s="6">
        <v>31133</v>
      </c>
      <c s="18">
        <v>68307</v>
      </c>
    </row>
    <row>
      <c s="44"/>
      <c s="24" t="s">
        <v>76</v>
      </c>
      <c s="6">
        <v>4885</v>
      </c>
      <c s="6">
        <v>4631</v>
      </c>
      <c s="18">
        <v>9516</v>
      </c>
      <c s="6">
        <v>2190</v>
      </c>
      <c s="6">
        <v>2342</v>
      </c>
      <c s="18">
        <v>4532</v>
      </c>
      <c s="6">
        <v>7075</v>
      </c>
      <c s="6">
        <v>6973</v>
      </c>
      <c s="18">
        <v>14048</v>
      </c>
    </row>
    <row>
      <c s="44"/>
      <c s="24" t="s">
        <v>160</v>
      </c>
      <c s="6">
        <v>25772</v>
      </c>
      <c s="6">
        <v>20057</v>
      </c>
      <c s="18">
        <v>45829</v>
      </c>
      <c s="6">
        <v>4327</v>
      </c>
      <c s="6">
        <v>4103</v>
      </c>
      <c s="18">
        <v>8430</v>
      </c>
      <c s="6">
        <v>30099</v>
      </c>
      <c s="6">
        <v>24160</v>
      </c>
      <c s="18">
        <v>54259</v>
      </c>
    </row>
    <row>
      <c s="44" t="s">
        <v>89</v>
      </c>
      <c s="24" t="s">
        <v>36</v>
      </c>
      <c s="6">
        <v>30085</v>
      </c>
      <c s="6">
        <v>23597</v>
      </c>
      <c s="18">
        <v>53682</v>
      </c>
      <c s="6">
        <v>6517</v>
      </c>
      <c s="6">
        <v>6584</v>
      </c>
      <c s="18">
        <v>13101</v>
      </c>
      <c s="6">
        <v>36602</v>
      </c>
      <c s="6">
        <v>30181</v>
      </c>
      <c s="18">
        <v>66783</v>
      </c>
    </row>
    <row>
      <c s="44"/>
      <c s="24" t="s">
        <v>159</v>
      </c>
      <c s="6">
        <v>4917</v>
      </c>
      <c s="6">
        <v>4597</v>
      </c>
      <c s="18">
        <v>9514</v>
      </c>
      <c s="6">
        <v>2284</v>
      </c>
      <c s="6">
        <v>2370</v>
      </c>
      <c s="18">
        <v>4654</v>
      </c>
      <c s="6">
        <v>7201</v>
      </c>
      <c s="6">
        <v>6967</v>
      </c>
      <c s="18">
        <v>14168</v>
      </c>
    </row>
    <row>
      <c s="44"/>
      <c s="24" t="s">
        <v>59</v>
      </c>
      <c s="6">
        <v>25168</v>
      </c>
      <c s="6">
        <v>19000</v>
      </c>
      <c s="18">
        <v>44168</v>
      </c>
      <c s="6">
        <v>4233</v>
      </c>
      <c s="6">
        <v>4214</v>
      </c>
      <c s="18">
        <v>8447</v>
      </c>
      <c s="6">
        <v>29401</v>
      </c>
      <c s="6">
        <v>23214</v>
      </c>
      <c s="18">
        <v>52615</v>
      </c>
    </row>
    <row>
      <c s="44" t="s">
        <v>60</v>
      </c>
      <c s="24" t="s">
        <v>36</v>
      </c>
      <c s="6">
        <v>31196</v>
      </c>
      <c s="6">
        <v>24876</v>
      </c>
      <c s="18">
        <v>56072</v>
      </c>
      <c s="6">
        <v>7383</v>
      </c>
      <c s="6">
        <v>6697</v>
      </c>
      <c s="18">
        <v>14080</v>
      </c>
      <c s="6">
        <v>38579</v>
      </c>
      <c s="6">
        <v>31573</v>
      </c>
      <c s="18">
        <v>70152</v>
      </c>
    </row>
    <row>
      <c s="44"/>
      <c s="24" t="s">
        <v>65</v>
      </c>
      <c s="6">
        <v>5364</v>
      </c>
      <c s="6">
        <v>5075</v>
      </c>
      <c s="18">
        <v>10439</v>
      </c>
      <c s="6">
        <v>2634</v>
      </c>
      <c s="6">
        <v>2513</v>
      </c>
      <c s="18">
        <v>5147</v>
      </c>
      <c s="6">
        <v>7998</v>
      </c>
      <c s="6">
        <v>7588</v>
      </c>
      <c s="18">
        <v>15586</v>
      </c>
    </row>
    <row>
      <c s="44"/>
      <c s="24" t="s">
        <v>137</v>
      </c>
      <c s="6">
        <v>25832</v>
      </c>
      <c s="6">
        <v>19801</v>
      </c>
      <c s="18">
        <v>45633</v>
      </c>
      <c s="6">
        <v>4749</v>
      </c>
      <c s="6">
        <v>4184</v>
      </c>
      <c s="18">
        <v>8933</v>
      </c>
      <c s="6">
        <v>30581</v>
      </c>
      <c s="6">
        <v>23985</v>
      </c>
      <c s="18">
        <v>54566</v>
      </c>
    </row>
    <row>
      <c s="44" t="s">
        <v>32</v>
      </c>
      <c s="24" t="s">
        <v>36</v>
      </c>
      <c s="6">
        <v>30434</v>
      </c>
      <c s="6">
        <v>24903</v>
      </c>
      <c s="18">
        <v>55337</v>
      </c>
      <c s="6">
        <v>5594</v>
      </c>
      <c s="6">
        <v>5811</v>
      </c>
      <c s="18">
        <v>11405</v>
      </c>
      <c s="6">
        <v>36028</v>
      </c>
      <c s="6">
        <v>30714</v>
      </c>
      <c s="18">
        <v>66742</v>
      </c>
    </row>
    <row>
      <c s="44"/>
      <c s="24" t="s">
        <v>134</v>
      </c>
      <c s="6">
        <v>5299</v>
      </c>
      <c s="6">
        <v>5153</v>
      </c>
      <c s="18">
        <v>10452</v>
      </c>
      <c s="6">
        <v>2018</v>
      </c>
      <c s="6">
        <v>2259</v>
      </c>
      <c s="18">
        <v>4277</v>
      </c>
      <c s="6">
        <v>7317</v>
      </c>
      <c s="6">
        <v>7412</v>
      </c>
      <c s="18">
        <v>14729</v>
      </c>
    </row>
    <row>
      <c s="44"/>
      <c s="24" t="s">
        <v>40</v>
      </c>
      <c s="6">
        <v>25135</v>
      </c>
      <c s="6">
        <v>19750</v>
      </c>
      <c s="18">
        <v>44885</v>
      </c>
      <c s="6">
        <v>3576</v>
      </c>
      <c s="6">
        <v>3552</v>
      </c>
      <c s="18">
        <v>7128</v>
      </c>
      <c s="6">
        <v>28711</v>
      </c>
      <c s="6">
        <v>23302</v>
      </c>
      <c s="18">
        <v>52013</v>
      </c>
    </row>
    <row>
      <c s="44" t="s">
        <v>168</v>
      </c>
      <c s="24" t="s">
        <v>36</v>
      </c>
      <c s="6">
        <v>31087</v>
      </c>
      <c s="6">
        <v>24676</v>
      </c>
      <c s="18">
        <v>55763</v>
      </c>
      <c s="6">
        <v>4945</v>
      </c>
      <c s="6">
        <v>5214</v>
      </c>
      <c s="18">
        <v>10159</v>
      </c>
      <c s="6">
        <v>36032</v>
      </c>
      <c s="6">
        <v>29890</v>
      </c>
      <c s="18">
        <v>65922</v>
      </c>
    </row>
    <row>
      <c s="44"/>
      <c s="24" t="s">
        <v>43</v>
      </c>
      <c s="6">
        <v>5259</v>
      </c>
      <c s="6">
        <v>5399</v>
      </c>
      <c s="18">
        <v>10658</v>
      </c>
      <c s="6">
        <v>1664</v>
      </c>
      <c s="6">
        <v>1921</v>
      </c>
      <c s="18">
        <v>3585</v>
      </c>
      <c s="6">
        <v>6923</v>
      </c>
      <c s="6">
        <v>7320</v>
      </c>
      <c s="18">
        <v>14243</v>
      </c>
    </row>
    <row>
      <c s="44"/>
      <c s="24" t="s">
        <v>117</v>
      </c>
      <c s="6">
        <v>25828</v>
      </c>
      <c s="6">
        <v>19277</v>
      </c>
      <c s="18">
        <v>45105</v>
      </c>
      <c s="6">
        <v>3281</v>
      </c>
      <c s="6">
        <v>3293</v>
      </c>
      <c s="18">
        <v>6574</v>
      </c>
      <c s="6">
        <v>29109</v>
      </c>
      <c s="6">
        <v>22570</v>
      </c>
      <c s="18">
        <v>51679</v>
      </c>
    </row>
    <row>
      <c s="44" t="s">
        <v>31</v>
      </c>
      <c s="24" t="s">
        <v>36</v>
      </c>
      <c s="6">
        <v>31545</v>
      </c>
      <c s="6">
        <v>24746</v>
      </c>
      <c s="18">
        <v>56291</v>
      </c>
      <c s="6">
        <v>4793</v>
      </c>
      <c s="6">
        <v>5242</v>
      </c>
      <c s="18">
        <v>10035</v>
      </c>
      <c s="6">
        <v>36338</v>
      </c>
      <c s="6">
        <v>29988</v>
      </c>
      <c s="18">
        <v>66326</v>
      </c>
    </row>
    <row>
      <c s="44"/>
      <c s="24" t="s">
        <v>114</v>
      </c>
      <c s="6">
        <v>5192</v>
      </c>
      <c s="6">
        <v>5040</v>
      </c>
      <c s="18">
        <v>10232</v>
      </c>
      <c s="6">
        <v>1484</v>
      </c>
      <c s="6">
        <v>1819</v>
      </c>
      <c s="18">
        <v>3303</v>
      </c>
      <c s="6">
        <v>6676</v>
      </c>
      <c s="6">
        <v>6859</v>
      </c>
      <c s="18">
        <v>13535</v>
      </c>
    </row>
    <row>
      <c s="44"/>
      <c s="24" t="s">
        <v>71</v>
      </c>
      <c s="6">
        <v>26353</v>
      </c>
      <c s="6">
        <v>19706</v>
      </c>
      <c s="18">
        <v>46059</v>
      </c>
      <c s="6">
        <v>3309</v>
      </c>
      <c s="6">
        <v>3423</v>
      </c>
      <c s="18">
        <v>6732</v>
      </c>
      <c s="6">
        <v>29662</v>
      </c>
      <c s="6">
        <v>23129</v>
      </c>
      <c s="18">
        <v>52791</v>
      </c>
    </row>
    <row>
      <c s="44" t="s">
        <v>135</v>
      </c>
      <c s="24" t="s">
        <v>36</v>
      </c>
      <c s="6">
        <v>27867</v>
      </c>
      <c s="6">
        <v>21919</v>
      </c>
      <c s="18">
        <v>49786</v>
      </c>
      <c s="6">
        <v>4589</v>
      </c>
      <c s="6">
        <v>4820</v>
      </c>
      <c s="18">
        <v>9409</v>
      </c>
      <c s="6">
        <v>32456</v>
      </c>
      <c s="6">
        <v>26739</v>
      </c>
      <c s="18">
        <v>59195</v>
      </c>
    </row>
    <row>
      <c s="44"/>
      <c s="24" t="s">
        <v>88</v>
      </c>
      <c s="6">
        <v>5553</v>
      </c>
      <c s="6">
        <v>5440</v>
      </c>
      <c s="18">
        <v>10993</v>
      </c>
      <c s="6">
        <v>1357</v>
      </c>
      <c s="6">
        <v>1745</v>
      </c>
      <c s="18">
        <v>3102</v>
      </c>
      <c s="6">
        <v>6910</v>
      </c>
      <c s="6">
        <v>7185</v>
      </c>
      <c s="18">
        <v>14095</v>
      </c>
    </row>
    <row>
      <c s="44"/>
      <c s="24" t="s">
        <v>175</v>
      </c>
      <c s="6">
        <v>22314</v>
      </c>
      <c s="6">
        <v>16479</v>
      </c>
      <c s="18">
        <v>38793</v>
      </c>
      <c s="6">
        <v>3232</v>
      </c>
      <c s="6">
        <v>3075</v>
      </c>
      <c s="18">
        <v>6307</v>
      </c>
      <c s="6">
        <v>25546</v>
      </c>
      <c s="6">
        <v>19554</v>
      </c>
      <c s="18">
        <v>45100</v>
      </c>
    </row>
    <row>
      <c s="44" t="s">
        <v>105</v>
      </c>
      <c s="24" t="s">
        <v>36</v>
      </c>
      <c s="6">
        <v>25817</v>
      </c>
      <c s="6">
        <v>20135</v>
      </c>
      <c s="18">
        <v>45952</v>
      </c>
      <c s="6">
        <v>4458</v>
      </c>
      <c s="6">
        <v>4554</v>
      </c>
      <c s="18">
        <v>9012</v>
      </c>
      <c s="6">
        <v>30275</v>
      </c>
      <c s="6">
        <v>24689</v>
      </c>
      <c s="18">
        <v>54964</v>
      </c>
    </row>
    <row>
      <c s="44"/>
      <c s="24" t="s">
        <v>166</v>
      </c>
      <c s="6">
        <v>4178</v>
      </c>
      <c s="6">
        <v>4133</v>
      </c>
      <c s="18">
        <v>8311</v>
      </c>
      <c s="6">
        <v>1374</v>
      </c>
      <c s="6">
        <v>1545</v>
      </c>
      <c s="18">
        <v>2919</v>
      </c>
      <c s="6">
        <v>5552</v>
      </c>
      <c s="6">
        <v>5678</v>
      </c>
      <c s="18">
        <v>11230</v>
      </c>
    </row>
    <row>
      <c s="44"/>
      <c s="24" t="s">
        <v>69</v>
      </c>
      <c s="6">
        <v>21639</v>
      </c>
      <c s="6">
        <v>16002</v>
      </c>
      <c s="18">
        <v>37641</v>
      </c>
      <c s="6">
        <v>3084</v>
      </c>
      <c s="6">
        <v>3009</v>
      </c>
      <c s="18">
        <v>6093</v>
      </c>
      <c s="6">
        <v>24723</v>
      </c>
      <c s="6">
        <v>19011</v>
      </c>
      <c s="18">
        <v>43734</v>
      </c>
    </row>
    <row>
      <c s="44" t="s">
        <v>68</v>
      </c>
      <c s="24" t="s">
        <v>36</v>
      </c>
      <c s="6">
        <v>24693</v>
      </c>
      <c s="6">
        <v>19995</v>
      </c>
      <c s="18">
        <v>44688</v>
      </c>
      <c s="6">
        <v>4364</v>
      </c>
      <c s="6">
        <v>4572</v>
      </c>
      <c s="18">
        <v>8936</v>
      </c>
      <c s="6">
        <v>29057</v>
      </c>
      <c s="6">
        <v>24567</v>
      </c>
      <c s="18">
        <v>53624</v>
      </c>
    </row>
    <row>
      <c s="44"/>
      <c s="24" t="s">
        <v>74</v>
      </c>
      <c s="6">
        <v>3911</v>
      </c>
      <c s="6">
        <v>4320</v>
      </c>
      <c s="18">
        <v>8231</v>
      </c>
      <c s="6">
        <v>1370</v>
      </c>
      <c s="6">
        <v>1547</v>
      </c>
      <c s="18">
        <v>2917</v>
      </c>
      <c s="6">
        <v>5281</v>
      </c>
      <c s="6">
        <v>5867</v>
      </c>
      <c s="18">
        <v>11148</v>
      </c>
    </row>
    <row>
      <c s="44"/>
      <c s="24" t="s">
        <v>149</v>
      </c>
      <c s="6">
        <v>20782</v>
      </c>
      <c s="6">
        <v>15675</v>
      </c>
      <c s="18">
        <v>36457</v>
      </c>
      <c s="6">
        <v>2994</v>
      </c>
      <c s="6">
        <v>3025</v>
      </c>
      <c s="18">
        <v>6019</v>
      </c>
      <c s="6">
        <v>23776</v>
      </c>
      <c s="6">
        <v>18700</v>
      </c>
      <c s="18">
        <v>42476</v>
      </c>
    </row>
    <row>
      <c s="44" t="s">
        <v>38</v>
      </c>
      <c s="24" t="s">
        <v>36</v>
      </c>
      <c s="6">
        <v>24708</v>
      </c>
      <c s="6">
        <v>19601</v>
      </c>
      <c s="18">
        <v>44309</v>
      </c>
      <c s="6">
        <v>3936</v>
      </c>
      <c s="6">
        <v>4121</v>
      </c>
      <c s="18">
        <v>8057</v>
      </c>
      <c s="6">
        <v>28644</v>
      </c>
      <c s="6">
        <v>23722</v>
      </c>
      <c s="18">
        <v>52366</v>
      </c>
    </row>
    <row>
      <c s="44"/>
      <c s="24" t="s">
        <v>147</v>
      </c>
      <c s="6">
        <v>3910</v>
      </c>
      <c s="6">
        <v>3598</v>
      </c>
      <c s="18">
        <v>7508</v>
      </c>
      <c s="6">
        <v>1076</v>
      </c>
      <c s="6">
        <v>1229</v>
      </c>
      <c s="18">
        <v>2305</v>
      </c>
      <c s="6">
        <v>4986</v>
      </c>
      <c s="6">
        <v>4827</v>
      </c>
      <c s="18">
        <v>9813</v>
      </c>
    </row>
    <row>
      <c s="44"/>
      <c s="24" t="s">
        <v>49</v>
      </c>
      <c s="6">
        <v>20798</v>
      </c>
      <c s="6">
        <v>16003</v>
      </c>
      <c s="18">
        <v>36801</v>
      </c>
      <c s="6">
        <v>2860</v>
      </c>
      <c s="6">
        <v>2892</v>
      </c>
      <c s="18">
        <v>5752</v>
      </c>
      <c s="6">
        <v>23658</v>
      </c>
      <c s="6">
        <v>18895</v>
      </c>
      <c s="18">
        <v>42553</v>
      </c>
    </row>
    <row>
      <c s="44" t="s">
        <v>6</v>
      </c>
      <c s="24" t="s">
        <v>36</v>
      </c>
      <c s="6">
        <v>22909</v>
      </c>
      <c s="6">
        <v>17870</v>
      </c>
      <c s="18">
        <v>40779</v>
      </c>
      <c s="6">
        <v>4090</v>
      </c>
      <c s="6">
        <v>4438</v>
      </c>
      <c s="18">
        <v>8528</v>
      </c>
      <c s="6">
        <v>26999</v>
      </c>
      <c s="6">
        <v>22308</v>
      </c>
      <c s="18">
        <v>49307</v>
      </c>
    </row>
    <row>
      <c s="44"/>
      <c s="24" t="s">
        <v>46</v>
      </c>
      <c s="6">
        <v>3624</v>
      </c>
      <c s="6">
        <v>3194</v>
      </c>
      <c s="18">
        <v>6818</v>
      </c>
      <c s="6">
        <v>1222</v>
      </c>
      <c s="6">
        <v>1386</v>
      </c>
      <c s="18">
        <v>2608</v>
      </c>
      <c s="6">
        <v>4846</v>
      </c>
      <c s="6">
        <v>4580</v>
      </c>
      <c s="18">
        <v>9426</v>
      </c>
    </row>
    <row>
      <c s="44"/>
      <c s="24" t="s">
        <v>123</v>
      </c>
      <c s="6">
        <v>19285</v>
      </c>
      <c s="6">
        <v>14676</v>
      </c>
      <c s="18">
        <v>33961</v>
      </c>
      <c s="6">
        <v>2868</v>
      </c>
      <c s="6">
        <v>3052</v>
      </c>
      <c s="18">
        <v>5920</v>
      </c>
      <c s="6">
        <v>22153</v>
      </c>
      <c s="6">
        <v>17728</v>
      </c>
      <c s="18">
        <v>39881</v>
      </c>
    </row>
    <row>
      <c s="44" t="s">
        <v>150</v>
      </c>
      <c s="24" t="s">
        <v>36</v>
      </c>
      <c s="6">
        <v>21444</v>
      </c>
      <c s="6">
        <v>17205</v>
      </c>
      <c s="18">
        <v>38649</v>
      </c>
      <c s="6">
        <v>4485</v>
      </c>
      <c s="6">
        <v>4692</v>
      </c>
      <c s="18">
        <v>9177</v>
      </c>
      <c s="6">
        <v>25929</v>
      </c>
      <c s="6">
        <v>21897</v>
      </c>
      <c s="18">
        <v>47826</v>
      </c>
    </row>
    <row>
      <c s="44"/>
      <c s="24" t="s">
        <v>124</v>
      </c>
      <c s="6">
        <v>3148</v>
      </c>
      <c s="6">
        <v>3164</v>
      </c>
      <c s="18">
        <v>6312</v>
      </c>
      <c s="6">
        <v>1514</v>
      </c>
      <c s="6">
        <v>1694</v>
      </c>
      <c s="18">
        <v>3208</v>
      </c>
      <c s="6">
        <v>4662</v>
      </c>
      <c s="6">
        <v>4858</v>
      </c>
      <c s="18">
        <v>9520</v>
      </c>
    </row>
    <row>
      <c s="44"/>
      <c s="24" t="s">
        <v>30</v>
      </c>
      <c s="6">
        <v>18296</v>
      </c>
      <c s="6">
        <v>14041</v>
      </c>
      <c s="18">
        <v>32337</v>
      </c>
      <c s="6">
        <v>2971</v>
      </c>
      <c s="6">
        <v>2998</v>
      </c>
      <c s="18">
        <v>5969</v>
      </c>
      <c s="6">
        <v>21267</v>
      </c>
      <c s="6">
        <v>17039</v>
      </c>
      <c s="18">
        <v>38306</v>
      </c>
    </row>
    <row>
      <c s="44" t="s">
        <v>115</v>
      </c>
      <c s="24" t="s">
        <v>36</v>
      </c>
      <c s="6">
        <v>19807</v>
      </c>
      <c s="6">
        <v>16284</v>
      </c>
      <c s="18">
        <v>36091</v>
      </c>
      <c s="6">
        <v>3978</v>
      </c>
      <c s="6">
        <v>4182</v>
      </c>
      <c s="18">
        <v>8160</v>
      </c>
      <c s="6">
        <v>23785</v>
      </c>
      <c s="6">
        <v>20466</v>
      </c>
      <c s="18">
        <v>44251</v>
      </c>
    </row>
    <row>
      <c s="44"/>
      <c s="24" t="s">
        <v>29</v>
      </c>
      <c s="6">
        <v>2806</v>
      </c>
      <c s="6">
        <v>2866</v>
      </c>
      <c s="18">
        <v>5672</v>
      </c>
      <c s="6">
        <v>1133</v>
      </c>
      <c s="6">
        <v>1328</v>
      </c>
      <c s="18">
        <v>2461</v>
      </c>
      <c s="6">
        <v>3939</v>
      </c>
      <c s="6">
        <v>4194</v>
      </c>
      <c s="18">
        <v>8133</v>
      </c>
    </row>
    <row>
      <c s="44"/>
      <c s="24" t="s">
        <v>104</v>
      </c>
      <c s="6">
        <v>17001</v>
      </c>
      <c s="6">
        <v>13418</v>
      </c>
      <c s="18">
        <v>30419</v>
      </c>
      <c s="6">
        <v>2845</v>
      </c>
      <c s="6">
        <v>2854</v>
      </c>
      <c s="18">
        <v>5699</v>
      </c>
      <c s="6">
        <v>19846</v>
      </c>
      <c s="6">
        <v>16272</v>
      </c>
      <c s="18">
        <v>36118</v>
      </c>
    </row>
    <row>
      <c s="44" t="s">
        <v>78</v>
      </c>
      <c s="24" t="s">
        <v>36</v>
      </c>
      <c s="6">
        <v>18397</v>
      </c>
      <c s="6">
        <v>14390</v>
      </c>
      <c s="18">
        <v>32787</v>
      </c>
      <c s="6">
        <v>3476</v>
      </c>
      <c s="6">
        <v>3963</v>
      </c>
      <c s="18">
        <v>7439</v>
      </c>
      <c s="6">
        <v>21873</v>
      </c>
      <c s="6">
        <v>18353</v>
      </c>
      <c s="18">
        <v>40226</v>
      </c>
    </row>
    <row>
      <c s="44"/>
      <c s="24" t="s">
        <v>100</v>
      </c>
      <c s="6">
        <v>2577</v>
      </c>
      <c s="6">
        <v>2489</v>
      </c>
      <c s="18">
        <v>5066</v>
      </c>
      <c s="6">
        <v>1195</v>
      </c>
      <c s="6">
        <v>1431</v>
      </c>
      <c s="18">
        <v>2626</v>
      </c>
      <c s="6">
        <v>3772</v>
      </c>
      <c s="6">
        <v>3920</v>
      </c>
      <c s="18">
        <v>7692</v>
      </c>
    </row>
    <row>
      <c s="44"/>
      <c s="24" t="s">
        <v>5</v>
      </c>
      <c s="6">
        <v>15820</v>
      </c>
      <c s="6">
        <v>11901</v>
      </c>
      <c s="18">
        <v>27721</v>
      </c>
      <c s="6">
        <v>2281</v>
      </c>
      <c s="6">
        <v>2532</v>
      </c>
      <c s="18">
        <v>4813</v>
      </c>
      <c s="6">
        <v>18101</v>
      </c>
      <c s="6">
        <v>14433</v>
      </c>
      <c s="18">
        <v>32534</v>
      </c>
    </row>
    <row>
      <c s="44" t="s">
        <v>47</v>
      </c>
      <c s="24" t="s">
        <v>36</v>
      </c>
      <c s="6">
        <v>21381</v>
      </c>
      <c s="6">
        <v>17353</v>
      </c>
      <c s="18">
        <v>38734</v>
      </c>
      <c s="6">
        <v>4617</v>
      </c>
      <c s="6">
        <v>4349</v>
      </c>
      <c s="18">
        <v>8966</v>
      </c>
      <c s="6">
        <v>25998</v>
      </c>
      <c s="6">
        <v>21702</v>
      </c>
      <c s="18">
        <v>47700</v>
      </c>
    </row>
    <row>
      <c s="44"/>
      <c s="24" t="s">
        <v>13</v>
      </c>
      <c s="6">
        <v>2899</v>
      </c>
      <c s="6">
        <v>3169</v>
      </c>
      <c s="18">
        <v>6068</v>
      </c>
      <c s="6">
        <v>1446</v>
      </c>
      <c s="6">
        <v>1583</v>
      </c>
      <c s="18">
        <v>3029</v>
      </c>
      <c s="6">
        <v>4345</v>
      </c>
      <c s="6">
        <v>4752</v>
      </c>
      <c s="18">
        <v>9097</v>
      </c>
    </row>
    <row>
      <c s="44"/>
      <c s="24" t="s">
        <v>75</v>
      </c>
      <c s="6">
        <v>18482</v>
      </c>
      <c s="6">
        <v>14184</v>
      </c>
      <c s="18">
        <v>32666</v>
      </c>
      <c s="6">
        <v>3171</v>
      </c>
      <c s="6">
        <v>2766</v>
      </c>
      <c s="18">
        <v>5937</v>
      </c>
      <c s="6">
        <v>21653</v>
      </c>
      <c s="6">
        <v>16950</v>
      </c>
      <c s="18">
        <v>38603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3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0">
    <mergeCell ref="A3:G3"/>
    <mergeCell ref="A4:G4"/>
    <mergeCell ref="C14:E14"/>
    <mergeCell ref="F14:H14"/>
    <mergeCell ref="I14:K14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</mergeCells>
  <pageMargins left="0.70866141732283472" right="0.70866141732283472" top="0.78740157480314965" bottom="0.78740157480314965" header="0.31496062992125984" footer="0.31496062992125984"/>
  <pageSetup paperSize="9" scale="66" fitToWidth="2" fitToHeight="2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48" max="16383" man="1"/>
  </row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0"/>
  <sheetViews>
    <sheetView workbookViewId="0">
      <selection activeCell="E27" sqref="E27:E29"/>
    </sheetView>
  </sheetViews>
  <sheetFormatPr defaultColWidth="9.140625" defaultRowHeight="13.6"/>
  <cols>
    <col min="1" max="1" width="13.5703125" style="27" customWidth="1"/>
    <col min="2" max="2" width="40.85546875" style="27" customWidth="1"/>
    <col min="3" max="3" width="28.140625" style="27" customWidth="1"/>
    <col min="4" max="4" width="16.28515625" style="27" customWidth="1"/>
    <col min="5" max="5" width="19.42578125" style="27" customWidth="1"/>
    <col min="6" max="6" width="11.140625" style="27" customWidth="1"/>
    <col min="7" max="7" width="9.140625" style="27" customWidth="1"/>
    <col min="8" max="8" width="17.28515625" style="27" customWidth="1"/>
    <col min="9" max="9" width="19.5703125" style="27" customWidth="1"/>
    <col min="10" max="12" width="12.42578125" style="27" customWidth="1"/>
    <col min="13" max="13" width="16" style="27" customWidth="1"/>
    <col min="14" max="14" width="14.28515625" style="27" customWidth="1"/>
    <col min="15" max="15" width="18.28515625" style="27" customWidth="1"/>
    <col min="16" max="25" width="9.140625" style="27" customWidth="1"/>
    <col min="26" max="26" width="9.140625" style="27" hidden="1" customWidth="1"/>
    <col min="27" max="27" width="9.140625" style="27" customWidth="1"/>
    <col min="28" max="16384" width="9.140625" style="27"/>
  </cols>
  <sheetData>
    <row>
      <c s="43"/>
      <c r="H1" s="51">
        <v>129806172700000000</v>
      </c>
      <c r="Z1" s="62" t="b">
        <f>0=1</f>
        <v>0</v>
      </c>
    </row>
    <row>
      <c r="Z2" s="62" t="b">
        <f>1=1</f>
        <v>1</v>
      </c>
    </row>
    <row>
      <c r="Z3" s="62"/>
    </row>
    <row>
      <c r="I4" s="27" t="s">
        <v>61</v>
      </c>
      <c s="58" t="s">
        <v>127</v>
      </c>
      <c s="12"/>
      <c s="12"/>
      <c s="12"/>
      <c s="12"/>
      <c s="12"/>
    </row>
    <row>
      <c r="J5" s="26" t="s">
        <v>50</v>
      </c>
      <c s="20" t="s">
        <v>90</v>
      </c>
      <c s="20" t="s">
        <v>118</v>
      </c>
      <c s="26" t="s">
        <v>169</v>
      </c>
      <c s="49" t="s">
        <v>138</v>
      </c>
      <c s="20" t="s">
        <v>8</v>
      </c>
    </row>
    <row>
      <c r="B6" s="31" t="s">
        <v>139</v>
      </c>
      <c s="21" t="s">
        <v>154</v>
      </c>
      <c s="64" t="s">
        <v>17</v>
      </c>
      <c s="11" t="s">
        <v>91</v>
      </c>
    </row>
    <row>
      <c r="C7" s="19"/>
      <c s="25" t="s">
        <v>18</v>
      </c>
      <c s="11" t="s">
        <v>107</v>
      </c>
    </row>
    <row>
      <c r="C8" s="25" t="s">
        <v>9</v>
      </c>
      <c s="19"/>
    </row>
    <row>
      <c r="C9" s="19"/>
      <c s="21" t="s">
        <v>51</v>
      </c>
      <c s="42"/>
    </row>
    <row>
      <c r="C10" s="21" t="s">
        <v>81</v>
      </c>
      <c s="36" t="s">
        <v>119</v>
      </c>
      <c s="11" t="s">
        <v>33</v>
      </c>
    </row>
    <row>
      <c r="B11" s="31" t="s">
        <v>92</v>
      </c>
      <c s="32" t="s">
        <v>82</v>
      </c>
      <c s="50">
        <v>60398</v>
      </c>
      <c s="11" t="s">
        <v>52</v>
      </c>
    </row>
    <row>
      <c r="B12" s="31"/>
      <c s="59"/>
      <c s="53"/>
      <c s="33" t="s">
        <v>128</v>
      </c>
    </row>
    <row>
      <c r="B13" s="31" t="s">
        <v>83</v>
      </c>
      <c s="66" t="s">
        <v>41</v>
      </c>
      <c s="60">
        <v>1212</v>
      </c>
      <c s="27" t="b">
        <v>0</v>
      </c>
      <c s="11" t="s">
        <v>120</v>
      </c>
    </row>
    <row ht="12.75" hidden="1">
      <c r="B14" s="31"/>
      <c s="66"/>
      <c s="61"/>
      <c s="27" t="b">
        <v>0</v>
      </c>
    </row>
    <row>
      <c r="B15" s="31" t="s">
        <v>155</v>
      </c>
      <c s="27" t="s">
        <v>162</v>
      </c>
      <c s="35">
        <v>1212</v>
      </c>
      <c s="27" t="b">
        <v>0</v>
      </c>
      <c s="11" t="s">
        <v>42</v>
      </c>
    </row>
    <row ht="12.75" hidden="1">
      <c r="B16" s="31"/>
      <c r="D16" s="22"/>
      <c s="27" t="b">
        <v>0</v>
      </c>
      <c s="11"/>
    </row>
    <row>
      <c r="B17" s="31"/>
      <c s="27" t="s">
        <v>53</v>
      </c>
      <c s="40">
        <v>3434</v>
      </c>
      <c s="27" t="b">
        <v>0</v>
      </c>
      <c s="11" t="s">
        <v>121</v>
      </c>
    </row>
    <row>
      <c r="B18" s="31"/>
      <c r="D18" s="22"/>
      <c s="27" t="b">
        <v>0</v>
      </c>
      <c s="11"/>
    </row>
    <row>
      <c r="B19" s="31"/>
      <c s="27" t="s">
        <v>10</v>
      </c>
      <c s="55">
        <v>3434</v>
      </c>
      <c s="27" t="b">
        <v>0</v>
      </c>
      <c s="11" t="s">
        <v>140</v>
      </c>
    </row>
    <row>
      <c r="B20" s="31"/>
      <c r="D20" s="22"/>
      <c s="27" t="b">
        <v>0</v>
      </c>
      <c s="11"/>
    </row>
    <row>
      <c r="B21" s="31"/>
      <c s="27" t="s">
        <v>141</v>
      </c>
      <c s="34">
        <v>5656</v>
      </c>
      <c s="27" t="b">
        <v>0</v>
      </c>
      <c s="11" t="s">
        <v>170</v>
      </c>
    </row>
    <row>
      <c r="B22" s="31"/>
      <c r="E22" s="11"/>
      <c r="I22" s="38"/>
    </row>
    <row>
      <c r="B23" s="23" t="s">
        <v>11</v>
      </c>
      <c s="23"/>
    </row>
    <row>
      <c r="B24" s="8" t="s">
        <v>93</v>
      </c>
      <c s="8" t="s">
        <v>54</v>
      </c>
      <c s="8" t="s">
        <v>19</v>
      </c>
      <c s="8" t="s">
        <v>142</v>
      </c>
      <c s="8"/>
      <c s="8"/>
      <c s="8" t="s">
        <v>171</v>
      </c>
    </row>
    <row>
      <c s="27" t="s">
        <v>108</v>
      </c>
      <c r="C25" s="41" t="s">
        <v>94</v>
      </c>
      <c s="29" t="s">
        <v>55</v>
      </c>
      <c s="29">
        <v>1234.5599999999999</v>
      </c>
      <c s="11" t="s">
        <v>129</v>
      </c>
      <c r="H25" s="27" t="s">
        <v>143</v>
      </c>
    </row>
    <row>
      <c s="27" t="s">
        <v>156</v>
      </c>
      <c r="C26" s="41" t="s">
        <v>94</v>
      </c>
      <c s="29" t="s">
        <v>55</v>
      </c>
      <c s="29">
        <v>1234.5599999999999</v>
      </c>
      <c s="11" t="s">
        <v>109</v>
      </c>
      <c r="H26" s="27" t="s">
        <v>172</v>
      </c>
    </row>
    <row>
      <c r="C27" s="41" t="s">
        <v>94</v>
      </c>
      <c s="48" t="s">
        <v>55</v>
      </c>
      <c s="29">
        <v>1234.5599999999999</v>
      </c>
      <c r="H27" s="27" t="s">
        <v>110</v>
      </c>
    </row>
    <row>
      <c r="C28" s="57" t="s">
        <v>12</v>
      </c>
      <c s="48" t="s">
        <v>20</v>
      </c>
      <c s="29">
        <v>1234.5599999999999</v>
      </c>
      <c r="H28" s="27" t="s">
        <v>56</v>
      </c>
    </row>
    <row>
      <c r="C29" s="57" t="s">
        <v>12</v>
      </c>
      <c s="54" t="s">
        <v>62</v>
      </c>
      <c s="65">
        <v>1234.5599999999999</v>
      </c>
      <c r="H29" s="27" t="s">
        <v>173</v>
      </c>
    </row>
    <row>
      <c r="C30" s="57" t="s">
        <v>144</v>
      </c>
      <c s="37" t="s">
        <v>36</v>
      </c>
      <c s="39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D34"/>
  <sheetViews>
    <sheetView workbookViewId="0">
      <selection activeCell="A34" sqref="A34"/>
    </sheetView>
  </sheetViews>
  <sheetFormatPr defaultColWidth="11.42578125" defaultRowHeight="15"/>
  <cols>
    <col min="1" max="1" width="40.140625" customWidth="1"/>
  </cols>
  <sheetData>
    <row ht="14.95">
      <c s="10" t="s">
        <v>0</v>
      </c>
      <c s="28" t="s">
        <v>36</v>
      </c>
    </row>
    <row ht="14.95">
      <c s="10" t="s">
        <v>15</v>
      </c>
      <c s="28" t="s">
        <v>36</v>
      </c>
    </row>
    <row ht="14.95">
      <c s="10" t="s">
        <v>133</v>
      </c>
      <c s="28" t="s">
        <v>36</v>
      </c>
    </row>
    <row ht="14.95">
      <c s="10" t="s">
        <v>87</v>
      </c>
      <c s="28" t="s">
        <v>36</v>
      </c>
    </row>
    <row r="7" ht="14.95">
      <c r="B7" s="10" t="s">
        <v>66</v>
      </c>
      <c s="10" t="s">
        <v>165</v>
      </c>
    </row>
    <row ht="14.95">
      <c r="B8" s="2" t="s">
        <v>37</v>
      </c>
      <c s="2"/>
      <c s="2"/>
    </row>
    <row ht="14.95">
      <c s="10" t="s">
        <v>23</v>
      </c>
      <c s="5" t="s">
        <v>2</v>
      </c>
      <c s="5" t="s">
        <v>58</v>
      </c>
      <c s="16" t="s">
        <v>36</v>
      </c>
    </row>
    <row ht="14.95">
      <c s="24" t="s">
        <v>122</v>
      </c>
      <c s="6">
        <v>39328</v>
      </c>
      <c s="6">
        <v>31286</v>
      </c>
      <c s="18">
        <v>70614</v>
      </c>
    </row>
    <row ht="14.95">
      <c s="24" t="s">
        <v>85</v>
      </c>
      <c s="6">
        <v>37672</v>
      </c>
      <c s="6">
        <v>29380</v>
      </c>
      <c s="18">
        <v>67052</v>
      </c>
    </row>
    <row ht="14.95">
      <c s="24" t="s">
        <v>57</v>
      </c>
      <c s="6">
        <v>35395</v>
      </c>
      <c s="6">
        <v>27464</v>
      </c>
      <c s="18">
        <v>62859</v>
      </c>
    </row>
    <row ht="14.95">
      <c s="24" t="s">
        <v>22</v>
      </c>
      <c s="6">
        <v>35434</v>
      </c>
      <c s="6">
        <v>26813</v>
      </c>
      <c s="18">
        <v>62247</v>
      </c>
    </row>
    <row ht="14.95">
      <c s="24" t="s">
        <v>163</v>
      </c>
      <c s="6">
        <v>36998</v>
      </c>
      <c s="6">
        <v>27805</v>
      </c>
      <c s="18">
        <v>64803</v>
      </c>
    </row>
    <row ht="14.95">
      <c s="24" t="s">
        <v>21</v>
      </c>
      <c s="6">
        <v>35082</v>
      </c>
      <c s="6">
        <v>26890</v>
      </c>
      <c s="18">
        <v>61972</v>
      </c>
    </row>
    <row ht="14.95">
      <c s="24" t="s">
        <v>131</v>
      </c>
      <c s="6">
        <v>36873</v>
      </c>
      <c s="6">
        <v>28497</v>
      </c>
      <c s="18">
        <v>65370</v>
      </c>
    </row>
    <row ht="14.95">
      <c s="24" t="s">
        <v>97</v>
      </c>
      <c s="6">
        <v>37607</v>
      </c>
      <c s="6">
        <v>30173</v>
      </c>
      <c s="18">
        <v>67780</v>
      </c>
    </row>
    <row ht="14.95">
      <c s="24" t="s">
        <v>64</v>
      </c>
      <c s="6">
        <v>38153</v>
      </c>
      <c s="6">
        <v>31211</v>
      </c>
      <c s="18">
        <v>69364</v>
      </c>
    </row>
    <row ht="14.95">
      <c s="24" t="s">
        <v>35</v>
      </c>
      <c s="6">
        <v>38106</v>
      </c>
      <c s="6">
        <v>33016</v>
      </c>
      <c s="18">
        <v>71122</v>
      </c>
    </row>
    <row ht="14.95">
      <c s="24" t="s">
        <v>177</v>
      </c>
      <c s="6">
        <v>37174</v>
      </c>
      <c s="6">
        <v>31133</v>
      </c>
      <c s="18">
        <v>68307</v>
      </c>
    </row>
    <row ht="14.95">
      <c s="24" t="s">
        <v>146</v>
      </c>
      <c s="6">
        <v>36602</v>
      </c>
      <c s="6">
        <v>30181</v>
      </c>
      <c s="18">
        <v>66783</v>
      </c>
    </row>
    <row ht="14.95">
      <c s="24" t="s">
        <v>112</v>
      </c>
      <c s="6">
        <v>38579</v>
      </c>
      <c s="6">
        <v>31573</v>
      </c>
      <c s="18">
        <v>70152</v>
      </c>
    </row>
    <row ht="14.95">
      <c s="24" t="s">
        <v>73</v>
      </c>
      <c s="6">
        <v>36028</v>
      </c>
      <c s="6">
        <v>30714</v>
      </c>
      <c s="18">
        <v>66742</v>
      </c>
    </row>
    <row ht="14.95">
      <c s="24" t="s">
        <v>44</v>
      </c>
      <c s="6">
        <v>36032</v>
      </c>
      <c s="6">
        <v>29890</v>
      </c>
      <c s="18">
        <v>65922</v>
      </c>
    </row>
    <row ht="14.95">
      <c s="24" t="s">
        <v>84</v>
      </c>
      <c s="6">
        <v>36338</v>
      </c>
      <c s="6">
        <v>29988</v>
      </c>
      <c s="18">
        <v>66326</v>
      </c>
    </row>
    <row ht="14.95">
      <c s="24" t="s">
        <v>14</v>
      </c>
      <c s="6">
        <v>32456</v>
      </c>
      <c s="6">
        <v>26739</v>
      </c>
      <c s="18">
        <v>59195</v>
      </c>
    </row>
    <row ht="14.95">
      <c s="24" t="s">
        <v>157</v>
      </c>
      <c s="6">
        <v>30275</v>
      </c>
      <c s="6">
        <v>24689</v>
      </c>
      <c s="18">
        <v>54964</v>
      </c>
    </row>
    <row ht="14.95">
      <c s="24" t="s">
        <v>130</v>
      </c>
      <c s="6">
        <v>29057</v>
      </c>
      <c s="6">
        <v>24567</v>
      </c>
      <c s="18">
        <v>53624</v>
      </c>
    </row>
    <row ht="14.95">
      <c s="24" t="s">
        <v>96</v>
      </c>
      <c s="6">
        <v>28644</v>
      </c>
      <c s="6">
        <v>23722</v>
      </c>
      <c s="18">
        <v>52366</v>
      </c>
    </row>
    <row ht="14.95">
      <c s="24" t="s">
        <v>63</v>
      </c>
      <c s="6">
        <v>26999</v>
      </c>
      <c s="6">
        <v>22308</v>
      </c>
      <c s="18">
        <v>49307</v>
      </c>
    </row>
    <row ht="14.95">
      <c s="24" t="s">
        <v>34</v>
      </c>
      <c s="6">
        <v>25929</v>
      </c>
      <c s="6">
        <v>21897</v>
      </c>
      <c s="18">
        <v>47826</v>
      </c>
    </row>
    <row ht="14.95">
      <c s="24" t="s">
        <v>176</v>
      </c>
      <c s="6">
        <v>23785</v>
      </c>
      <c s="6">
        <v>20466</v>
      </c>
      <c s="18">
        <v>44251</v>
      </c>
    </row>
    <row ht="14.95">
      <c s="24" t="s">
        <v>145</v>
      </c>
      <c s="6">
        <v>21873</v>
      </c>
      <c s="6">
        <v>18353</v>
      </c>
      <c s="18">
        <v>40226</v>
      </c>
    </row>
    <row ht="14.95">
      <c s="24" t="s">
        <v>111</v>
      </c>
      <c s="6">
        <v>25998</v>
      </c>
      <c s="6">
        <v>21702</v>
      </c>
      <c s="18">
        <v>47700</v>
      </c>
    </row>
  </sheetData>
  <mergeCells count="1">
    <mergeCell ref="B8:D8"/>
  </mergeCells>
  <pageMargins left="0.7" right="0.7" top="0.787401575" bottom="0.787401575" header="0.3" footer="0.3"/>
  <pageSetup paperSize="9" fitToWidth="0" fitToHeight="0" orientation="portrait"/>
</worksheet>
</file>
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0065"/>
  </bookViews>
  <sheets>
    <sheet name="Tab" sheetId="1" r:id="rId1"/>
    <sheet name="XLCubedFormats" sheetId="2" state="hidden" r:id="rId2"/>
  </sheets>
  <definedNames>
    <definedName name="_xlnm.Print_Area" localSheetId="0">Tab!$A$1:$I$92</definedName>
    <definedName name="_xlnm.Print_Titles" localSheetId="0">Tab!$23:$25</definedName>
    <definedName name="XL3DisableCameraObjects" hidden="1">XLCubedFormats!A1</definedName>
    <definedName name="XL3ObjLocationd29ed4f0_51a2_4776_a7ea_0d3cd0ce97a0">Tab!$A$9</definedName>
  </definedNames>
  <calcPr calcId="40001"/>
</workbook>
</file>

<file path=xl/sharedStrings.xml><?xml version="1.0" encoding="utf-8"?>
<sst xmlns="http://schemas.openxmlformats.org/spreadsheetml/2006/main" uniqueCount="153">
  <si>
    <t>Universität</t>
  </si>
  <si>
    <t>Semester und Datenstichtag</t>
  </si>
  <si>
    <t xml:space="preserve">Ordentliche Studien </t>
  </si>
  <si>
    <t>0811 Pflanzenbau und Tierzucht</t>
  </si>
  <si>
    <t>0722 Werkstoffe (Glas, Papier, Kunststoff und Holz)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</si>
  <si>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</si>
  <si>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</si>
  <si>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</si>
  <si>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</si>
  <si>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</si>
  <si>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</si>
  <si>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[STU Studium].[ISCED2013 Ebene 3 #Langtext#]</t>
  </si>
  <si>
    <t>(Members of Studienfach (Fachcode)) - (Erweiterungsstudium, Zweitfach)</t>
  </si>
  <si>
    <t>Wintersemester 2024 (Stichtag: 28.02.2025)</t>
  </si>
  <si>
    <t>Absolutwert</t>
  </si>
  <si>
    <t>0410 Wirtschaft und Verwaltung nicht näher definiert</t>
  </si>
  <si>
    <t>0222 Geschichte und Archäologie</t>
  </si>
  <si>
    <t>0200 Geisteswissenschaften und Künste nicht näher definiert</t>
  </si>
  <si>
    <t>All Marital Status</t>
  </si>
  <si>
    <t>Male</t>
  </si>
  <si>
    <t>Member1 Name</t>
  </si>
  <si>
    <t>Staatengruppe (Ö, EU, andere)</t>
  </si>
  <si>
    <t>Studien Universitäten</t>
  </si>
  <si>
    <t>ord. Studium</t>
  </si>
  <si>
    <t>0715 Maschinenbau und Metallverarbeitung</t>
  </si>
  <si>
    <t>0714 Elektronik und Automation</t>
  </si>
  <si>
    <t>0388 Int.Pr. mit Schwerp. Sozialwiss., Journalism. u. Informationsw.</t>
  </si>
  <si>
    <t>0313 Psychologie</t>
  </si>
  <si>
    <t>&lt;-- default Column Member Format</t>
  </si>
  <si>
    <t>Begonnene Studien</t>
  </si>
  <si>
    <t>Gesamt</t>
  </si>
  <si>
    <t>1015 Reisebüros, Tourismus und Freizeitindustrie</t>
  </si>
  <si>
    <t>0841 Tiermedizin</t>
  </si>
  <si>
    <t>0311 Volkswirtschaftslehre</t>
  </si>
  <si>
    <t>0111 Erziehungswissenschaft</t>
  </si>
  <si>
    <t>Alternate Rows</t>
  </si>
  <si>
    <t>&lt;--  writeable cell format</t>
  </si>
  <si>
    <t>Ordentliche Studien nach internationalen Gruppen von Studien</t>
  </si>
  <si>
    <t xml:space="preserve"> </t>
  </si>
  <si>
    <t>9999 Feld unbekannt</t>
  </si>
  <si>
    <t>1014 Sport</t>
  </si>
  <si>
    <t>0732 Baugewerbe, Hoch- und Tiefbau</t>
  </si>
  <si>
    <t>0712 Umweltschutztechnologien</t>
  </si>
  <si>
    <t>0414 Marketing und Werbung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</si>
  <si>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</si>
  <si>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</si>
  <si>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</si>
  <si>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</si>
  <si>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</si>
  <si>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</si>
  <si>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</si>
  <si>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0911 Zahnmedizin</t>
  </si>
  <si>
    <t>0613 Software- und Applikationsentwicklung und -analyse</t>
  </si>
  <si>
    <t>0542 Statistik</t>
  </si>
  <si>
    <t>0533 Physik</t>
  </si>
  <si>
    <t>0114 Ausbildung von Lehrkräften mit Fachspezialisierung</t>
  </si>
  <si>
    <t>Männer</t>
  </si>
  <si>
    <t>Slice Name (Optional)</t>
  </si>
  <si>
    <t>0913 Krankenpflege und Geburtshilfe</t>
  </si>
  <si>
    <t>0731 Architektur und Städteplanung</t>
  </si>
  <si>
    <t>0721 Nahrungsmittel</t>
  </si>
  <si>
    <t>0688 Int. Pr. mit Schwerpunkt Informatik und Kommunikationstechnologie</t>
  </si>
  <si>
    <t>0412 Finanz-, Bank- und Versicherungswesen</t>
  </si>
  <si>
    <t>0988 Int.Pr. mit Schwerpunkt Gesundheit und Sozialwesen</t>
  </si>
  <si>
    <t>0916 Pharmazie</t>
  </si>
  <si>
    <t>0512 Biochemie</t>
  </si>
  <si>
    <t>0413 Management und Verwaltung</t>
  </si>
  <si>
    <t>0411 Steuer- und Rechnungswesen</t>
  </si>
  <si>
    <t>0215 Musik und darstellende Kunst</t>
  </si>
  <si>
    <t>Customer</t>
  </si>
  <si>
    <t>-All Customer</t>
  </si>
  <si>
    <t>Default Alternate Row Member Format --&gt;</t>
  </si>
  <si>
    <t>Studien von Erstzugelassenen</t>
  </si>
  <si>
    <t>Studientyp</t>
  </si>
  <si>
    <t>Bundesland Universität</t>
  </si>
  <si>
    <t>0724 Bergbau und Gewinnung von Steinen und Erden</t>
  </si>
  <si>
    <t>0532 Geowissenschaften</t>
  </si>
  <si>
    <t>0521 Umweltwissenschaften</t>
  </si>
  <si>
    <t>0314 Soziologie und Kulturwissenschaften</t>
  </si>
  <si>
    <t>Slicer Item</t>
  </si>
  <si>
    <t>&lt;-- default Slicer Member Format</t>
  </si>
  <si>
    <t>Default Row Member Format --&gt;</t>
  </si>
  <si>
    <t>Grid/Table Name</t>
  </si>
  <si>
    <t>[Measures]</t>
  </si>
  <si>
    <t>ISCED2013 3.Ebene (Code, Langtext)</t>
  </si>
  <si>
    <t>(Members of Universität (Codex)) - (~)</t>
  </si>
  <si>
    <t>0917 Traditionelle und alternative Heilmethoden und Therapien</t>
  </si>
  <si>
    <t>0821 Forstwirtschaft</t>
  </si>
  <si>
    <t>0713 Elektrizität und Energie</t>
  </si>
  <si>
    <t>0588 Int. Pr. mit Schwerpunkt Naturwiss., Mathematik und Statistik</t>
  </si>
  <si>
    <t>0488 Int. Pr. mit Schwerpunkt Wirtschaft, Verwaltung und Recht</t>
  </si>
  <si>
    <t>&lt;-- writeable Slicer Member Format</t>
  </si>
  <si>
    <t>Slice Format 1</t>
  </si>
  <si>
    <t>&lt;-- Gesamtzeile</t>
  </si>
  <si>
    <t>3) Formatierung der Gesamtspalte und -zeile (siehe E25:E26)</t>
  </si>
  <si>
    <t>(ohne Erweiterungsstudien; bei kombinationspflichtigen Studien bis STJ 2015/16 nur Erstfach gezählt)</t>
  </si>
  <si>
    <t>Studienfach (Fachcode)</t>
  </si>
  <si>
    <t>Frauen-/Männeranteil in %</t>
  </si>
  <si>
    <t>0612 Datenbanken, Netzwerkdesign und -administration</t>
  </si>
  <si>
    <t>0511 Biologie</t>
  </si>
  <si>
    <t>0312 Politikwissenschaft und politische Bildung</t>
  </si>
  <si>
    <t>0288 Interdisz. Programme mit Schwerpunkt Geisteswiss. und Künste</t>
  </si>
  <si>
    <t>Slicer Button</t>
  </si>
  <si>
    <t>+2009</t>
  </si>
  <si>
    <t>&lt;-- default alternate row cell format</t>
  </si>
  <si>
    <t>&lt;--  written cell format</t>
  </si>
  <si>
    <t>Studienart</t>
  </si>
  <si>
    <t>0788 Int. Pr. mit Schwerpunkt Ingenieurw., verarb. Gew. u. Baugewerbe</t>
  </si>
  <si>
    <t>0619 Informatik und Kommunikationstechnologie nicht andernorts klass.</t>
  </si>
  <si>
    <t>0541 Mathematik</t>
  </si>
  <si>
    <t>0231 Spracherwerb</t>
  </si>
  <si>
    <t>0213 Bildende Kunst</t>
  </si>
  <si>
    <t>Display Formats For:</t>
  </si>
  <si>
    <t>Enabled?</t>
  </si>
  <si>
    <t>&lt;-- Gesamtspalte</t>
  </si>
  <si>
    <t>Datenprüfung und -aufbereitung: bmfwf, Abt. I/10</t>
  </si>
  <si>
    <t>Universität-Ausrichtung</t>
  </si>
  <si>
    <t>ISCED2013 2.Ebene (Code, Langtext)</t>
  </si>
  <si>
    <t>1088 Interdisziplinäre Programme mit Schwerpunkt Dienstleistungen</t>
  </si>
  <si>
    <t>0531 Chemie</t>
  </si>
  <si>
    <t>0232 Literatur und Linguistik</t>
  </si>
  <si>
    <t>0221 Religion und Theologie</t>
  </si>
  <si>
    <t>0214 Kunsthandwerk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</si>
  <si>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</si>
  <si>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</si>
  <si>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</si>
  <si>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</si>
  <si>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</si>
  <si>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</si>
  <si>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</si>
  <si>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Universität (Codex)</t>
  </si>
  <si>
    <t>0912 Humanmedizin</t>
  </si>
  <si>
    <t>0522 Natürliche Lebensräume und Wildtiere</t>
  </si>
  <si>
    <t>0421 Recht</t>
  </si>
  <si>
    <t>0223 Philosophie und Ethik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</si>
  <si>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</si>
  <si>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</si>
  <si>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</si>
  <si>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</si>
  <si>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0888 Int.Pr. m. Schwerp. Landw., Forstw., Fischerei u. Tiermedizin</t>
  </si>
  <si>
    <t>0812 Gartenbau</t>
  </si>
  <si>
    <t>0711 Chemie und Verfahrenstechnik</t>
  </si>
  <si>
    <t>0321 Journalismus und Berichterstattung</t>
  </si>
  <si>
    <t>0211 Audiovisuelle Techniken und Medienproduktion</t>
  </si>
  <si>
    <t>Writeable Member</t>
  </si>
  <si>
    <t>ISCED2013 1.Ebene (Code, Langtext)</t>
  </si>
  <si>
    <t>0212 Mode, Innenarchitektur und industrielles Design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</si>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</sst>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262626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rgb="FF595959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3" fontId="4" fillId="0" borderId="0" xfId="0" applyNumberFormat="1" applyFont="1" applyFill="1" applyBorder="1"/>
    <xf numFmtId="0" fontId="5" fillId="0" borderId="0" xfId="0" applyFont="1"/>
    <xf numFmtId="0" fontId="0" fillId="0" borderId="0" xfId="0" applyFill="1" applyAlignment="1"/>
    <xf numFmtId="0" fontId="6" fillId="0" borderId="0" xfId="0" applyFont="1"/>
    <xf numFmtId="0" fontId="7" fillId="0" borderId="1" xfId="0" quotePrefix="1" applyFont="1" applyFill="1" applyBorder="1" applyAlignment="1" applyProtection="1">
      <alignment horizontal="center"/>
    </xf>
    <xf numFmtId="0" fontId="3" fillId="0" borderId="0" xfId="0" applyFont="1" applyFill="1" applyAlignment="1"/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top"/>
    </xf>
    <xf numFmtId="0" fontId="10" fillId="2" borderId="0" xfId="1" applyFont="1" applyFill="1" applyBorder="1" applyAlignment="1">
      <alignment horizontal="center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7" fillId="0" borderId="1" xfId="0" applyFont="1" applyFill="1" applyBorder="1" applyAlignment="1" applyProtection="1">
      <alignment horizontal="right"/>
    </xf>
    <xf numFmtId="0" fontId="11" fillId="0" borderId="0" xfId="0" applyFont="1"/>
    <xf numFmtId="0" fontId="12" fillId="0" borderId="0" xfId="0" applyNumberFormat="1" applyFont="1" applyAlignment="1"/>
    <xf numFmtId="0" fontId="13" fillId="0" borderId="0" xfId="1" applyFont="1"/>
    <xf numFmtId="0" fontId="14" fillId="3" borderId="0" xfId="0" applyFont="1" applyFill="1" applyAlignme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3" fontId="7" fillId="0" borderId="1" xfId="0" applyNumberFormat="1" applyFont="1" applyFill="1" applyBorder="1" applyAlignment="1" applyProtection="1">
      <alignment horizontal="right"/>
    </xf>
    <xf numFmtId="164" fontId="7" fillId="4" borderId="1" xfId="0" quotePrefix="1" applyNumberFormat="1" applyFont="1" applyFill="1" applyBorder="1" applyAlignment="1" applyProtection="1">
      <alignment horizontal="center"/>
    </xf>
    <xf numFmtId="164" fontId="7" fillId="4" borderId="1" xfId="0" applyNumberFormat="1" applyFont="1" applyFill="1" applyBorder="1" applyAlignment="1" applyProtection="1">
      <alignment horizontal="right"/>
    </xf>
    <xf numFmtId="0" fontId="15" fillId="5" borderId="2" xfId="0" quotePrefix="1" applyFont="1" applyFill="1" applyBorder="1" applyAlignment="1" applyProtection="1"/>
    <xf numFmtId="0" fontId="13" fillId="3" borderId="0" xfId="1" applyFont="1" applyFill="1"/>
    <xf numFmtId="0" fontId="7" fillId="0" borderId="3" xfId="0" applyFont="1" applyBorder="1" applyAlignment="1" applyProtection="1">
      <alignment horizontal="right"/>
    </xf>
    <xf numFmtId="0" fontId="12" fillId="0" borderId="0" xfId="0" applyFont="1"/>
    <xf numFmtId="0" fontId="16" fillId="0" borderId="0" xfId="0" applyFont="1"/>
    <xf numFmtId="0" fontId="10" fillId="2" borderId="4" xfId="1" applyFont="1" applyFill="1" applyBorder="1" applyAlignment="1">
      <alignment horizontal="center"/>
    </xf>
    <xf numFmtId="3" fontId="5" fillId="0" borderId="0" xfId="0" applyNumberFormat="1" applyFont="1" applyFill="1" applyAlignment="1"/>
    <xf numFmtId="3" fontId="12" fillId="0" borderId="0" xfId="0" applyNumberFormat="1" applyFont="1" applyAlignment="1"/>
    <xf numFmtId="0" fontId="3" fillId="0" borderId="0" xfId="0" quotePrefix="1" applyFont="1" applyFill="1" applyAlignment="1">
      <alignment horizontal="left" vertical="top"/>
    </xf>
    <xf numFmtId="0" fontId="16" fillId="0" borderId="5" xfId="0" quotePrefix="1" applyFont="1" applyFill="1" applyBorder="1" applyAlignment="1">
      <alignment horizontal="right"/>
    </xf>
    <xf numFmtId="0" fontId="3" fillId="0" borderId="0" xfId="0" quotePrefix="1" applyFont="1" applyFill="1" applyAlignment="1"/>
    <xf numFmtId="0" fontId="7" fillId="6" borderId="6" xfId="0" applyFont="1" applyFill="1" applyBorder="1" applyAlignment="1" applyProtection="1">
      <alignment vertical="center"/>
    </xf>
    <xf numFmtId="0" fontId="7" fillId="0" borderId="1" xfId="0" quotePrefix="1" applyFont="1" applyBorder="1" applyAlignment="1" applyProtection="1"/>
    <xf numFmtId="0" fontId="3" fillId="0" borderId="0" xfId="0" applyFont="1" applyFill="1" applyAlignment="1">
      <alignment horizontal="left" vertical="top" wrapText="1"/>
    </xf>
    <xf numFmtId="3" fontId="16" fillId="0" borderId="5" xfId="0" applyNumberFormat="1" applyFont="1" applyFill="1" applyBorder="1" applyAlignment="1"/>
    <xf numFmtId="0" fontId="6" fillId="0" borderId="0" xfId="0" applyFont="1" applyAlignment="1">
      <alignment horizontal="center"/>
    </xf>
    <xf numFmtId="0" fontId="16" fillId="0" borderId="5" xfId="0" applyFont="1" applyFill="1" applyBorder="1" applyAlignment="1">
      <alignment vertical="center"/>
    </xf>
    <xf numFmtId="164" fontId="7" fillId="7" borderId="3" xfId="0" applyNumberFormat="1" applyFont="1" applyFill="1" applyBorder="1" applyAlignment="1" applyProtection="1">
      <alignment horizontal="center"/>
    </xf>
    <xf numFmtId="0" fontId="17" fillId="0" borderId="0" xfId="0" applyFont="1"/>
    <xf numFmtId="0" fontId="5" fillId="0" borderId="0" xfId="0" applyFont="1" applyFill="1" applyBorder="1" applyAlignment="1">
      <alignment vertical="center"/>
    </xf>
    <xf numFmtId="0" fontId="12" fillId="0" borderId="0" xfId="0" applyNumberFormat="1" applyFont="1"/>
    <xf numFmtId="0" fontId="18" fillId="0" borderId="0" xfId="0" applyFont="1" applyFill="1" applyAlignment="1"/>
    <xf numFmtId="0" fontId="7" fillId="8" borderId="7" xfId="0" applyFont="1" applyFill="1" applyBorder="1" applyAlignment="1" applyProtection="1">
      <alignment horizontal="right"/>
    </xf>
    <xf numFmtId="0" fontId="7" fillId="8" borderId="3" xfId="0" applyFont="1" applyFill="1" applyBorder="1" applyAlignment="1" applyProtection="1">
      <alignment horizontal="right"/>
    </xf>
    <xf numFmtId="0" fontId="19" fillId="0" borderId="0" xfId="0" applyFont="1" applyFill="1" applyAlignment="1"/>
    <xf numFmtId="3" fontId="7" fillId="9" borderId="1" xfId="0" applyNumberFormat="1" applyFont="1" applyFill="1" applyBorder="1" applyAlignment="1" applyProtection="1">
      <alignment horizontal="right"/>
    </xf>
    <xf numFmtId="0" fontId="16" fillId="0" borderId="5" xfId="0" quotePrefix="1" applyFont="1" applyFill="1" applyBorder="1" applyAlignment="1"/>
    <xf numFmtId="0" fontId="7" fillId="0" borderId="3" xfId="0" applyFont="1" applyBorder="1" applyAlignment="1" applyProtection="1">
      <alignment horizontal="center"/>
    </xf>
    <xf numFmtId="164" fontId="7" fillId="7" borderId="3" xfId="0" applyNumberFormat="1" applyFont="1" applyFill="1" applyBorder="1" applyAlignment="1" applyProtection="1">
      <alignment horizontal="right"/>
    </xf>
    <xf numFmtId="0" fontId="12" fillId="0" borderId="0" xfId="0" quotePrefix="1" applyFont="1" applyFill="1"/>
    <xf numFmtId="0" fontId="7" fillId="6" borderId="1" xfId="0" applyFont="1" applyFill="1" applyBorder="1" applyAlignment="1" applyProtection="1">
      <alignment vertical="center"/>
    </xf>
    <xf numFmtId="0" fontId="7" fillId="9" borderId="1" xfId="0" applyFont="1" applyFill="1" applyBorder="1" applyAlignment="1" applyProtection="1">
      <alignment horizontal="right"/>
    </xf>
    <xf numFmtId="0" fontId="3" fillId="0" borderId="0" xfId="0" quotePrefix="1" applyFont="1" applyFill="1" applyAlignment="1">
      <alignment vertical="top"/>
    </xf>
    <xf numFmtId="2" fontId="12" fillId="0" borderId="0" xfId="0" applyNumberFormat="1" applyFont="1"/>
    <xf numFmtId="0" fontId="13" fillId="10" borderId="0" xfId="1" applyFont="1" applyFill="1"/>
    <xf numFmtId="0" fontId="7" fillId="0" borderId="1" xfId="0" applyFont="1" applyFill="1" applyBorder="1" applyAlignment="1" applyProtection="1">
      <alignment vertical="center"/>
    </xf>
    <xf numFmtId="0" fontId="0" fillId="0" borderId="0" xfId="0" applyFont="1" applyFill="1" applyAlignment="1"/>
    <xf numFmtId="3" fontId="12" fillId="11" borderId="0" xfId="0" applyNumberFormat="1" applyFont="1" applyFill="1" applyAlignment="1"/>
    <xf numFmtId="0" fontId="12" fillId="0" borderId="0" xfId="0" quotePrefix="1" applyFont="1"/>
    <xf numFmtId="0" fontId="18" fillId="0" borderId="0" xfId="0" applyFont="1"/>
    <xf numFmtId="0" fontId="12" fillId="0" borderId="0" xfId="0" applyFont="1" applyFill="1" applyBorder="1" applyAlignment="1">
      <alignment vertical="center"/>
    </xf>
    <xf numFmtId="3" fontId="12" fillId="12" borderId="0" xfId="0" applyNumberFormat="1" applyFont="1" applyFill="1" applyAlignment="1"/>
    <xf numFmtId="0" fontId="20" fillId="0" borderId="0" xfId="0" applyFont="1"/>
    <xf numFmtId="0" fontId="0" fillId="0" borderId="0" xfId="0" applyFont="1"/>
    <xf numFmtId="0" fontId="12" fillId="10" borderId="0" xfId="0" applyFont="1" applyFill="1"/>
    <xf numFmtId="0" fontId="12" fillId="10" borderId="0" xfId="0" applyNumberFormat="1" applyFont="1" applyFill="1" applyAlignment="1"/>
    <xf numFmtId="3" fontId="12" fillId="10" borderId="0" xfId="0" applyNumberFormat="1" applyFont="1" applyFill="1" applyAlignment="1"/>
    <xf numFmtId="165" fontId="12" fillId="0" borderId="0" xfId="0" applyNumberFormat="1" applyFont="1"/>
    <xf numFmtId="0" fontId="12" fillId="0" borderId="0" xfId="0" applyNumberFormat="1" applyFont="1" applyFill="1" applyBorder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4760565</xdr:colOff>
      <xdr:row>8</xdr:row>
      <xdr:rowOff>0</xdr:rowOff>
    </xdr:from>
    <xdr:to>
      <xdr:col>5</xdr:col>
      <xdr:colOff>281181</xdr:colOff>
      <xdr:row>9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0565" y="153987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4760565</xdr:colOff>
      <xdr:row>8</xdr:row>
      <xdr:rowOff>189865</xdr:rowOff>
    </xdr:from>
    <xdr:to>
      <xdr:col>5</xdr:col>
      <xdr:colOff>281181</xdr:colOff>
      <xdr:row>9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0565" y="172974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4760565</xdr:colOff>
      <xdr:row>12</xdr:row>
      <xdr:rowOff>0</xdr:rowOff>
    </xdr:from>
    <xdr:to>
      <xdr:col>5</xdr:col>
      <xdr:colOff>281181</xdr:colOff>
      <xdr:row>13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0565" y="229933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4760565</xdr:colOff>
      <xdr:row>13</xdr:row>
      <xdr:rowOff>0</xdr:rowOff>
    </xdr:from>
    <xdr:to>
      <xdr:col>5</xdr:col>
      <xdr:colOff>281181</xdr:colOff>
      <xdr:row>14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0565" y="248920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4760565</xdr:colOff>
      <xdr:row>13</xdr:row>
      <xdr:rowOff>189865</xdr:rowOff>
    </xdr:from>
    <xdr:to>
      <xdr:col>5</xdr:col>
      <xdr:colOff>281181</xdr:colOff>
      <xdr:row>15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0565" y="267906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4760565</xdr:colOff>
      <xdr:row>14</xdr:row>
      <xdr:rowOff>189865</xdr:rowOff>
    </xdr:from>
    <xdr:to>
      <xdr:col>5</xdr:col>
      <xdr:colOff>281181</xdr:colOff>
      <xdr:row>16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0565" y="286893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4760565</xdr:colOff>
      <xdr:row>9</xdr:row>
      <xdr:rowOff>189865</xdr:rowOff>
    </xdr:from>
    <xdr:to>
      <xdr:col>5</xdr:col>
      <xdr:colOff>281181</xdr:colOff>
      <xdr:row>11</xdr:row>
      <xdr:rowOff>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0565" y="191960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4760565</xdr:colOff>
      <xdr:row>11</xdr:row>
      <xdr:rowOff>0</xdr:rowOff>
    </xdr:from>
    <xdr:to>
      <xdr:col>5</xdr:col>
      <xdr:colOff>281181</xdr:colOff>
      <xdr:row>11</xdr:row>
      <xdr:rowOff>189865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0565" y="210947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9"/>
  <sheetViews>
    <sheetView tabSelected="1" workbookViewId="0"/>
  </sheetViews>
  <sheetFormatPr defaultColWidth="11.28515625" defaultRowHeight="14.95"/>
  <cols>
    <col min="1" max="1" width="65.28515625" style="67" customWidth="1"/>
    <col min="2" max="10" width="11.71093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9" t="s">
        <v>22</v>
      </c>
      <c s="9"/>
      <c s="9"/>
      <c s="9"/>
      <c s="9"/>
      <c s="5"/>
    </row>
    <row s="63" customFormat="1">
      <c s="10" t="s">
        <v>37</v>
      </c>
      <c s="10"/>
      <c s="10"/>
      <c s="10"/>
      <c s="10"/>
      <c s="45"/>
    </row>
    <row ht="15" customHeight="1" s="63" customFormat="1">
      <c s="32" t="s">
        <v>95</v>
      </c>
      <c s="12"/>
      <c s="12"/>
      <c s="12"/>
      <c s="12"/>
      <c s="48"/>
    </row>
    <row s="63" customFormat="1">
      <c s="2" t="s">
        <v>152</v>
      </c>
      <c s="2"/>
      <c s="2"/>
      <c s="2"/>
      <c s="2"/>
      <c s="2"/>
      <c s="2"/>
      <c s="2"/>
      <c s="2"/>
    </row>
    <row s="63" customFormat="1">
      <c s="2" t="s">
        <v>50</v>
      </c>
      <c s="2"/>
      <c s="2"/>
      <c s="2"/>
      <c s="2"/>
      <c s="2"/>
      <c s="2"/>
      <c s="2"/>
      <c s="37"/>
    </row>
    <row ht="15" customHeight="1">
      <c s="34" t="s">
        <v>138</v>
      </c>
      <c s="8"/>
      <c s="8"/>
      <c s="8"/>
      <c s="8"/>
      <c s="8"/>
    </row>
    <row>
      <c s="56" t="s">
        <v>115</v>
      </c>
      <c s="13"/>
      <c s="13"/>
      <c s="13"/>
      <c s="13"/>
      <c s="5"/>
    </row>
    <row ht="16.5" customHeight="1">
      <c s="60"/>
      <c s="5"/>
      <c s="5"/>
      <c s="5"/>
      <c s="5"/>
      <c s="5"/>
    </row>
    <row>
      <c s="24" t="s">
        <v>1</v>
      </c>
      <c s="36" t="s">
        <v>13</v>
      </c>
      <c r="F9" t="s">
        <v>38</v>
      </c>
    </row>
    <row>
      <c s="24" t="s">
        <v>0</v>
      </c>
      <c s="36" t="s">
        <v>30</v>
      </c>
      <c r="F10" t="s">
        <v>38</v>
      </c>
    </row>
    <row>
      <c s="24" t="s">
        <v>145</v>
      </c>
      <c s="36" t="s">
        <v>30</v>
      </c>
      <c r="F11" t="s">
        <v>38</v>
      </c>
    </row>
    <row>
      <c s="24" t="s">
        <v>117</v>
      </c>
      <c s="36" t="s">
        <v>30</v>
      </c>
      <c r="F12" t="s">
        <v>38</v>
      </c>
    </row>
    <row>
      <c s="24" t="s">
        <v>21</v>
      </c>
      <c s="36" t="s">
        <v>30</v>
      </c>
      <c r="F13" t="s">
        <v>38</v>
      </c>
    </row>
    <row>
      <c s="24" t="s">
        <v>106</v>
      </c>
      <c s="36" t="s">
        <v>30</v>
      </c>
      <c r="F14" t="s">
        <v>38</v>
      </c>
    </row>
    <row>
      <c s="24" t="s">
        <v>74</v>
      </c>
      <c s="36" t="s">
        <v>30</v>
      </c>
      <c r="F15" t="s">
        <v>38</v>
      </c>
    </row>
    <row>
      <c s="24" t="s">
        <v>116</v>
      </c>
      <c s="36" t="s">
        <v>30</v>
      </c>
      <c r="F16" t="s">
        <v>38</v>
      </c>
    </row>
    <row ht="15" hidden="1">
      <c s="24" t="s">
        <v>130</v>
      </c>
      <c s="36" t="s">
        <v>85</v>
      </c>
    </row>
    <row ht="15" hidden="1">
      <c s="24" t="s">
        <v>96</v>
      </c>
      <c s="36" t="s">
        <v>12</v>
      </c>
    </row>
    <row ht="15" hidden="1">
      <c s="24" t="s">
        <v>73</v>
      </c>
      <c s="36" t="s">
        <v>23</v>
      </c>
    </row>
    <row>
      <c/>
    </row>
    <row>
      <c/>
    </row>
    <row>
      <c/>
      <c s="7" t="s">
        <v>2</v>
      </c>
      <c s="7"/>
      <c s="7"/>
      <c s="7"/>
      <c s="7"/>
    </row>
    <row ht="15" customHeight="1">
      <c/>
      <c s="7" t="s">
        <v>14</v>
      </c>
      <c s="7"/>
      <c s="7"/>
      <c s="22" t="s">
        <v>97</v>
      </c>
      <c s="22"/>
    </row>
    <row>
      <c s="24" t="s">
        <v>84</v>
      </c>
      <c s="14" t="s">
        <v>5</v>
      </c>
      <c s="14" t="s">
        <v>56</v>
      </c>
      <c s="55" t="s">
        <v>30</v>
      </c>
      <c s="14" t="s">
        <v>5</v>
      </c>
      <c s="14" t="s">
        <v>56</v>
      </c>
    </row>
    <row>
      <c s="59" t="s">
        <v>34</v>
      </c>
      <c s="21">
        <v>5267</v>
      </c>
      <c s="21">
        <v>977</v>
      </c>
      <c s="49">
        <v>6244</v>
      </c>
      <c s="23">
        <v>0.84352978859705319</v>
      </c>
      <c s="23">
        <v>0.15647021140294684</v>
      </c>
    </row>
    <row>
      <c s="59" t="s">
        <v>55</v>
      </c>
      <c s="21">
        <v>14012.861649999986</v>
      </c>
      <c s="21">
        <v>7692.699450000001</v>
      </c>
      <c s="49">
        <v>21705.561099999999</v>
      </c>
      <c s="23">
        <v>0.64558854689086964</v>
      </c>
      <c s="23">
        <v>0.3544114531091298</v>
      </c>
    </row>
    <row>
      <c s="59" t="s">
        <v>17</v>
      </c>
      <c s="21">
        <v>13</v>
      </c>
      <c s="21">
        <v>7</v>
      </c>
      <c s="49">
        <v>20</v>
      </c>
      <c s="23">
        <v>0.65000000000000002</v>
      </c>
      <c s="23">
        <v>0.34999999999999998</v>
      </c>
    </row>
    <row>
      <c s="59" t="s">
        <v>143</v>
      </c>
      <c s="21">
        <v>410</v>
      </c>
      <c s="21">
        <v>338</v>
      </c>
      <c s="49">
        <v>748</v>
      </c>
      <c s="23">
        <v>0.54812834224598928</v>
      </c>
      <c s="23">
        <v>0.45187165775401067</v>
      </c>
    </row>
    <row>
      <c s="59" t="s">
        <v>146</v>
      </c>
      <c s="21">
        <v>394</v>
      </c>
      <c s="21">
        <v>231</v>
      </c>
      <c s="49">
        <v>625</v>
      </c>
      <c s="23">
        <v>0.63039999999999996</v>
      </c>
      <c s="23">
        <v>0.36959999999999998</v>
      </c>
    </row>
    <row>
      <c s="59" t="s">
        <v>111</v>
      </c>
      <c s="21">
        <v>3494</v>
      </c>
      <c s="21">
        <v>1139</v>
      </c>
      <c s="49">
        <v>4633</v>
      </c>
      <c s="23">
        <v>0.7541549751780704</v>
      </c>
      <c s="23">
        <v>0.24584502482192963</v>
      </c>
    </row>
    <row>
      <c s="59" t="s">
        <v>122</v>
      </c>
      <c s="21"/>
      <c s="21">
        <v>1</v>
      </c>
      <c s="49">
        <v>1</v>
      </c>
      <c s="23"/>
      <c s="23">
        <v>1</v>
      </c>
    </row>
    <row>
      <c s="59" t="s">
        <v>68</v>
      </c>
      <c s="21">
        <v>3631</v>
      </c>
      <c s="21">
        <v>2625.0000000000005</v>
      </c>
      <c s="49">
        <v>6256.0000000000009</v>
      </c>
      <c s="23">
        <v>0.5804028132992326</v>
      </c>
      <c s="23">
        <v>0.41959718670076729</v>
      </c>
    </row>
    <row>
      <c s="59" t="s">
        <v>121</v>
      </c>
      <c s="21">
        <v>657</v>
      </c>
      <c s="21">
        <v>917</v>
      </c>
      <c s="49">
        <v>1574</v>
      </c>
      <c s="23">
        <v>0.41740787801778906</v>
      </c>
      <c s="23">
        <v>0.58259212198221089</v>
      </c>
    </row>
    <row>
      <c s="59" t="s">
        <v>16</v>
      </c>
      <c s="21">
        <v>3249</v>
      </c>
      <c s="21">
        <v>3082</v>
      </c>
      <c s="49">
        <v>6331</v>
      </c>
      <c s="23">
        <v>0.51318906965724209</v>
      </c>
      <c s="23">
        <v>0.48681093034275785</v>
      </c>
    </row>
    <row>
      <c s="59" t="s">
        <v>134</v>
      </c>
      <c s="21">
        <v>2533</v>
      </c>
      <c s="21">
        <v>2437</v>
      </c>
      <c s="49">
        <v>4970</v>
      </c>
      <c s="23">
        <v>0.50965794768611672</v>
      </c>
      <c s="23">
        <v>0.49034205231388328</v>
      </c>
    </row>
    <row>
      <c s="59" t="s">
        <v>110</v>
      </c>
      <c s="21">
        <v>8297</v>
      </c>
      <c s="21">
        <v>2643</v>
      </c>
      <c s="49">
        <v>10940</v>
      </c>
      <c s="23">
        <v>0.75840950639853744</v>
      </c>
      <c s="23">
        <v>0.24159049360146254</v>
      </c>
    </row>
    <row>
      <c s="59" t="s">
        <v>120</v>
      </c>
      <c s="21">
        <v>3881</v>
      </c>
      <c s="21">
        <v>1026</v>
      </c>
      <c s="49">
        <v>4907</v>
      </c>
      <c s="23">
        <v>0.79091094355003055</v>
      </c>
      <c s="23">
        <v>0.20908905644996942</v>
      </c>
    </row>
    <row>
      <c s="59" t="s">
        <v>101</v>
      </c>
      <c s="21">
        <v>1605.9999999999995</v>
      </c>
      <c s="21">
        <v>783</v>
      </c>
      <c s="49">
        <v>2389</v>
      </c>
      <c s="23">
        <v>0.67224780242779392</v>
      </c>
      <c s="23">
        <v>0.32775219757220592</v>
      </c>
    </row>
    <row>
      <c s="59" t="s">
        <v>33</v>
      </c>
      <c s="21">
        <v>1727</v>
      </c>
      <c s="21">
        <v>2573</v>
      </c>
      <c s="49">
        <v>4300</v>
      </c>
      <c s="23">
        <v>0.40162790697674416</v>
      </c>
      <c s="23">
        <v>0.59837209302325578</v>
      </c>
    </row>
    <row>
      <c s="59" t="s">
        <v>100</v>
      </c>
      <c s="21">
        <v>3074</v>
      </c>
      <c s="21">
        <v>2552</v>
      </c>
      <c s="49">
        <v>5626</v>
      </c>
      <c s="23">
        <v>0.54639175257731953</v>
      </c>
      <c s="23">
        <v>0.45360824742268041</v>
      </c>
    </row>
    <row>
      <c s="59" t="s">
        <v>27</v>
      </c>
      <c s="21">
        <v>6585</v>
      </c>
      <c s="21">
        <v>2956</v>
      </c>
      <c s="49">
        <v>9541</v>
      </c>
      <c s="23">
        <v>0.69017922649617436</v>
      </c>
      <c s="23">
        <v>0.30982077350382559</v>
      </c>
    </row>
    <row>
      <c s="59" t="s">
        <v>78</v>
      </c>
      <c s="21">
        <v>5147</v>
      </c>
      <c s="21">
        <v>1953</v>
      </c>
      <c s="49">
        <v>7100</v>
      </c>
      <c s="23">
        <v>0.7249295774647887</v>
      </c>
      <c s="23">
        <v>0.27507042253521125</v>
      </c>
    </row>
    <row>
      <c s="59" t="s">
        <v>142</v>
      </c>
      <c s="21">
        <v>4022</v>
      </c>
      <c s="21">
        <v>1157</v>
      </c>
      <c s="49">
        <v>5179</v>
      </c>
      <c s="23">
        <v>0.77659779880285773</v>
      </c>
      <c s="23">
        <v>0.2234022011971423</v>
      </c>
    </row>
    <row>
      <c s="59" t="s">
        <v>26</v>
      </c>
      <c s="21">
        <v>811</v>
      </c>
      <c s="21">
        <v>529</v>
      </c>
      <c s="49">
        <v>1340</v>
      </c>
      <c s="23">
        <v>0.60522388059701493</v>
      </c>
      <c s="23">
        <v>0.39477611940298507</v>
      </c>
    </row>
    <row>
      <c s="59" t="s">
        <v>15</v>
      </c>
      <c s="21">
        <v>5234</v>
      </c>
      <c s="21">
        <v>6978</v>
      </c>
      <c s="49">
        <v>12212</v>
      </c>
      <c s="23">
        <v>0.42859482476252864</v>
      </c>
      <c s="23">
        <v>0.57140517523747136</v>
      </c>
    </row>
    <row>
      <c s="59" t="s">
        <v>67</v>
      </c>
      <c s="21">
        <v>405</v>
      </c>
      <c s="21">
        <v>430</v>
      </c>
      <c s="49">
        <v>835</v>
      </c>
      <c s="23">
        <v>0.48502994011976047</v>
      </c>
      <c s="23">
        <v>0.51497005988023947</v>
      </c>
    </row>
    <row>
      <c s="59" t="s">
        <v>62</v>
      </c>
      <c s="21">
        <v>336</v>
      </c>
      <c s="21">
        <v>696</v>
      </c>
      <c s="49">
        <v>1032</v>
      </c>
      <c s="23">
        <v>0.32558139534883723</v>
      </c>
      <c s="23">
        <v>0.67441860465116277</v>
      </c>
    </row>
    <row>
      <c s="59" t="s">
        <v>66</v>
      </c>
      <c s="21">
        <v>4085</v>
      </c>
      <c s="21">
        <v>3888</v>
      </c>
      <c s="49">
        <v>7973</v>
      </c>
      <c s="23">
        <v>0.51235419540950711</v>
      </c>
      <c s="23">
        <v>0.48764580459049289</v>
      </c>
    </row>
    <row>
      <c s="59" t="s">
        <v>43</v>
      </c>
      <c s="21">
        <v>198</v>
      </c>
      <c s="21">
        <v>103</v>
      </c>
      <c s="49">
        <v>301</v>
      </c>
      <c s="23">
        <v>0.65780730897009965</v>
      </c>
      <c s="23">
        <v>0.34219269102990035</v>
      </c>
    </row>
    <row>
      <c s="59" t="s">
        <v>133</v>
      </c>
      <c s="21">
        <v>17236</v>
      </c>
      <c s="21">
        <v>11895</v>
      </c>
      <c s="49">
        <v>29131</v>
      </c>
      <c s="23">
        <v>0.5916721018845903</v>
      </c>
      <c s="23">
        <v>0.4083278981154097</v>
      </c>
    </row>
    <row>
      <c s="59" t="s">
        <v>90</v>
      </c>
      <c s="21">
        <v>5537</v>
      </c>
      <c s="21">
        <v>4472</v>
      </c>
      <c s="49">
        <v>10009</v>
      </c>
      <c s="23">
        <v>0.55320211809371567</v>
      </c>
      <c s="23">
        <v>0.44679788190628433</v>
      </c>
    </row>
    <row>
      <c s="59" t="s">
        <v>99</v>
      </c>
      <c s="21">
        <v>6966</v>
      </c>
      <c s="21">
        <v>3307</v>
      </c>
      <c s="49">
        <v>10273</v>
      </c>
      <c s="23">
        <v>0.67808819234887574</v>
      </c>
      <c s="23">
        <v>0.32191180765112432</v>
      </c>
    </row>
    <row>
      <c s="59" t="s">
        <v>65</v>
      </c>
      <c s="21">
        <v>1877</v>
      </c>
      <c s="21">
        <v>560</v>
      </c>
      <c s="49">
        <v>2437</v>
      </c>
      <c s="23">
        <v>0.77020927369716863</v>
      </c>
      <c s="23">
        <v>0.22979072630283134</v>
      </c>
    </row>
    <row>
      <c s="59" t="s">
        <v>77</v>
      </c>
      <c s="21">
        <v>784</v>
      </c>
      <c s="21">
        <v>616</v>
      </c>
      <c s="49">
        <v>1400</v>
      </c>
      <c s="23">
        <v>0.56000000000000005</v>
      </c>
      <c s="23">
        <v>0.44</v>
      </c>
    </row>
    <row>
      <c s="59" t="s">
        <v>132</v>
      </c>
      <c s="21">
        <v>1216.0000000000002</v>
      </c>
      <c s="21">
        <v>880.00000000000023</v>
      </c>
      <c s="49">
        <v>2095.9999999999986</v>
      </c>
      <c s="23">
        <v>0.58015267175572571</v>
      </c>
      <c s="23">
        <v>0.41984732824427518</v>
      </c>
    </row>
    <row>
      <c s="59" t="s">
        <v>119</v>
      </c>
      <c s="21">
        <v>1413.0000000000002</v>
      </c>
      <c s="21">
        <v>1479.0000000000005</v>
      </c>
      <c s="49">
        <v>2892</v>
      </c>
      <c s="23">
        <v>0.48858921161825736</v>
      </c>
      <c s="23">
        <v>0.51141078838174292</v>
      </c>
    </row>
    <row>
      <c s="59" t="s">
        <v>76</v>
      </c>
      <c s="21">
        <v>1914</v>
      </c>
      <c s="21">
        <v>2464</v>
      </c>
      <c s="49">
        <v>4378</v>
      </c>
      <c s="23">
        <v>0.43718592964824121</v>
      </c>
      <c s="23">
        <v>0.56281407035175879</v>
      </c>
    </row>
    <row>
      <c s="59" t="s">
        <v>54</v>
      </c>
      <c s="21">
        <v>1759</v>
      </c>
      <c s="21">
        <v>4384</v>
      </c>
      <c s="49">
        <v>6143</v>
      </c>
      <c s="23">
        <v>0.28634217808888163</v>
      </c>
      <c s="23">
        <v>0.71365782191111837</v>
      </c>
    </row>
    <row>
      <c s="59" t="s">
        <v>109</v>
      </c>
      <c s="21">
        <v>1234</v>
      </c>
      <c s="21">
        <v>2485</v>
      </c>
      <c s="49">
        <v>3719</v>
      </c>
      <c s="23">
        <v>0.33180962624361388</v>
      </c>
      <c s="23">
        <v>0.66819037375638612</v>
      </c>
    </row>
    <row>
      <c s="59" t="s">
        <v>53</v>
      </c>
      <c s="21">
        <v>453</v>
      </c>
      <c s="21">
        <v>497</v>
      </c>
      <c s="49">
        <v>950</v>
      </c>
      <c s="23">
        <v>0.4768421052631579</v>
      </c>
      <c s="23">
        <v>0.52315789473684216</v>
      </c>
    </row>
    <row>
      <c s="59" t="s">
        <v>89</v>
      </c>
      <c s="21">
        <v>2000</v>
      </c>
      <c s="21">
        <v>1904</v>
      </c>
      <c s="49">
        <v>3904</v>
      </c>
      <c s="23">
        <v>0.51229508196721307</v>
      </c>
      <c s="23">
        <v>0.48770491803278687</v>
      </c>
    </row>
    <row>
      <c s="59" t="s">
        <v>98</v>
      </c>
      <c s="21">
        <v>1555</v>
      </c>
      <c s="21">
        <v>5983</v>
      </c>
      <c s="49">
        <v>7538</v>
      </c>
      <c s="23">
        <v>0.2062881400902096</v>
      </c>
      <c s="23">
        <v>0.79371185990979043</v>
      </c>
    </row>
    <row>
      <c s="59" t="s">
        <v>52</v>
      </c>
      <c s="21">
        <v>125</v>
      </c>
      <c s="21">
        <v>910</v>
      </c>
      <c s="49">
        <v>1035</v>
      </c>
      <c s="23">
        <v>0.12077294685990338</v>
      </c>
      <c s="23">
        <v>0.87922705314009664</v>
      </c>
    </row>
    <row>
      <c s="59" t="s">
        <v>108</v>
      </c>
      <c s="21">
        <v>521</v>
      </c>
      <c s="21">
        <v>1847</v>
      </c>
      <c s="49">
        <v>2368</v>
      </c>
      <c s="23">
        <v>0.22001689189189189</v>
      </c>
      <c s="23">
        <v>0.77998310810810811</v>
      </c>
    </row>
    <row>
      <c s="59" t="s">
        <v>61</v>
      </c>
      <c s="21">
        <v>2360</v>
      </c>
      <c s="21">
        <v>7274</v>
      </c>
      <c s="49">
        <v>9634</v>
      </c>
      <c s="23">
        <v>0.2449657463151339</v>
      </c>
      <c s="23">
        <v>0.7550342536848661</v>
      </c>
    </row>
    <row>
      <c s="59" t="s">
        <v>141</v>
      </c>
      <c s="21">
        <v>1733</v>
      </c>
      <c s="21">
        <v>2393</v>
      </c>
      <c s="49">
        <v>4126</v>
      </c>
      <c s="23">
        <v>0.42001938923897236</v>
      </c>
      <c s="23">
        <v>0.57998061076102758</v>
      </c>
    </row>
    <row>
      <c s="59" t="s">
        <v>42</v>
      </c>
      <c s="21">
        <v>462</v>
      </c>
      <c s="21">
        <v>639</v>
      </c>
      <c s="49">
        <v>1101</v>
      </c>
      <c s="23">
        <v>0.4196185286103542</v>
      </c>
      <c s="23">
        <v>0.5803814713896458</v>
      </c>
    </row>
    <row>
      <c s="59" t="s">
        <v>88</v>
      </c>
      <c s="21">
        <v>431</v>
      </c>
      <c s="21">
        <v>2634</v>
      </c>
      <c s="49">
        <v>3065</v>
      </c>
      <c s="23">
        <v>0.14061990212071779</v>
      </c>
      <c s="23">
        <v>0.85938009787928227</v>
      </c>
    </row>
    <row>
      <c s="59" t="s">
        <v>25</v>
      </c>
      <c s="21">
        <v>222</v>
      </c>
      <c s="21">
        <v>1203</v>
      </c>
      <c s="49">
        <v>1425</v>
      </c>
      <c s="23">
        <v>0.15578947368421053</v>
      </c>
      <c s="23">
        <v>0.84421052631578952</v>
      </c>
    </row>
    <row>
      <c s="59" t="s">
        <v>24</v>
      </c>
      <c s="21">
        <v>912</v>
      </c>
      <c s="21">
        <v>5408</v>
      </c>
      <c s="49">
        <v>6320</v>
      </c>
      <c s="23">
        <v>0.14430379746835442</v>
      </c>
      <c s="23">
        <v>0.85569620253164558</v>
      </c>
    </row>
    <row>
      <c s="59" t="s">
        <v>60</v>
      </c>
      <c s="21">
        <v>149</v>
      </c>
      <c s="21">
        <v>87</v>
      </c>
      <c s="49">
        <v>236</v>
      </c>
      <c s="23">
        <v>0.63135593220338981</v>
      </c>
      <c s="23">
        <v>0.36864406779661019</v>
      </c>
    </row>
    <row>
      <c s="59" t="s">
        <v>4</v>
      </c>
      <c s="21">
        <v>42</v>
      </c>
      <c s="21">
        <v>147</v>
      </c>
      <c s="49">
        <v>189</v>
      </c>
      <c s="23">
        <v>0.22222222222222221</v>
      </c>
      <c s="23">
        <v>0.77777777777777779</v>
      </c>
    </row>
    <row>
      <c s="59" t="s">
        <v>75</v>
      </c>
      <c s="21">
        <v>198</v>
      </c>
      <c s="21">
        <v>535</v>
      </c>
      <c s="49">
        <v>733</v>
      </c>
      <c s="23">
        <v>0.27012278308321963</v>
      </c>
      <c s="23">
        <v>0.72987721691678031</v>
      </c>
    </row>
    <row>
      <c s="59" t="s">
        <v>59</v>
      </c>
      <c s="21">
        <v>6864</v>
      </c>
      <c s="21">
        <v>5304</v>
      </c>
      <c s="49">
        <v>12168</v>
      </c>
      <c s="23">
        <v>0.5641025641025641</v>
      </c>
      <c s="23">
        <v>0.4358974358974359</v>
      </c>
    </row>
    <row>
      <c s="59" t="s">
        <v>41</v>
      </c>
      <c s="21">
        <v>1481</v>
      </c>
      <c s="21">
        <v>3718</v>
      </c>
      <c s="49">
        <v>5199</v>
      </c>
      <c s="23">
        <v>0.28486247355260624</v>
      </c>
      <c s="23">
        <v>0.7151375264473937</v>
      </c>
    </row>
    <row>
      <c s="59" t="s">
        <v>107</v>
      </c>
      <c s="21">
        <v>1482</v>
      </c>
      <c s="21">
        <v>2699</v>
      </c>
      <c s="49">
        <v>4181</v>
      </c>
      <c s="23">
        <v>0.35446065534561111</v>
      </c>
      <c s="23">
        <v>0.64553934465438889</v>
      </c>
    </row>
    <row>
      <c s="59" t="s">
        <v>3</v>
      </c>
      <c s="21">
        <v>906</v>
      </c>
      <c s="21">
        <v>742</v>
      </c>
      <c s="49">
        <v>1648</v>
      </c>
      <c s="23">
        <v>0.54975728155339809</v>
      </c>
      <c s="23">
        <v>0.45024271844660196</v>
      </c>
    </row>
    <row>
      <c s="59" t="s">
        <v>140</v>
      </c>
      <c s="21">
        <v>25</v>
      </c>
      <c s="21">
        <v>21</v>
      </c>
      <c s="49">
        <v>46</v>
      </c>
      <c s="23">
        <v>0.54347826086956519</v>
      </c>
      <c s="23">
        <v>0.45652173913043476</v>
      </c>
    </row>
    <row>
      <c s="59" t="s">
        <v>87</v>
      </c>
      <c s="21">
        <v>268</v>
      </c>
      <c s="21">
        <v>565</v>
      </c>
      <c s="49">
        <v>833</v>
      </c>
      <c s="23">
        <v>0.32172869147659061</v>
      </c>
      <c s="23">
        <v>0.67827130852340933</v>
      </c>
    </row>
    <row>
      <c s="59" t="s">
        <v>32</v>
      </c>
      <c s="21">
        <v>1430</v>
      </c>
      <c s="21">
        <v>312</v>
      </c>
      <c s="49">
        <v>1742</v>
      </c>
      <c s="23">
        <v>0.82089552238805974</v>
      </c>
      <c s="23">
        <v>0.17910447761194029</v>
      </c>
    </row>
    <row>
      <c s="59" t="s">
        <v>139</v>
      </c>
      <c s="21">
        <v>15</v>
      </c>
      <c s="21">
        <v>14</v>
      </c>
      <c s="49">
        <v>29</v>
      </c>
      <c s="23">
        <v>0.51724137931034486</v>
      </c>
      <c s="23">
        <v>0.48275862068965519</v>
      </c>
    </row>
    <row>
      <c s="59" t="s">
        <v>51</v>
      </c>
      <c s="21">
        <v>711</v>
      </c>
      <c s="21">
        <v>432</v>
      </c>
      <c s="49">
        <v>1143</v>
      </c>
      <c s="23">
        <v>0.62204724409448819</v>
      </c>
      <c s="23">
        <v>0.37795275590551181</v>
      </c>
    </row>
    <row>
      <c s="59" t="s">
        <v>131</v>
      </c>
      <c s="21">
        <v>8667</v>
      </c>
      <c s="21">
        <v>6882.9999999999982</v>
      </c>
      <c s="49">
        <v>15550.000000000002</v>
      </c>
      <c s="23">
        <v>0.55736334405144683</v>
      </c>
      <c s="23">
        <v>0.44263665594855289</v>
      </c>
    </row>
    <row>
      <c s="59" t="s">
        <v>58</v>
      </c>
      <c s="21">
        <v>148</v>
      </c>
      <c s="21">
        <v>37</v>
      </c>
      <c s="49">
        <v>185</v>
      </c>
      <c s="23">
        <v>0.80000000000000004</v>
      </c>
      <c s="23">
        <v>0.20000000000000001</v>
      </c>
    </row>
    <row>
      <c s="59" t="s">
        <v>64</v>
      </c>
      <c s="21">
        <v>3600</v>
      </c>
      <c s="21">
        <v>1150</v>
      </c>
      <c s="49">
        <v>4750</v>
      </c>
      <c s="23">
        <v>0.75789473684210529</v>
      </c>
      <c s="23">
        <v>0.24210526315789474</v>
      </c>
    </row>
    <row>
      <c s="59" t="s">
        <v>86</v>
      </c>
      <c s="21">
        <v>15</v>
      </c>
      <c s="21">
        <v>2</v>
      </c>
      <c s="49">
        <v>17</v>
      </c>
      <c s="23">
        <v>0.88235294117647056</v>
      </c>
      <c s="23">
        <v>0.11764705882352941</v>
      </c>
    </row>
    <row>
      <c s="59" t="s">
        <v>63</v>
      </c>
      <c s="21">
        <v>42</v>
      </c>
      <c s="21">
        <v>11</v>
      </c>
      <c s="49">
        <v>53</v>
      </c>
      <c s="23">
        <v>0.79245283018867929</v>
      </c>
      <c s="23">
        <v>0.20754716981132076</v>
      </c>
    </row>
    <row>
      <c s="59" t="s">
        <v>40</v>
      </c>
      <c s="21">
        <v>1057</v>
      </c>
      <c s="21">
        <v>1045</v>
      </c>
      <c s="49">
        <v>2102</v>
      </c>
      <c s="23">
        <v>0.50285442435775451</v>
      </c>
      <c s="23">
        <v>0.49714557564224549</v>
      </c>
    </row>
    <row>
      <c s="59" t="s">
        <v>31</v>
      </c>
      <c s="21">
        <v>97</v>
      </c>
      <c s="21">
        <v>48</v>
      </c>
      <c s="49">
        <v>145</v>
      </c>
      <c s="23">
        <v>0.66896551724137931</v>
      </c>
      <c s="23">
        <v>0.33103448275862069</v>
      </c>
    </row>
    <row>
      <c s="59" t="s">
        <v>118</v>
      </c>
      <c s="21">
        <v>89</v>
      </c>
      <c s="21">
        <v>162</v>
      </c>
      <c s="49">
        <v>251</v>
      </c>
      <c s="23">
        <v>0.35458167330677293</v>
      </c>
      <c s="23">
        <v>0.64541832669322707</v>
      </c>
    </row>
    <row>
      <c s="59" t="s">
        <v>39</v>
      </c>
      <c s="21">
        <v>515</v>
      </c>
      <c s="21">
        <v>414</v>
      </c>
      <c s="49">
        <v>929</v>
      </c>
      <c s="23">
        <v>0.55435952637244346</v>
      </c>
      <c s="23">
        <v>0.44564047362755649</v>
      </c>
    </row>
    <row>
      <c s="59" t="s">
        <v>30</v>
      </c>
      <c s="21">
        <v>157579.86165000001</v>
      </c>
      <c s="21">
        <v>135275.69945000007</v>
      </c>
      <c s="49">
        <v>292855.56110000028</v>
      </c>
      <c s="23">
        <v>0.5380804826041593</v>
      </c>
      <c s="23">
        <v>0.46191951739584003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43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4:I4"/>
    <mergeCell ref="A5:H5"/>
    <mergeCell ref="B22:F22"/>
    <mergeCell ref="B23:D23"/>
    <mergeCell ref="E23:F23"/>
  </mergeCells>
  <pageMargins left="0.70866141732283472" right="0.70866141732283472" top="0.78740157480314965" bottom="0.78740157480314965" header="0.31496062992125984" footer="0.31496062992125984"/>
  <pageSetup paperSize="9" scale="82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2" sqref="E32"/>
    </sheetView>
  </sheetViews>
  <sheetFormatPr defaultColWidth="9.140625" defaultRowHeight="13.6"/>
  <cols>
    <col min="1" max="1" width="13.7109375" style="27" customWidth="1"/>
    <col min="2" max="2" width="40.85546875" style="27" customWidth="1"/>
    <col min="3" max="3" width="28.140625" style="27" customWidth="1"/>
    <col min="4" max="4" width="16.28515625" style="27" customWidth="1"/>
    <col min="5" max="5" width="19.28515625" style="27" customWidth="1"/>
    <col min="6" max="6" width="11.140625" style="27" customWidth="1"/>
    <col min="7" max="7" width="9.140625" style="27" customWidth="1"/>
    <col min="8" max="8" width="17.28515625" style="27" customWidth="1"/>
    <col min="9" max="9" width="19.7109375" style="27" customWidth="1"/>
    <col min="10" max="12" width="12.28515625" style="27" customWidth="1"/>
    <col min="13" max="13" width="16" style="27" customWidth="1"/>
    <col min="14" max="14" width="14.28515625" style="27" customWidth="1"/>
    <col min="15" max="15" width="18.28515625" style="27" customWidth="1"/>
    <col min="16" max="25" width="9.140625" style="27" customWidth="1"/>
    <col min="26" max="26" width="9.140625" style="27" hidden="1" customWidth="1"/>
    <col min="27" max="27" width="9.140625" style="27" customWidth="1"/>
    <col min="28" max="16384" width="9.140625" style="27"/>
  </cols>
  <sheetData>
    <row>
      <c s="44"/>
      <c r="H1" s="71">
        <v>129806172700000000</v>
      </c>
      <c r="Z1" s="57" t="b">
        <f>0=1</f>
        <v>0</v>
      </c>
    </row>
    <row>
      <c r="Z2" s="57" t="b">
        <f>1=1</f>
        <v>1</v>
      </c>
    </row>
    <row>
      <c r="Z3" s="57"/>
    </row>
    <row>
      <c r="I4" s="27" t="s">
        <v>57</v>
      </c>
      <c s="29" t="s">
        <v>112</v>
      </c>
      <c s="11"/>
      <c s="11"/>
      <c s="11"/>
      <c s="11"/>
      <c s="11"/>
    </row>
    <row>
      <c r="J5" s="25" t="s">
        <v>44</v>
      </c>
      <c s="17" t="s">
        <v>79</v>
      </c>
      <c s="17" t="s">
        <v>102</v>
      </c>
      <c s="25" t="s">
        <v>147</v>
      </c>
      <c s="58" t="s">
        <v>123</v>
      </c>
      <c s="17" t="s">
        <v>6</v>
      </c>
    </row>
    <row>
      <c r="B6" s="20" t="s">
        <v>124</v>
      </c>
      <c s="18" t="s">
        <v>135</v>
      </c>
      <c s="50" t="s">
        <v>18</v>
      </c>
      <c s="6" t="s">
        <v>80</v>
      </c>
    </row>
    <row>
      <c r="C7" s="15"/>
      <c s="28" t="s">
        <v>19</v>
      </c>
      <c s="6" t="s">
        <v>91</v>
      </c>
    </row>
    <row>
      <c r="C8" s="28" t="s">
        <v>7</v>
      </c>
      <c s="15"/>
    </row>
    <row>
      <c r="C9" s="15"/>
      <c s="18" t="s">
        <v>45</v>
      </c>
      <c s="42"/>
    </row>
    <row>
      <c r="C10" s="18" t="s">
        <v>69</v>
      </c>
      <c s="33" t="s">
        <v>103</v>
      </c>
      <c s="6" t="s">
        <v>28</v>
      </c>
    </row>
    <row>
      <c r="B11" s="20" t="s">
        <v>81</v>
      </c>
      <c s="40" t="s">
        <v>70</v>
      </c>
      <c s="38">
        <v>60398</v>
      </c>
      <c s="6" t="s">
        <v>46</v>
      </c>
    </row>
    <row>
      <c r="B12" s="20"/>
      <c s="64"/>
      <c s="72"/>
      <c s="39" t="s">
        <v>113</v>
      </c>
    </row>
    <row>
      <c r="B13" s="20" t="s">
        <v>71</v>
      </c>
      <c s="68" t="s">
        <v>35</v>
      </c>
      <c s="70">
        <v>1212</v>
      </c>
      <c s="27" t="b">
        <v>0</v>
      </c>
      <c s="6" t="s">
        <v>104</v>
      </c>
    </row>
    <row ht="12.75" hidden="1">
      <c r="B14" s="20"/>
      <c s="68"/>
      <c s="69"/>
      <c s="27" t="b">
        <v>0</v>
      </c>
    </row>
    <row>
      <c r="B15" s="20" t="s">
        <v>136</v>
      </c>
      <c s="27" t="s">
        <v>144</v>
      </c>
      <c s="31">
        <v>1212</v>
      </c>
      <c s="27" t="b">
        <v>0</v>
      </c>
      <c s="6" t="s">
        <v>36</v>
      </c>
    </row>
    <row ht="12.75" hidden="1">
      <c r="B16" s="20"/>
      <c r="D16" s="16"/>
      <c s="27" t="b">
        <v>0</v>
      </c>
      <c s="6"/>
    </row>
    <row>
      <c r="B17" s="20"/>
      <c s="27" t="s">
        <v>47</v>
      </c>
      <c s="65">
        <v>3434</v>
      </c>
      <c s="27" t="b">
        <v>0</v>
      </c>
      <c s="6" t="s">
        <v>105</v>
      </c>
    </row>
    <row>
      <c r="B18" s="20"/>
      <c r="D18" s="16"/>
      <c s="27" t="b">
        <v>0</v>
      </c>
      <c s="6"/>
    </row>
    <row>
      <c r="B19" s="20"/>
      <c s="27" t="s">
        <v>8</v>
      </c>
      <c s="61">
        <v>3434</v>
      </c>
      <c s="27" t="b">
        <v>0</v>
      </c>
      <c s="6" t="s">
        <v>125</v>
      </c>
    </row>
    <row>
      <c r="B20" s="20"/>
      <c r="D20" s="16"/>
      <c s="27" t="b">
        <v>0</v>
      </c>
      <c s="6"/>
    </row>
    <row>
      <c r="B21" s="20"/>
      <c s="27" t="s">
        <v>126</v>
      </c>
      <c s="30">
        <v>5656</v>
      </c>
      <c s="27" t="b">
        <v>0</v>
      </c>
      <c s="6" t="s">
        <v>148</v>
      </c>
    </row>
    <row>
      <c r="B22" s="20"/>
      <c r="E22" s="6"/>
      <c r="I22" s="66"/>
    </row>
    <row>
      <c r="B23" s="19" t="s">
        <v>9</v>
      </c>
      <c s="19"/>
    </row>
    <row>
      <c r="B24" s="4" t="s">
        <v>82</v>
      </c>
      <c s="4" t="s">
        <v>48</v>
      </c>
      <c s="4" t="s">
        <v>20</v>
      </c>
      <c s="4" t="s">
        <v>127</v>
      </c>
      <c s="4"/>
      <c s="4"/>
      <c s="4" t="s">
        <v>149</v>
      </c>
    </row>
    <row>
      <c s="27" t="s">
        <v>92</v>
      </c>
      <c r="C25" s="53" t="s">
        <v>83</v>
      </c>
      <c s="26" t="s">
        <v>2</v>
      </c>
      <c s="26">
        <v>1234.5599999999999</v>
      </c>
      <c s="6" t="s">
        <v>114</v>
      </c>
      <c r="H25" s="27" t="s">
        <v>128</v>
      </c>
    </row>
    <row>
      <c s="27" t="s">
        <v>137</v>
      </c>
      <c r="C26" s="53" t="s">
        <v>83</v>
      </c>
      <c s="26" t="s">
        <v>2</v>
      </c>
      <c s="26">
        <v>1234.5599999999999</v>
      </c>
      <c s="6" t="s">
        <v>93</v>
      </c>
      <c r="H26" s="27" t="s">
        <v>150</v>
      </c>
    </row>
    <row>
      <c r="C27" s="53" t="s">
        <v>83</v>
      </c>
      <c s="51" t="s">
        <v>2</v>
      </c>
      <c s="26">
        <v>1234.5599999999999</v>
      </c>
      <c r="H27" s="27" t="s">
        <v>94</v>
      </c>
    </row>
    <row>
      <c r="C28" s="62" t="s">
        <v>83</v>
      </c>
      <c s="51" t="s">
        <v>72</v>
      </c>
      <c s="26">
        <v>1234.5599999999999</v>
      </c>
      <c r="H28" s="27" t="s">
        <v>49</v>
      </c>
    </row>
    <row>
      <c r="C29" s="62" t="s">
        <v>83</v>
      </c>
      <c s="51" t="s">
        <v>29</v>
      </c>
      <c s="26">
        <v>1234.5599999999999</v>
      </c>
      <c r="H29" s="27" t="s">
        <v>151</v>
      </c>
    </row>
    <row>
      <c r="C30" s="62" t="s">
        <v>10</v>
      </c>
      <c s="51" t="s">
        <v>14</v>
      </c>
      <c s="26">
        <v>1234.5599999999999</v>
      </c>
    </row>
    <row>
      <c r="C31" s="62" t="s">
        <v>129</v>
      </c>
      <c s="47" t="s">
        <v>30</v>
      </c>
      <c s="46">
        <v>1234.5599999999999</v>
      </c>
    </row>
    <row>
      <c r="C32" s="62" t="s">
        <v>10</v>
      </c>
      <c s="41" t="s">
        <v>97</v>
      </c>
      <c s="52">
        <v>1234.5599999999999</v>
      </c>
    </row>
    <row>
      <c r="C33" s="62" t="s">
        <v>11</v>
      </c>
      <c s="35" t="s">
        <v>30</v>
      </c>
      <c s="5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
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Tab!$A$1:$V$45</definedName>
    <definedName name="_xlnm.Print_Titles" localSheetId="0">Tab!$A:$A</definedName>
    <definedName name="XL3DisableCameraObjects" hidden="1">XLCubedFormats!A1</definedName>
    <definedName name="XL3ObjLocation5476e601_45d9_4acb_baaa_125dd88d736e">Tab!$A$10</definedName>
  </definedNames>
  <calcPr calcId="40001"/>
</workbook>
</file>

<file path=xl/sharedStrings.xml><?xml version="1.0" encoding="utf-8"?>
<sst xmlns="http://schemas.openxmlformats.org/spreadsheetml/2006/main" uniqueCount="111">
  <si>
    <t>Universität</t>
  </si>
  <si>
    <t>Verwendung</t>
  </si>
  <si>
    <t>Wirtschaftsuniversität Wien</t>
  </si>
  <si>
    <t>Semester und Datenstichtag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</si>
  <si>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</si>
  <si>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</si>
  <si>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</si>
  <si>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</si>
  <si>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</si>
  <si>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</si>
  <si>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Verwendung 11 gemäß Z 3.6 der Anlage 9 UHSBV</t>
  </si>
  <si>
    <t>J</t>
  </si>
  <si>
    <t>Universität für Musik und darstellende Kunst Wien</t>
  </si>
  <si>
    <t>All Marital Status</t>
  </si>
  <si>
    <t>Male</t>
  </si>
  <si>
    <t>Member1 Name</t>
  </si>
  <si>
    <t>Absolutwert</t>
  </si>
  <si>
    <t>Datenaufbereitung: bmfwf, Abt. I/10</t>
  </si>
  <si>
    <t>Altersverteilung von ProfessorInnen nach Universitäten</t>
  </si>
  <si>
    <t>Beschäftigungsausmaß in Prozent</t>
  </si>
  <si>
    <t>Bis 40 Jahre</t>
  </si>
  <si>
    <t>66 - 68 Jahre</t>
  </si>
  <si>
    <t>Universität für angewandte Kunst Wien</t>
  </si>
  <si>
    <t>Universität Wien</t>
  </si>
  <si>
    <t>&lt;-- default Column Member Format</t>
  </si>
  <si>
    <t>Universitätsprofessor/in</t>
  </si>
  <si>
    <t>(Beschäftigungsverhältnisse ohne karenzierte und ausgeschiedene Personen)</t>
  </si>
  <si>
    <t>Gesamt</t>
  </si>
  <si>
    <t>Universität Mozarteum Salzburg</t>
  </si>
  <si>
    <t>Universität Klagenfurt</t>
  </si>
  <si>
    <t>Alternate Rows</t>
  </si>
  <si>
    <t>&lt;--  writeable cell format</t>
  </si>
  <si>
    <t>EU-Mitgliedsstaaten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</si>
  <si>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</si>
  <si>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</si>
  <si>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</si>
  <si>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</si>
  <si>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</si>
  <si>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</si>
  <si>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</si>
  <si>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Personal Universitäten</t>
  </si>
  <si>
    <t>Medizinische Universität Innsbruck</t>
  </si>
  <si>
    <t>Männer</t>
  </si>
  <si>
    <t>Slice Name (Optional)</t>
  </si>
  <si>
    <t>Measures</t>
  </si>
  <si>
    <t>69 Jahre und älter</t>
  </si>
  <si>
    <t>Veterinärmedizinische Universität Wien</t>
  </si>
  <si>
    <t>Montanuniversität Leoben</t>
  </si>
  <si>
    <t>[PU Person].[Geschlecht]</t>
  </si>
  <si>
    <t>41 - 50 Jahre</t>
  </si>
  <si>
    <t>61 - 65 Jahre</t>
  </si>
  <si>
    <t>Universität für Weiterbildung Krems</t>
  </si>
  <si>
    <t>Customer</t>
  </si>
  <si>
    <t>-All Customer</t>
  </si>
  <si>
    <t>Default Alternate Row Member Format --&gt;</t>
  </si>
  <si>
    <t>[PU Person].[Altersklasse ProfessorInnen]</t>
  </si>
  <si>
    <t>Hauptberuflich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</si>
  <si>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</si>
  <si>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</si>
  <si>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</si>
  <si>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</si>
  <si>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</si>
  <si>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</si>
  <si>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</si>
  <si>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</si>
  <si>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</si>
  <si>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</si>
  <si>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</si>
  <si>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</si>
  <si>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</si>
  <si>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</si>
  <si>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</si>
  <si>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</si>
  <si>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</si>
  <si>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</si>
  <si>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Beschäftigungsverhältnisse</t>
  </si>
  <si>
    <t>Akademie der bildenden Künste Wien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</si>
  <si>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</si>
  <si>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</si>
  <si>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</si>
  <si>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</si>
  <si>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</si>
  <si>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Universität-Ausrichtung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</si>
  <si>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</si>
  <si>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</si>
  <si>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</si>
  <si>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</si>
  <si>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</si>
  <si>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</si>
  <si>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</si>
  <si>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</si>
  <si>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(Members of Beschäftigungsausmaß in Prozent) - (0, Fehler, Keine Angabe, Unknown, Ausgeschieden)</t>
  </si>
  <si>
    <t>Altersklasse Professor/inn/en</t>
  </si>
  <si>
    <t>51 - 60 Jahre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</si>
  <si>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</si>
  <si>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</si>
  <si>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</si>
  <si>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</si>
  <si>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</si>
  <si>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</si>
  <si>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</si>
  <si>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Anmerkung zur Technischen Universität Wien: seit Wintersemester 2019 (Stichtag: 31.12.2019) - vorläufige Zahlen</t>
  </si>
  <si>
    <t>Technische Universität Wien</t>
  </si>
  <si>
    <t>Writeable Member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</si>
  <si>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</si>
  <si>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</si>
  <si>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</si>
  <si>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</si>
  <si>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</si>
  <si>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</si>
  <si>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Geschlecht</t>
  </si>
</sst>
</file>

<file path=xl/styles.xml><?xml version="1.0" encoding="utf-8"?>
<styleSheet xmlns="http://schemas.openxmlformats.org/spreadsheetml/2006/main">
  <numFmts count="1">
    <numFmt numFmtId="164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rgb="FF595959"/>
      <name val="Tahoma"/>
    </font>
    <font>
      <sz val="8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vertical="center"/>
    </xf>
    <xf numFmtId="3" fontId="5" fillId="0" borderId="0" xfId="0" applyNumberFormat="1" applyFont="1" applyFill="1" applyBorder="1"/>
    <xf numFmtId="0" fontId="3" fillId="2" borderId="1" xfId="0" applyFont="1" applyFill="1" applyBorder="1" applyAlignment="1" applyProtection="1">
      <alignment horizontal="right"/>
    </xf>
    <xf numFmtId="0" fontId="6" fillId="0" borderId="0" xfId="0" applyFont="1"/>
    <xf numFmtId="3" fontId="3" fillId="2" borderId="1" xfId="0" applyNumberFormat="1" applyFont="1" applyFill="1" applyBorder="1" applyAlignment="1" applyProtection="1">
      <alignment horizontal="right"/>
    </xf>
    <xf numFmtId="0" fontId="7" fillId="0" borderId="0" xfId="0" applyFont="1"/>
    <xf numFmtId="0" fontId="8" fillId="0" borderId="0" xfId="0" applyFont="1" applyFill="1" applyBorder="1" applyAlignment="1">
      <alignment vertical="top"/>
    </xf>
    <xf numFmtId="0" fontId="0" fillId="0" borderId="0" xfId="0" applyFill="1" applyBorder="1"/>
    <xf numFmtId="0" fontId="9" fillId="3" borderId="0" xfId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11" fillId="4" borderId="2" xfId="0" quotePrefix="1" applyFont="1" applyFill="1" applyBorder="1" applyAlignment="1" applyProtection="1"/>
    <xf numFmtId="0" fontId="12" fillId="0" borderId="0" xfId="1" applyFont="1"/>
    <xf numFmtId="0" fontId="13" fillId="0" borderId="0" xfId="0" applyNumberFormat="1" applyFont="1" applyAlignment="1"/>
    <xf numFmtId="0" fontId="14" fillId="0" borderId="0" xfId="0" applyFont="1"/>
    <xf numFmtId="0" fontId="3" fillId="0" borderId="3" xfId="0" applyFont="1" applyBorder="1" applyAlignment="1" applyProtection="1">
      <alignment horizontal="right"/>
    </xf>
    <xf numFmtId="0" fontId="15" fillId="5" borderId="0" xfId="0" applyFont="1" applyFill="1" applyAlignment="1"/>
    <xf numFmtId="0" fontId="3" fillId="0" borderId="3" xfId="0" applyFont="1" applyBorder="1" applyAlignment="1" applyProtection="1">
      <alignment horizontal="center"/>
    </xf>
    <xf numFmtId="0" fontId="16" fillId="0" borderId="0" xfId="0" applyFont="1"/>
    <xf numFmtId="0" fontId="7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5" borderId="0" xfId="1" applyFont="1" applyFill="1"/>
    <xf numFmtId="0" fontId="9" fillId="3" borderId="4" xfId="1" applyFont="1" applyFill="1" applyBorder="1" applyAlignment="1">
      <alignment horizontal="center"/>
    </xf>
    <xf numFmtId="2" fontId="13" fillId="0" borderId="0" xfId="0" applyNumberFormat="1" applyFont="1"/>
    <xf numFmtId="0" fontId="3" fillId="0" borderId="1" xfId="0" quotePrefix="1" applyFont="1" applyBorder="1" applyAlignment="1" applyProtection="1"/>
    <xf numFmtId="0" fontId="0" fillId="0" borderId="0" xfId="0" applyFill="1" applyBorder="1" applyAlignment="1"/>
    <xf numFmtId="3" fontId="6" fillId="0" borderId="0" xfId="0" applyNumberFormat="1" applyFont="1" applyFill="1" applyAlignment="1"/>
    <xf numFmtId="0" fontId="16" fillId="0" borderId="5" xfId="0" quotePrefix="1" applyFont="1" applyFill="1" applyBorder="1" applyAlignment="1">
      <alignment horizontal="right"/>
    </xf>
    <xf numFmtId="0" fontId="0" fillId="0" borderId="0" xfId="0" applyFont="1"/>
    <xf numFmtId="0" fontId="1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13" fillId="0" borderId="0" xfId="0" applyNumberFormat="1" applyFont="1" applyAlignment="1"/>
    <xf numFmtId="0" fontId="13" fillId="0" borderId="0" xfId="0" quotePrefix="1" applyFont="1"/>
    <xf numFmtId="0" fontId="3" fillId="0" borderId="6" xfId="0" applyFont="1" applyBorder="1" applyAlignment="1" applyProtection="1">
      <alignment horizontal="right"/>
    </xf>
    <xf numFmtId="0" fontId="0" fillId="0" borderId="0" xfId="0" applyFont="1" applyFill="1" applyBorder="1"/>
    <xf numFmtId="3" fontId="13" fillId="6" borderId="0" xfId="0" applyNumberFormat="1" applyFont="1" applyFill="1" applyAlignment="1"/>
    <xf numFmtId="0" fontId="3" fillId="0" borderId="7" xfId="0" applyFont="1" applyBorder="1" applyAlignment="1" applyProtection="1">
      <alignment horizontal="right"/>
    </xf>
    <xf numFmtId="0" fontId="17" fillId="0" borderId="0" xfId="0" applyFont="1"/>
    <xf numFmtId="0" fontId="18" fillId="0" borderId="0" xfId="0" applyFont="1"/>
    <xf numFmtId="0" fontId="16" fillId="0" borderId="5" xfId="0" applyFont="1" applyFill="1" applyBorder="1" applyAlignment="1">
      <alignment vertical="center"/>
    </xf>
    <xf numFmtId="164" fontId="13" fillId="0" borderId="0" xfId="0" applyNumberFormat="1" applyFont="1"/>
    <xf numFmtId="3" fontId="13" fillId="7" borderId="0" xfId="0" applyNumberFormat="1" applyFont="1" applyFill="1" applyAlignment="1"/>
    <xf numFmtId="0" fontId="19" fillId="0" borderId="0" xfId="0" applyFont="1" applyFill="1" applyBorder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vertical="center"/>
    </xf>
    <xf numFmtId="0" fontId="16" fillId="0" borderId="5" xfId="0" quotePrefix="1" applyFont="1" applyFill="1" applyBorder="1" applyAlignment="1"/>
    <xf numFmtId="0" fontId="3" fillId="0" borderId="1" xfId="0" applyFont="1" applyFill="1" applyBorder="1" applyAlignment="1" applyProtection="1">
      <alignment vertical="center"/>
    </xf>
    <xf numFmtId="0" fontId="3" fillId="0" borderId="7" xfId="0" applyFont="1" applyBorder="1" applyAlignment="1" applyProtection="1">
      <alignment horizontal="center"/>
    </xf>
    <xf numFmtId="3" fontId="16" fillId="0" borderId="5" xfId="0" applyNumberFormat="1" applyFont="1" applyFill="1" applyBorder="1" applyAlignment="1"/>
    <xf numFmtId="0" fontId="12" fillId="7" borderId="0" xfId="1" applyFont="1" applyFill="1"/>
    <xf numFmtId="3" fontId="13" fillId="8" borderId="0" xfId="0" applyNumberFormat="1" applyFont="1" applyFill="1" applyAlignment="1"/>
    <xf numFmtId="0" fontId="3" fillId="9" borderId="3" xfId="0" applyFont="1" applyFill="1" applyBorder="1" applyAlignment="1" applyProtection="1">
      <alignment horizontal="right"/>
    </xf>
    <xf numFmtId="0" fontId="13" fillId="0" borderId="0" xfId="0" applyNumberFormat="1" applyFont="1" applyFill="1" applyBorder="1" applyAlignment="1"/>
    <xf numFmtId="0" fontId="3" fillId="9" borderId="6" xfId="0" applyFont="1" applyFill="1" applyBorder="1" applyAlignment="1" applyProtection="1">
      <alignment horizontal="right"/>
    </xf>
    <xf numFmtId="0" fontId="19" fillId="0" borderId="0" xfId="0" applyFont="1"/>
    <xf numFmtId="0" fontId="4" fillId="0" borderId="0" xfId="0" quotePrefix="1" applyFont="1" applyFill="1" applyAlignment="1">
      <alignment vertical="top"/>
    </xf>
    <xf numFmtId="0" fontId="13" fillId="7" borderId="0" xfId="0" applyFont="1" applyFill="1"/>
    <xf numFmtId="0" fontId="13" fillId="0" borderId="0" xfId="0" applyNumberFormat="1" applyFont="1"/>
    <xf numFmtId="0" fontId="13" fillId="7" borderId="0" xfId="0" applyNumberFormat="1" applyFont="1" applyFill="1" applyAlignment="1"/>
    <xf numFmtId="0" fontId="13" fillId="0" borderId="0" xfId="0" quotePrefix="1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8</xdr:row>
      <xdr:rowOff>190500</xdr:rowOff>
    </xdr:from>
    <xdr:to>
      <xdr:col>7</xdr:col>
      <xdr:colOff>72914</xdr:colOff>
      <xdr:row>10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71005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7</xdr:col>
      <xdr:colOff>72914</xdr:colOff>
      <xdr:row>10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89992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7</xdr:col>
      <xdr:colOff>72914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08978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7</xdr:col>
      <xdr:colOff>72914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27965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40"/>
  <sheetViews>
    <sheetView tabSelected="1" workbookViewId="0"/>
  </sheetViews>
  <sheetFormatPr defaultColWidth="11.42578125" defaultRowHeight="14.95"/>
  <cols>
    <col min="1" max="1" width="50.7109375" style="34" customWidth="1"/>
    <col min="2" max="22" width="8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5" t="s">
        <v>40</v>
      </c>
      <c s="15"/>
      <c s="15"/>
      <c s="15"/>
      <c s="15"/>
      <c s="31"/>
    </row>
    <row s="60" customFormat="1">
      <c s="12" t="s">
        <v>18</v>
      </c>
      <c s="12"/>
      <c s="12"/>
      <c s="12"/>
      <c s="12"/>
      <c s="48"/>
    </row>
    <row>
      <c s="3" t="s">
        <v>10</v>
      </c>
      <c s="3"/>
      <c s="3"/>
      <c s="3"/>
      <c s="3"/>
      <c s="3"/>
      <c s="3"/>
      <c s="3"/>
    </row>
    <row>
      <c s="3" t="s">
        <v>26</v>
      </c>
      <c s="3"/>
      <c s="3"/>
      <c s="3"/>
      <c s="3"/>
      <c s="3"/>
      <c s="3"/>
      <c s="3"/>
    </row>
    <row>
      <c s="6" t="s">
        <v>101</v>
      </c>
      <c s="6"/>
      <c s="6"/>
      <c s="6"/>
      <c s="6"/>
      <c s="6"/>
      <c s="6"/>
      <c s="6"/>
    </row>
    <row ht="15" customHeight="1">
      <c s="3" t="s">
        <v>81</v>
      </c>
      <c s="3"/>
      <c s="3"/>
      <c s="3"/>
      <c s="3"/>
      <c s="3"/>
      <c s="3"/>
      <c s="3"/>
    </row>
    <row>
      <c s="61" t="s">
        <v>80</v>
      </c>
      <c s="3"/>
      <c s="3"/>
      <c s="3"/>
      <c s="3"/>
      <c s="3"/>
    </row>
    <row>
      <c s="61" t="s">
        <v>17</v>
      </c>
      <c s="6"/>
      <c s="6"/>
      <c s="6"/>
      <c s="6"/>
      <c s="36"/>
    </row>
    <row ht="15" customHeight="1">
      <c s="40"/>
      <c s="13"/>
      <c s="13"/>
      <c s="13"/>
      <c s="13"/>
      <c s="13"/>
    </row>
    <row>
      <c s="16" t="s">
        <v>3</v>
      </c>
      <c s="30" t="s">
        <v>104</v>
      </c>
    </row>
    <row>
      <c s="16" t="s">
        <v>32</v>
      </c>
      <c s="30" t="s">
        <v>27</v>
      </c>
    </row>
    <row>
      <c s="16" t="s">
        <v>57</v>
      </c>
      <c s="30" t="s">
        <v>27</v>
      </c>
    </row>
    <row>
      <c s="16" t="s">
        <v>82</v>
      </c>
      <c s="30" t="s">
        <v>27</v>
      </c>
    </row>
    <row ht="15" hidden="1">
      <c s="16" t="s">
        <v>19</v>
      </c>
      <c s="30" t="s">
        <v>91</v>
      </c>
    </row>
    <row ht="15" hidden="1">
      <c s="16" t="s">
        <v>1</v>
      </c>
      <c s="30" t="s">
        <v>25</v>
      </c>
      <c r="L15" t="s">
        <v>33</v>
      </c>
    </row>
    <row ht="15" hidden="1">
      <c s="16" t="s">
        <v>56</v>
      </c>
      <c s="30" t="s">
        <v>11</v>
      </c>
    </row>
    <row>
      <c/>
    </row>
    <row>
      <c/>
    </row>
    <row ht="15" hidden="1">
      <c/>
      <c s="16" t="s">
        <v>44</v>
      </c>
      <c s="16" t="s">
        <v>92</v>
      </c>
      <c s="16" t="s">
        <v>110</v>
      </c>
    </row>
    <row>
      <c/>
      <c s="2" t="s">
        <v>75</v>
      </c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/>
      <c s="2" t="s">
        <v>20</v>
      </c>
      <c s="2"/>
      <c s="2"/>
      <c s="2" t="s">
        <v>49</v>
      </c>
      <c s="2"/>
      <c s="2"/>
      <c s="2" t="s">
        <v>93</v>
      </c>
      <c s="2"/>
      <c s="2"/>
      <c s="2" t="s">
        <v>50</v>
      </c>
      <c s="2"/>
      <c s="2"/>
      <c s="2" t="s">
        <v>21</v>
      </c>
      <c s="2"/>
      <c s="2"/>
      <c s="2" t="s">
        <v>45</v>
      </c>
      <c s="2"/>
      <c s="2" t="s">
        <v>27</v>
      </c>
      <c s="2"/>
      <c s="2"/>
    </row>
    <row ht="15" customHeight="1">
      <c s="16" t="s">
        <v>0</v>
      </c>
      <c s="5" t="s">
        <v>4</v>
      </c>
      <c s="5" t="s">
        <v>42</v>
      </c>
      <c s="8" t="s">
        <v>27</v>
      </c>
      <c s="5" t="s">
        <v>4</v>
      </c>
      <c s="5" t="s">
        <v>42</v>
      </c>
      <c s="8" t="s">
        <v>27</v>
      </c>
      <c s="5" t="s">
        <v>4</v>
      </c>
      <c s="5" t="s">
        <v>42</v>
      </c>
      <c s="8" t="s">
        <v>27</v>
      </c>
      <c s="5" t="s">
        <v>4</v>
      </c>
      <c s="5" t="s">
        <v>42</v>
      </c>
      <c s="8" t="s">
        <v>27</v>
      </c>
      <c s="5" t="s">
        <v>4</v>
      </c>
      <c s="5" t="s">
        <v>42</v>
      </c>
      <c s="8" t="s">
        <v>27</v>
      </c>
      <c s="5" t="s">
        <v>42</v>
      </c>
      <c s="8" t="s">
        <v>27</v>
      </c>
      <c s="5" t="s">
        <v>4</v>
      </c>
      <c s="5" t="s">
        <v>42</v>
      </c>
      <c s="8" t="s">
        <v>27</v>
      </c>
    </row>
    <row>
      <c s="52" t="s">
        <v>23</v>
      </c>
      <c s="4">
        <v>7</v>
      </c>
      <c s="4">
        <v>1</v>
      </c>
      <c s="10">
        <v>8</v>
      </c>
      <c s="4">
        <v>39</v>
      </c>
      <c s="4">
        <v>61</v>
      </c>
      <c s="10">
        <v>100</v>
      </c>
      <c s="4">
        <v>63</v>
      </c>
      <c s="4">
        <v>114</v>
      </c>
      <c s="10">
        <v>177</v>
      </c>
      <c s="4">
        <v>21</v>
      </c>
      <c s="4">
        <v>59</v>
      </c>
      <c s="10">
        <v>80</v>
      </c>
      <c s="4">
        <v>3</v>
      </c>
      <c s="4">
        <v>10</v>
      </c>
      <c s="10">
        <v>13</v>
      </c>
      <c s="4">
        <v>1</v>
      </c>
      <c s="10">
        <v>1</v>
      </c>
      <c s="4">
        <v>133</v>
      </c>
      <c s="4">
        <v>246</v>
      </c>
      <c s="10">
        <v>379</v>
      </c>
    </row>
    <row>
      <c s="52" t="s">
        <v>84</v>
      </c>
      <c s="4">
        <v>2</v>
      </c>
      <c s="4">
        <v>1</v>
      </c>
      <c s="10">
        <v>3</v>
      </c>
      <c s="4">
        <v>14</v>
      </c>
      <c s="4">
        <v>26</v>
      </c>
      <c s="10">
        <v>40</v>
      </c>
      <c s="4">
        <v>28</v>
      </c>
      <c s="4">
        <v>45</v>
      </c>
      <c s="10">
        <v>73</v>
      </c>
      <c s="4">
        <v>9</v>
      </c>
      <c s="4">
        <v>27</v>
      </c>
      <c s="10">
        <v>36</v>
      </c>
      <c s="4">
        <v>3</v>
      </c>
      <c s="4">
        <v>8</v>
      </c>
      <c s="10">
        <v>11</v>
      </c>
      <c s="4">
        <v>1</v>
      </c>
      <c s="10">
        <v>1</v>
      </c>
      <c s="4">
        <v>56</v>
      </c>
      <c s="4">
        <v>108</v>
      </c>
      <c s="10">
        <v>164</v>
      </c>
    </row>
    <row>
      <c s="52" t="s">
        <v>59</v>
      </c>
      <c s="4">
        <v>0</v>
      </c>
      <c s="4">
        <v>4</v>
      </c>
      <c s="10">
        <v>4</v>
      </c>
      <c s="4">
        <v>32</v>
      </c>
      <c s="4">
        <v>48</v>
      </c>
      <c s="10">
        <v>80</v>
      </c>
      <c s="4">
        <v>27</v>
      </c>
      <c s="4">
        <v>68</v>
      </c>
      <c s="10">
        <v>95</v>
      </c>
      <c s="4">
        <v>3</v>
      </c>
      <c s="4">
        <v>35</v>
      </c>
      <c s="10">
        <v>38</v>
      </c>
      <c s="4">
        <v>2</v>
      </c>
      <c s="4">
        <v>3</v>
      </c>
      <c s="10">
        <v>5</v>
      </c>
      <c s="4">
        <v>0</v>
      </c>
      <c s="10">
        <v>0</v>
      </c>
      <c s="4">
        <v>64</v>
      </c>
      <c s="4">
        <v>158</v>
      </c>
      <c s="10">
        <v>222</v>
      </c>
    </row>
    <row>
      <c s="52" t="s">
        <v>97</v>
      </c>
      <c s="4">
        <v>0</v>
      </c>
      <c s="4">
        <v>1</v>
      </c>
      <c s="10">
        <v>1</v>
      </c>
      <c s="4">
        <v>9</v>
      </c>
      <c s="4">
        <v>17</v>
      </c>
      <c s="10">
        <v>26</v>
      </c>
      <c s="4">
        <v>10</v>
      </c>
      <c s="4">
        <v>36</v>
      </c>
      <c s="10">
        <v>46</v>
      </c>
      <c s="4">
        <v>12</v>
      </c>
      <c s="4">
        <v>24</v>
      </c>
      <c s="10">
        <v>36</v>
      </c>
      <c s="4">
        <v>1</v>
      </c>
      <c s="4">
        <v>2</v>
      </c>
      <c s="10">
        <v>3</v>
      </c>
      <c s="4">
        <v>0</v>
      </c>
      <c s="10">
        <v>0</v>
      </c>
      <c s="4">
        <v>32</v>
      </c>
      <c s="4">
        <v>80</v>
      </c>
      <c s="10">
        <v>112</v>
      </c>
    </row>
    <row>
      <c s="52" t="s">
        <v>58</v>
      </c>
      <c s="4">
        <v>0</v>
      </c>
      <c s="4">
        <v>1</v>
      </c>
      <c s="10">
        <v>1</v>
      </c>
      <c s="4">
        <v>4</v>
      </c>
      <c s="4">
        <v>9</v>
      </c>
      <c s="10">
        <v>13</v>
      </c>
      <c s="4">
        <v>4</v>
      </c>
      <c s="4">
        <v>20</v>
      </c>
      <c s="10">
        <v>24</v>
      </c>
      <c s="4">
        <v>5</v>
      </c>
      <c s="4">
        <v>15</v>
      </c>
      <c s="10">
        <v>20</v>
      </c>
      <c s="4">
        <v>1</v>
      </c>
      <c s="4">
        <v>0</v>
      </c>
      <c s="10">
        <v>1</v>
      </c>
      <c s="4">
        <v>0</v>
      </c>
      <c s="10">
        <v>0</v>
      </c>
      <c s="4">
        <v>14</v>
      </c>
      <c s="4">
        <v>45</v>
      </c>
      <c s="10">
        <v>59</v>
      </c>
    </row>
    <row>
      <c s="52" t="s">
        <v>41</v>
      </c>
      <c s="4">
        <v>0</v>
      </c>
      <c s="4">
        <v>1</v>
      </c>
      <c s="10">
        <v>1</v>
      </c>
      <c s="4">
        <v>6</v>
      </c>
      <c s="4">
        <v>6</v>
      </c>
      <c s="10">
        <v>12</v>
      </c>
      <c s="4">
        <v>8</v>
      </c>
      <c s="4">
        <v>14</v>
      </c>
      <c s="10">
        <v>22</v>
      </c>
      <c s="4">
        <v>4</v>
      </c>
      <c s="4">
        <v>13</v>
      </c>
      <c s="10">
        <v>17</v>
      </c>
      <c s="4">
        <v>0</v>
      </c>
      <c s="4">
        <v>2</v>
      </c>
      <c s="10">
        <v>2</v>
      </c>
      <c s="4">
        <v>0</v>
      </c>
      <c s="10">
        <v>0</v>
      </c>
      <c s="4">
        <v>18</v>
      </c>
      <c s="4">
        <v>36</v>
      </c>
      <c s="10">
        <v>54</v>
      </c>
    </row>
    <row>
      <c s="52" t="s">
        <v>96</v>
      </c>
      <c s="4">
        <v>1</v>
      </c>
      <c s="4">
        <v>4</v>
      </c>
      <c s="10">
        <v>5</v>
      </c>
      <c s="4">
        <v>15</v>
      </c>
      <c s="4">
        <v>24</v>
      </c>
      <c s="10">
        <v>39</v>
      </c>
      <c s="4">
        <v>17</v>
      </c>
      <c s="4">
        <v>38</v>
      </c>
      <c s="10">
        <v>55</v>
      </c>
      <c s="4">
        <v>8</v>
      </c>
      <c s="4">
        <v>21</v>
      </c>
      <c s="10">
        <v>29</v>
      </c>
      <c s="4">
        <v>0</v>
      </c>
      <c s="4">
        <v>4</v>
      </c>
      <c s="10">
        <v>4</v>
      </c>
      <c s="4">
        <v>0</v>
      </c>
      <c s="10">
        <v>0</v>
      </c>
      <c s="4">
        <v>41</v>
      </c>
      <c s="4">
        <v>91</v>
      </c>
      <c s="10">
        <v>132</v>
      </c>
    </row>
    <row>
      <c s="52" t="s">
        <v>102</v>
      </c>
      <c s="4">
        <v>2</v>
      </c>
      <c s="4">
        <v>4</v>
      </c>
      <c s="10">
        <v>6</v>
      </c>
      <c s="4">
        <v>8</v>
      </c>
      <c s="4">
        <v>30</v>
      </c>
      <c s="10">
        <v>38</v>
      </c>
      <c s="4">
        <v>12</v>
      </c>
      <c s="4">
        <v>59</v>
      </c>
      <c s="10">
        <v>71</v>
      </c>
      <c s="4">
        <v>7</v>
      </c>
      <c s="4">
        <v>29</v>
      </c>
      <c s="10">
        <v>36</v>
      </c>
      <c s="4">
        <v>0</v>
      </c>
      <c s="4">
        <v>1</v>
      </c>
      <c s="10">
        <v>1</v>
      </c>
      <c s="4">
        <v>0</v>
      </c>
      <c s="10">
        <v>0</v>
      </c>
      <c s="4">
        <v>29</v>
      </c>
      <c s="4">
        <v>123</v>
      </c>
      <c s="10">
        <v>152</v>
      </c>
    </row>
    <row>
      <c s="52" t="s">
        <v>65</v>
      </c>
      <c s="4">
        <v>1</v>
      </c>
      <c s="4">
        <v>7</v>
      </c>
      <c s="10">
        <v>8</v>
      </c>
      <c s="4">
        <v>4</v>
      </c>
      <c s="4">
        <v>27</v>
      </c>
      <c s="10">
        <v>31</v>
      </c>
      <c s="4">
        <v>6</v>
      </c>
      <c s="4">
        <v>46</v>
      </c>
      <c s="10">
        <v>52</v>
      </c>
      <c s="4">
        <v>3</v>
      </c>
      <c s="4">
        <v>17</v>
      </c>
      <c s="10">
        <v>20</v>
      </c>
      <c s="4">
        <v>0</v>
      </c>
      <c s="4">
        <v>10</v>
      </c>
      <c s="10">
        <v>10</v>
      </c>
      <c s="4">
        <v>0</v>
      </c>
      <c s="10">
        <v>0</v>
      </c>
      <c s="4">
        <v>14</v>
      </c>
      <c s="4">
        <v>107</v>
      </c>
      <c s="10">
        <v>121</v>
      </c>
    </row>
    <row>
      <c s="52" t="s">
        <v>47</v>
      </c>
      <c s="4">
        <v>0</v>
      </c>
      <c s="4">
        <v>1</v>
      </c>
      <c s="10">
        <v>1</v>
      </c>
      <c s="4">
        <v>1</v>
      </c>
      <c s="4">
        <v>8</v>
      </c>
      <c s="10">
        <v>9</v>
      </c>
      <c s="4">
        <v>1</v>
      </c>
      <c s="4">
        <v>17</v>
      </c>
      <c s="10">
        <v>18</v>
      </c>
      <c s="4">
        <v>1</v>
      </c>
      <c s="4">
        <v>8</v>
      </c>
      <c s="10">
        <v>9</v>
      </c>
      <c s="4">
        <v>0</v>
      </c>
      <c s="4">
        <v>1</v>
      </c>
      <c s="10">
        <v>1</v>
      </c>
      <c s="4">
        <v>0</v>
      </c>
      <c s="10">
        <v>0</v>
      </c>
      <c s="4">
        <v>3</v>
      </c>
      <c s="4">
        <v>35</v>
      </c>
      <c s="10">
        <v>38</v>
      </c>
    </row>
    <row>
      <c s="52" t="s">
        <v>95</v>
      </c>
      <c s="4">
        <v>1</v>
      </c>
      <c s="4">
        <v>1</v>
      </c>
      <c s="10">
        <v>2</v>
      </c>
      <c s="4">
        <v>1</v>
      </c>
      <c s="4">
        <v>9</v>
      </c>
      <c s="10">
        <v>10</v>
      </c>
      <c s="4">
        <v>10</v>
      </c>
      <c s="4">
        <v>21</v>
      </c>
      <c s="10">
        <v>31</v>
      </c>
      <c s="4">
        <v>3</v>
      </c>
      <c s="4">
        <v>20</v>
      </c>
      <c s="10">
        <v>23</v>
      </c>
      <c s="4">
        <v>0</v>
      </c>
      <c s="4">
        <v>1</v>
      </c>
      <c s="10">
        <v>1</v>
      </c>
      <c s="4">
        <v>0</v>
      </c>
      <c s="10">
        <v>0</v>
      </c>
      <c s="4">
        <v>15</v>
      </c>
      <c s="4">
        <v>52</v>
      </c>
      <c s="10">
        <v>67</v>
      </c>
    </row>
    <row>
      <c s="52" t="s">
        <v>46</v>
      </c>
      <c s="4">
        <v>0</v>
      </c>
      <c s="4">
        <v>0</v>
      </c>
      <c s="10">
        <v>0</v>
      </c>
      <c s="4">
        <v>7</v>
      </c>
      <c s="4">
        <v>4</v>
      </c>
      <c s="10">
        <v>11</v>
      </c>
      <c s="4">
        <v>7</v>
      </c>
      <c s="4">
        <v>3</v>
      </c>
      <c s="10">
        <v>10</v>
      </c>
      <c s="4">
        <v>0</v>
      </c>
      <c s="4">
        <v>10</v>
      </c>
      <c s="10">
        <v>10</v>
      </c>
      <c s="4">
        <v>0</v>
      </c>
      <c s="4">
        <v>1</v>
      </c>
      <c s="10">
        <v>1</v>
      </c>
      <c s="4">
        <v>0</v>
      </c>
      <c s="10">
        <v>0</v>
      </c>
      <c s="4">
        <v>14</v>
      </c>
      <c s="4">
        <v>18</v>
      </c>
      <c s="10">
        <v>32</v>
      </c>
    </row>
    <row>
      <c s="52" t="s">
        <v>2</v>
      </c>
      <c s="4">
        <v>2</v>
      </c>
      <c s="4">
        <v>1</v>
      </c>
      <c s="10">
        <v>3</v>
      </c>
      <c s="4">
        <v>21</v>
      </c>
      <c s="4">
        <v>28</v>
      </c>
      <c s="10">
        <v>49</v>
      </c>
      <c s="4">
        <v>13</v>
      </c>
      <c s="4">
        <v>31</v>
      </c>
      <c s="10">
        <v>44</v>
      </c>
      <c s="4">
        <v>4</v>
      </c>
      <c s="4">
        <v>14</v>
      </c>
      <c s="10">
        <v>18</v>
      </c>
      <c s="4">
        <v>0</v>
      </c>
      <c s="4">
        <v>3</v>
      </c>
      <c s="10">
        <v>3</v>
      </c>
      <c s="4">
        <v>0</v>
      </c>
      <c s="10">
        <v>0</v>
      </c>
      <c s="4">
        <v>40</v>
      </c>
      <c s="4">
        <v>77</v>
      </c>
      <c s="10">
        <v>117</v>
      </c>
    </row>
    <row>
      <c s="52" t="s">
        <v>94</v>
      </c>
      <c s="4">
        <v>2</v>
      </c>
      <c s="4">
        <v>4</v>
      </c>
      <c s="10">
        <v>6</v>
      </c>
      <c s="4">
        <v>9</v>
      </c>
      <c s="4">
        <v>38</v>
      </c>
      <c s="10">
        <v>47</v>
      </c>
      <c s="4">
        <v>16</v>
      </c>
      <c s="4">
        <v>58</v>
      </c>
      <c s="10">
        <v>74</v>
      </c>
      <c s="4">
        <v>3</v>
      </c>
      <c s="4">
        <v>19</v>
      </c>
      <c s="10">
        <v>22</v>
      </c>
      <c s="4">
        <v>0</v>
      </c>
      <c s="4">
        <v>1</v>
      </c>
      <c s="10">
        <v>1</v>
      </c>
      <c s="4">
        <v>0</v>
      </c>
      <c s="10">
        <v>0</v>
      </c>
      <c s="4">
        <v>30</v>
      </c>
      <c s="4">
        <v>120</v>
      </c>
      <c s="10">
        <v>150</v>
      </c>
    </row>
    <row>
      <c s="52" t="s">
        <v>29</v>
      </c>
      <c s="4">
        <v>1</v>
      </c>
      <c s="4">
        <v>2</v>
      </c>
      <c s="10">
        <v>3</v>
      </c>
      <c s="4">
        <v>4</v>
      </c>
      <c s="4">
        <v>10</v>
      </c>
      <c s="10">
        <v>14</v>
      </c>
      <c s="4">
        <v>6</v>
      </c>
      <c s="4">
        <v>22</v>
      </c>
      <c s="10">
        <v>28</v>
      </c>
      <c s="4">
        <v>7</v>
      </c>
      <c s="4">
        <v>10</v>
      </c>
      <c s="10">
        <v>17</v>
      </c>
      <c s="4">
        <v>0</v>
      </c>
      <c s="4">
        <v>3</v>
      </c>
      <c s="10">
        <v>3</v>
      </c>
      <c s="4">
        <v>0</v>
      </c>
      <c s="10">
        <v>0</v>
      </c>
      <c s="4">
        <v>18</v>
      </c>
      <c s="4">
        <v>47</v>
      </c>
      <c s="10">
        <v>65</v>
      </c>
    </row>
    <row>
      <c s="52" t="s">
        <v>22</v>
      </c>
      <c s="4">
        <v>1</v>
      </c>
      <c s="4">
        <v>1</v>
      </c>
      <c s="10">
        <v>2</v>
      </c>
      <c s="4">
        <v>8</v>
      </c>
      <c s="4">
        <v>4</v>
      </c>
      <c s="10">
        <v>12</v>
      </c>
      <c s="4">
        <v>10</v>
      </c>
      <c s="4">
        <v>11</v>
      </c>
      <c s="10">
        <v>21</v>
      </c>
      <c s="4">
        <v>4</v>
      </c>
      <c s="4">
        <v>3</v>
      </c>
      <c s="10">
        <v>7</v>
      </c>
      <c s="4">
        <v>0</v>
      </c>
      <c s="4">
        <v>0</v>
      </c>
      <c s="10">
        <v>0</v>
      </c>
      <c s="4">
        <v>0</v>
      </c>
      <c s="10">
        <v>0</v>
      </c>
      <c s="4">
        <v>23</v>
      </c>
      <c s="4">
        <v>19</v>
      </c>
      <c s="10">
        <v>42</v>
      </c>
    </row>
    <row>
      <c s="52" t="s">
        <v>12</v>
      </c>
      <c s="4">
        <v>1</v>
      </c>
      <c s="4">
        <v>8</v>
      </c>
      <c s="10">
        <v>9</v>
      </c>
      <c s="4">
        <v>16</v>
      </c>
      <c s="4">
        <v>26</v>
      </c>
      <c s="10">
        <v>42</v>
      </c>
      <c s="4">
        <v>32</v>
      </c>
      <c s="4">
        <v>40</v>
      </c>
      <c s="10">
        <v>72</v>
      </c>
      <c s="4">
        <v>13</v>
      </c>
      <c s="4">
        <v>25</v>
      </c>
      <c s="10">
        <v>38</v>
      </c>
      <c s="4">
        <v>0</v>
      </c>
      <c s="4">
        <v>9</v>
      </c>
      <c s="10">
        <v>9</v>
      </c>
      <c s="4">
        <v>0</v>
      </c>
      <c s="10">
        <v>0</v>
      </c>
      <c s="4">
        <v>62</v>
      </c>
      <c s="4">
        <v>108</v>
      </c>
      <c s="10">
        <v>170</v>
      </c>
    </row>
    <row>
      <c s="52" t="s">
        <v>28</v>
      </c>
      <c s="4">
        <v>2</v>
      </c>
      <c s="4">
        <v>3</v>
      </c>
      <c s="10">
        <v>5</v>
      </c>
      <c s="4">
        <v>15</v>
      </c>
      <c s="4">
        <v>10</v>
      </c>
      <c s="10">
        <v>25</v>
      </c>
      <c s="4">
        <v>13</v>
      </c>
      <c s="4">
        <v>28</v>
      </c>
      <c s="10">
        <v>41</v>
      </c>
      <c s="4">
        <v>6</v>
      </c>
      <c s="4">
        <v>14</v>
      </c>
      <c s="10">
        <v>20</v>
      </c>
      <c s="4">
        <v>0</v>
      </c>
      <c s="4">
        <v>1</v>
      </c>
      <c s="10">
        <v>1</v>
      </c>
      <c s="4">
        <v>4</v>
      </c>
      <c s="10">
        <v>4</v>
      </c>
      <c s="4">
        <v>36</v>
      </c>
      <c s="4">
        <v>60</v>
      </c>
      <c s="10">
        <v>96</v>
      </c>
    </row>
    <row>
      <c s="52" t="s">
        <v>83</v>
      </c>
      <c s="4">
        <v>2</v>
      </c>
      <c s="4">
        <v>4</v>
      </c>
      <c s="10">
        <v>6</v>
      </c>
      <c s="4">
        <v>4</v>
      </c>
      <c s="4">
        <v>20</v>
      </c>
      <c s="10">
        <v>24</v>
      </c>
      <c s="4">
        <v>14</v>
      </c>
      <c s="4">
        <v>41</v>
      </c>
      <c s="10">
        <v>55</v>
      </c>
      <c s="4">
        <v>7</v>
      </c>
      <c s="4">
        <v>14</v>
      </c>
      <c s="10">
        <v>21</v>
      </c>
      <c s="4">
        <v>1</v>
      </c>
      <c s="4">
        <v>3</v>
      </c>
      <c s="10">
        <v>4</v>
      </c>
      <c s="4">
        <v>0</v>
      </c>
      <c s="10">
        <v>0</v>
      </c>
      <c s="4">
        <v>28</v>
      </c>
      <c s="4">
        <v>82</v>
      </c>
      <c s="10">
        <v>110</v>
      </c>
    </row>
    <row>
      <c s="52" t="s">
        <v>70</v>
      </c>
      <c s="4">
        <v>0</v>
      </c>
      <c s="4">
        <v>1</v>
      </c>
      <c s="10">
        <v>1</v>
      </c>
      <c s="4">
        <v>8</v>
      </c>
      <c s="4">
        <v>3</v>
      </c>
      <c s="10">
        <v>11</v>
      </c>
      <c s="4">
        <v>11</v>
      </c>
      <c s="4">
        <v>11</v>
      </c>
      <c s="10">
        <v>22</v>
      </c>
      <c s="4">
        <v>2</v>
      </c>
      <c s="4">
        <v>0</v>
      </c>
      <c s="10">
        <v>2</v>
      </c>
      <c s="4">
        <v>0</v>
      </c>
      <c s="4">
        <v>0</v>
      </c>
      <c s="10">
        <v>0</v>
      </c>
      <c s="4">
        <v>0</v>
      </c>
      <c s="10">
        <v>0</v>
      </c>
      <c s="4">
        <v>21</v>
      </c>
      <c s="4">
        <v>15</v>
      </c>
      <c s="10">
        <v>36</v>
      </c>
    </row>
    <row>
      <c s="52" t="s">
        <v>76</v>
      </c>
      <c s="4">
        <v>0</v>
      </c>
      <c s="4">
        <v>0</v>
      </c>
      <c s="10">
        <v>0</v>
      </c>
      <c s="4">
        <v>4</v>
      </c>
      <c s="4">
        <v>0</v>
      </c>
      <c s="10">
        <v>4</v>
      </c>
      <c s="4">
        <v>11</v>
      </c>
      <c s="4">
        <v>4</v>
      </c>
      <c s="10">
        <v>15</v>
      </c>
      <c s="4">
        <v>6</v>
      </c>
      <c s="4">
        <v>4</v>
      </c>
      <c s="10">
        <v>10</v>
      </c>
      <c s="4">
        <v>1</v>
      </c>
      <c s="4">
        <v>1</v>
      </c>
      <c s="10">
        <v>2</v>
      </c>
      <c s="4">
        <v>0</v>
      </c>
      <c s="10">
        <v>0</v>
      </c>
      <c s="4">
        <v>22</v>
      </c>
      <c s="4">
        <v>9</v>
      </c>
      <c s="10">
        <v>31</v>
      </c>
    </row>
    <row>
      <c s="52" t="s">
        <v>51</v>
      </c>
      <c s="4">
        <v>0</v>
      </c>
      <c s="4">
        <v>0</v>
      </c>
      <c s="10">
        <v>0</v>
      </c>
      <c s="4">
        <v>1</v>
      </c>
      <c s="4">
        <v>5</v>
      </c>
      <c s="10">
        <v>6</v>
      </c>
      <c s="4">
        <v>5</v>
      </c>
      <c s="4">
        <v>9</v>
      </c>
      <c s="10">
        <v>14</v>
      </c>
      <c s="4">
        <v>0</v>
      </c>
      <c s="4">
        <v>3</v>
      </c>
      <c s="10">
        <v>3</v>
      </c>
      <c s="4">
        <v>1</v>
      </c>
      <c s="4">
        <v>1</v>
      </c>
      <c s="10">
        <v>2</v>
      </c>
      <c s="4">
        <v>0</v>
      </c>
      <c s="10">
        <v>0</v>
      </c>
      <c s="4">
        <v>7</v>
      </c>
      <c s="4">
        <v>18</v>
      </c>
      <c s="10">
        <v>25</v>
      </c>
    </row>
    <row>
      <c s="52" t="s">
        <v>27</v>
      </c>
      <c s="4">
        <v>25</v>
      </c>
      <c s="4">
        <v>50</v>
      </c>
      <c s="10">
        <v>75</v>
      </c>
      <c s="4">
        <v>230</v>
      </c>
      <c s="4">
        <v>413</v>
      </c>
      <c s="10">
        <v>643</v>
      </c>
      <c s="4">
        <v>324</v>
      </c>
      <c s="4">
        <v>736</v>
      </c>
      <c s="10">
        <v>1060</v>
      </c>
      <c s="4">
        <v>128</v>
      </c>
      <c s="4">
        <v>384</v>
      </c>
      <c s="10">
        <v>512</v>
      </c>
      <c s="4">
        <v>13</v>
      </c>
      <c s="4">
        <v>65</v>
      </c>
      <c s="10">
        <v>78</v>
      </c>
      <c s="4">
        <v>6</v>
      </c>
      <c s="10">
        <v>6</v>
      </c>
      <c s="4">
        <v>720</v>
      </c>
      <c s="4">
        <v>1654</v>
      </c>
      <c s="10">
        <v>2374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0"/>
      <c s="7"/>
      <c s="7"/>
      <c s="7"/>
      <c s="7"/>
      <c s="7"/>
      <c s="7"/>
      <c s="7"/>
      <c s="7"/>
      <c s="7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1">
    <mergeCell ref="A3:H3"/>
    <mergeCell ref="A4:H4"/>
    <mergeCell ref="A6:H6"/>
    <mergeCell ref="B20:U20"/>
    <mergeCell ref="B21:D21"/>
    <mergeCell ref="E21:G21"/>
    <mergeCell ref="H21:J21"/>
    <mergeCell ref="K21:M21"/>
    <mergeCell ref="N21:P21"/>
    <mergeCell ref="Q21:R21"/>
    <mergeCell ref="S21:U21"/>
  </mergeCells>
  <pageMargins left="0.70866141732283472" right="0.70866141732283472" top="0.78740157480314965" bottom="0.78740157480314965" header="0.31496062992125984" footer="0.31496062992125984"/>
  <pageSetup paperSize="9" scale="47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13" max="44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6"/>
  <sheetViews>
    <sheetView workbookViewId="0">
      <selection activeCell="E27" sqref="E27:E36"/>
    </sheetView>
  </sheetViews>
  <sheetFormatPr defaultColWidth="9.140625" defaultRowHeight="13.6"/>
  <cols>
    <col min="1" max="1" width="13.5703125" style="25" customWidth="1"/>
    <col min="2" max="2" width="40.85546875" style="25" customWidth="1"/>
    <col min="3" max="3" width="28.140625" style="25" customWidth="1"/>
    <col min="4" max="4" width="16.28515625" style="25" customWidth="1"/>
    <col min="5" max="5" width="19.42578125" style="25" customWidth="1"/>
    <col min="6" max="6" width="11.140625" style="25" customWidth="1"/>
    <col min="7" max="7" width="9.140625" style="25" customWidth="1"/>
    <col min="8" max="8" width="17.28515625" style="25" customWidth="1"/>
    <col min="9" max="9" width="19.5703125" style="25" customWidth="1"/>
    <col min="10" max="12" width="12.42578125" style="25" customWidth="1"/>
    <col min="13" max="13" width="16" style="25" customWidth="1"/>
    <col min="14" max="14" width="14.28515625" style="25" customWidth="1"/>
    <col min="15" max="15" width="18.28515625" style="25" customWidth="1"/>
    <col min="16" max="25" width="9.140625" style="25" customWidth="1"/>
    <col min="26" max="26" width="9.140625" style="25" hidden="1" customWidth="1"/>
    <col min="27" max="27" width="9.140625" style="25" customWidth="1"/>
    <col min="28" max="16384" width="9.140625" style="25"/>
  </cols>
  <sheetData>
    <row>
      <c s="63"/>
      <c r="H1" s="46">
        <v>129806172700000000</v>
      </c>
      <c r="Z1" s="29" t="b">
        <f>0=1</f>
        <v>0</v>
      </c>
    </row>
    <row>
      <c r="Z2" s="29" t="b">
        <f>1=1</f>
        <v>1</v>
      </c>
    </row>
    <row>
      <c r="Z3" s="29"/>
    </row>
    <row>
      <c r="I4" s="25" t="s">
        <v>43</v>
      </c>
      <c s="28" t="s">
        <v>77</v>
      </c>
      <c s="14"/>
      <c s="14"/>
      <c s="14"/>
      <c s="14"/>
      <c s="14"/>
    </row>
    <row>
      <c r="J5" s="27" t="s">
        <v>34</v>
      </c>
      <c s="17" t="s">
        <v>60</v>
      </c>
      <c s="17" t="s">
        <v>71</v>
      </c>
      <c s="27" t="s">
        <v>105</v>
      </c>
      <c s="55" t="s">
        <v>85</v>
      </c>
      <c s="17" t="s">
        <v>5</v>
      </c>
    </row>
    <row>
      <c r="B6" s="24" t="s">
        <v>86</v>
      </c>
      <c s="21" t="s">
        <v>98</v>
      </c>
      <c s="51" t="s">
        <v>13</v>
      </c>
      <c s="11" t="s">
        <v>61</v>
      </c>
    </row>
    <row>
      <c r="C7" s="19"/>
      <c s="23" t="s">
        <v>14</v>
      </c>
      <c s="11" t="s">
        <v>66</v>
      </c>
    </row>
    <row>
      <c r="C8" s="23" t="s">
        <v>6</v>
      </c>
      <c s="19"/>
    </row>
    <row>
      <c r="C9" s="19"/>
      <c s="21" t="s">
        <v>35</v>
      </c>
      <c s="43"/>
    </row>
    <row>
      <c r="C10" s="21" t="s">
        <v>52</v>
      </c>
      <c s="33" t="s">
        <v>72</v>
      </c>
      <c s="11" t="s">
        <v>24</v>
      </c>
    </row>
    <row>
      <c r="B11" s="24" t="s">
        <v>62</v>
      </c>
      <c s="45" t="s">
        <v>53</v>
      </c>
      <c s="54">
        <v>60398</v>
      </c>
      <c s="11" t="s">
        <v>36</v>
      </c>
    </row>
    <row>
      <c r="B12" s="24"/>
      <c s="35"/>
      <c s="58"/>
      <c s="49" t="s">
        <v>78</v>
      </c>
    </row>
    <row>
      <c r="B13" s="24" t="s">
        <v>54</v>
      </c>
      <c s="62" t="s">
        <v>30</v>
      </c>
      <c s="47">
        <v>1212</v>
      </c>
      <c s="25" t="b">
        <v>0</v>
      </c>
      <c s="11" t="s">
        <v>73</v>
      </c>
    </row>
    <row ht="12.75" hidden="1">
      <c r="B14" s="24"/>
      <c s="62"/>
      <c s="64"/>
      <c s="25" t="b">
        <v>0</v>
      </c>
    </row>
    <row>
      <c r="B15" s="24" t="s">
        <v>99</v>
      </c>
      <c s="25" t="s">
        <v>103</v>
      </c>
      <c s="37">
        <v>1212</v>
      </c>
      <c s="25" t="b">
        <v>0</v>
      </c>
      <c s="11" t="s">
        <v>31</v>
      </c>
    </row>
    <row ht="12.75" hidden="1">
      <c r="B16" s="24"/>
      <c r="D16" s="18"/>
      <c s="25" t="b">
        <v>0</v>
      </c>
      <c s="11"/>
    </row>
    <row>
      <c r="B17" s="24"/>
      <c s="25" t="s">
        <v>37</v>
      </c>
      <c s="41">
        <v>3434</v>
      </c>
      <c s="25" t="b">
        <v>0</v>
      </c>
      <c s="11" t="s">
        <v>74</v>
      </c>
    </row>
    <row>
      <c r="B18" s="24"/>
      <c r="D18" s="18"/>
      <c s="25" t="b">
        <v>0</v>
      </c>
      <c s="11"/>
    </row>
    <row>
      <c r="B19" s="24"/>
      <c s="25" t="s">
        <v>7</v>
      </c>
      <c s="56">
        <v>3434</v>
      </c>
      <c s="25" t="b">
        <v>0</v>
      </c>
      <c s="11" t="s">
        <v>87</v>
      </c>
    </row>
    <row>
      <c r="B20" s="24"/>
      <c r="D20" s="18"/>
      <c s="25" t="b">
        <v>0</v>
      </c>
      <c s="11"/>
    </row>
    <row>
      <c r="B21" s="24"/>
      <c s="25" t="s">
        <v>88</v>
      </c>
      <c s="32">
        <v>5656</v>
      </c>
      <c s="25" t="b">
        <v>0</v>
      </c>
      <c s="11" t="s">
        <v>106</v>
      </c>
    </row>
    <row>
      <c r="B22" s="24"/>
      <c r="E22" s="11"/>
      <c r="I22" s="44"/>
    </row>
    <row>
      <c r="B23" s="26" t="s">
        <v>8</v>
      </c>
      <c s="26"/>
    </row>
    <row>
      <c r="B24" s="9" t="s">
        <v>63</v>
      </c>
      <c s="9" t="s">
        <v>38</v>
      </c>
      <c s="9" t="s">
        <v>15</v>
      </c>
      <c s="9" t="s">
        <v>89</v>
      </c>
      <c s="9"/>
      <c s="9"/>
      <c s="9" t="s">
        <v>107</v>
      </c>
    </row>
    <row>
      <c s="25" t="s">
        <v>67</v>
      </c>
      <c r="C25" s="65" t="s">
        <v>64</v>
      </c>
      <c s="20" t="s">
        <v>75</v>
      </c>
      <c s="20">
        <v>1234.5599999999999</v>
      </c>
      <c s="11" t="s">
        <v>79</v>
      </c>
      <c r="H25" s="25" t="s">
        <v>90</v>
      </c>
    </row>
    <row>
      <c s="25" t="s">
        <v>100</v>
      </c>
      <c r="C26" s="65" t="s">
        <v>64</v>
      </c>
      <c s="20" t="s">
        <v>75</v>
      </c>
      <c s="20">
        <v>1234.5599999999999</v>
      </c>
      <c s="11" t="s">
        <v>68</v>
      </c>
      <c r="H26" s="25" t="s">
        <v>108</v>
      </c>
    </row>
    <row>
      <c r="C27" s="65" t="s">
        <v>64</v>
      </c>
      <c s="22" t="s">
        <v>75</v>
      </c>
      <c s="20">
        <v>1234.5599999999999</v>
      </c>
      <c r="H27" s="25" t="s">
        <v>69</v>
      </c>
    </row>
    <row>
      <c r="C28" s="38" t="s">
        <v>48</v>
      </c>
      <c s="57" t="s">
        <v>27</v>
      </c>
      <c s="59">
        <v>1234.5599999999999</v>
      </c>
      <c r="H28" s="25" t="s">
        <v>39</v>
      </c>
    </row>
    <row>
      <c r="C29" s="38" t="s">
        <v>55</v>
      </c>
      <c s="22" t="s">
        <v>20</v>
      </c>
      <c s="20">
        <v>1234.5599999999999</v>
      </c>
      <c r="H29" s="25" t="s">
        <v>109</v>
      </c>
    </row>
    <row>
      <c r="C30" s="38" t="s">
        <v>55</v>
      </c>
      <c s="22" t="s">
        <v>49</v>
      </c>
      <c s="20">
        <v>1234.5599999999999</v>
      </c>
    </row>
    <row>
      <c r="C31" s="38" t="s">
        <v>55</v>
      </c>
      <c s="22" t="s">
        <v>93</v>
      </c>
      <c s="20">
        <v>1234.5599999999999</v>
      </c>
    </row>
    <row>
      <c r="C32" s="38" t="s">
        <v>55</v>
      </c>
      <c s="22" t="s">
        <v>50</v>
      </c>
      <c s="20">
        <v>1234.5599999999999</v>
      </c>
    </row>
    <row>
      <c r="C33" s="38" t="s">
        <v>55</v>
      </c>
      <c s="22" t="s">
        <v>21</v>
      </c>
      <c s="20">
        <v>1234.5599999999999</v>
      </c>
    </row>
    <row>
      <c r="C34" s="38" t="s">
        <v>55</v>
      </c>
      <c s="22" t="s">
        <v>45</v>
      </c>
      <c s="20">
        <v>1234.5599999999999</v>
      </c>
    </row>
    <row>
      <c r="C35" s="38" t="s">
        <v>55</v>
      </c>
      <c s="22" t="s">
        <v>27</v>
      </c>
      <c s="39">
        <v>1234.5599999999999</v>
      </c>
    </row>
    <row>
      <c r="C36" s="38" t="s">
        <v>9</v>
      </c>
      <c s="53" t="s">
        <v>16</v>
      </c>
      <c s="42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

<file path=[Content_Types].xml><?xml version="1.0" encoding="utf-8"?>
<Types xmlns="http://schemas.openxmlformats.org/package/2006/content-types">
  <Default Extension="rels" ContentType="application/vnd.openxmlformats-package.relationships+xml"/>
  <Override PartName="/xl/media/image1.png" ContentType="image/png"/>
  <Override PartName="/xl/media/image2.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8.3.25.102"/>
  <workbookPr defaultThemeVersion="124226"/>
  <bookViews>
    <workbookView xWindow="0" yWindow="0" windowWidth="28800" windowHeight="12000"/>
  </bookViews>
  <sheets>
    <sheet name="Tab" sheetId="1" r:id="rId1"/>
    <sheet name="XLCubedFormats" sheetId="2" state="hidden" r:id="rId2"/>
  </sheets>
  <definedNames>
    <definedName name="_xlnm.Print_Titles" localSheetId="0">Tab!$19:$21</definedName>
    <definedName name="XL3DisableCameraObjects" hidden="1">XLCubedFormats!A1</definedName>
    <definedName name="XL3ObjLocation9562a449_68a7_448d_8114_3b54ee7e5291">Tab!$A$8</definedName>
  </definedNames>
  <calcPr calcId="40001"/>
</workbook>
</file>

<file path=xl/sharedStrings.xml><?xml version="1.0" encoding="utf-8"?>
<sst xmlns="http://schemas.openxmlformats.org/spreadsheetml/2006/main" uniqueCount="128">
  <si>
    <t>Universität</t>
  </si>
  <si>
    <t>Semester und Datenstichtag</t>
  </si>
  <si>
    <t>Reife/Koop.-Vertrag (Inland)</t>
  </si>
  <si>
    <t>Slicer Button Background</t>
  </si>
  <si>
    <t>Grid Title</t>
  </si>
  <si>
    <t>Oth Written Member</t>
  </si>
  <si>
    <t>Fill in Grid Name, Dimension or Both</t>
  </si>
  <si>
    <t>[ALLG Wertart].[Wertart]</t>
  </si>
  <si>
    <t>Frauen</t>
  </si>
  <si>
    <t>Staatengruppe (Ö, EU, andere)</t>
  </si>
  <si>
    <t>Absolutwert</t>
  </si>
  <si>
    <t>inl. akkred. Privatuniversität</t>
  </si>
  <si>
    <t>IB Diploma (Ausland)</t>
  </si>
  <si>
    <t>All Marital Status</t>
  </si>
  <si>
    <t>Male</t>
  </si>
  <si>
    <t>Member1 Name</t>
  </si>
  <si>
    <t>Anmerkung: Ab dem WS 2016 erfolgt die zähltechnische Abbildung der Studierenden auf Basis des Verteilungsschlüssels gemäß § 22 Abs. 2 UHSBV.</t>
  </si>
  <si>
    <t>Studienberechtigung HStudBerG</t>
  </si>
  <si>
    <t>Aufbaurealgymnasium</t>
  </si>
  <si>
    <t>&lt;-- default Column Member Format</t>
  </si>
  <si>
    <t>[SU Studierende].[Schulform]</t>
  </si>
  <si>
    <t>Gesamt</t>
  </si>
  <si>
    <t>Oberstufenrealgymnasium</t>
  </si>
  <si>
    <t>keine Reifeprüfung</t>
  </si>
  <si>
    <t>ausl. postsekund.Bildungseinr.</t>
  </si>
  <si>
    <t>Alternate Rows</t>
  </si>
  <si>
    <t>&lt;--  writeable cell format</t>
  </si>
  <si>
    <t xml:space="preserve"> </t>
  </si>
  <si>
    <t>Wirtschaftskundl.Realgymnasium</t>
  </si>
  <si>
    <t>Handelsakademie</t>
  </si>
  <si>
    <t>Slicer Title</t>
  </si>
  <si>
    <t>Calendar Period</t>
  </si>
  <si>
    <t>&lt;-- default cell format</t>
  </si>
  <si>
    <t>Written Member</t>
  </si>
  <si>
    <t>Dimension/Column</t>
  </si>
  <si>
    <t>4) Prozentangaben werden standardmäßig mit einer Kommastelle angezeigt</t>
  </si>
  <si>
    <t>Naturwissensch. Realgymnasium</t>
  </si>
  <si>
    <t>inl. FH-Diplom-/MA-Studiengang</t>
  </si>
  <si>
    <t>Gymnasium</t>
  </si>
  <si>
    <t>Externistenreifeprüfung</t>
  </si>
  <si>
    <t>Berufsreifeprüfung</t>
  </si>
  <si>
    <t>Männer</t>
  </si>
  <si>
    <t>Slice Name (Optional)</t>
  </si>
  <si>
    <t>Master-/Diplomst.and.inl.Univ.</t>
  </si>
  <si>
    <t>Bachelorstud. and. inl. Univ.</t>
  </si>
  <si>
    <t>ausl. beschränkte HS-Reife</t>
  </si>
  <si>
    <t>Aufbaumittelschule</t>
  </si>
  <si>
    <t>(Wirtsch.kundl.) RG f.Berufst.</t>
  </si>
  <si>
    <t>Studienjahr 2024/25</t>
  </si>
  <si>
    <t>ALLG Semester.Studienjahr (Langbezeichnung)</t>
  </si>
  <si>
    <t>Studienberechtigungsprüfung</t>
  </si>
  <si>
    <t>H.techn.u.gewerbl. Lehranstalt</t>
  </si>
  <si>
    <t>gilt als inländisch</t>
  </si>
  <si>
    <t>Europäisches Abitur (Ausland)</t>
  </si>
  <si>
    <t>Bachelorstudium eigene Univ.</t>
  </si>
  <si>
    <t>Customer</t>
  </si>
  <si>
    <t>-All Customer</t>
  </si>
  <si>
    <t>Default Alternate Row Member Format --&gt;</t>
  </si>
  <si>
    <t>Bundesland Universität</t>
  </si>
  <si>
    <t>Schulform-Gruppe</t>
  </si>
  <si>
    <t>Realistisches Gymnasium</t>
  </si>
  <si>
    <t>Realgymnasium</t>
  </si>
  <si>
    <t>Master-/Diplomst.eigene Univ.</t>
  </si>
  <si>
    <t>Lehrerbildungsanstalt</t>
  </si>
  <si>
    <t>inl. Pädagogische Hochschule</t>
  </si>
  <si>
    <t>Slicer Item</t>
  </si>
  <si>
    <t>&lt;-- default Slicer Member Format</t>
  </si>
  <si>
    <t>Default Row Member Format --&gt;</t>
  </si>
  <si>
    <t>Grid/Table Name</t>
  </si>
  <si>
    <t>[Measures]</t>
  </si>
  <si>
    <t>Erstzugelassene Studierende</t>
  </si>
  <si>
    <t>Studierende Universitäten</t>
  </si>
  <si>
    <t>IB Diploma (Inland)</t>
  </si>
  <si>
    <t>BA-Stud.bes.Stud.erf.and.BE</t>
  </si>
  <si>
    <t>ord. Neuzugelassene (PN)</t>
  </si>
  <si>
    <t>&lt;-- writeable Slicer Member Format</t>
  </si>
  <si>
    <t>Slice Format 1</t>
  </si>
  <si>
    <t>&lt;-- Gesamtzeile</t>
  </si>
  <si>
    <t>3) Formatierung der Gesamtspalte und -zeile (siehe E25:E26)</t>
  </si>
  <si>
    <t>BA f.Kindergartenpädagogik</t>
  </si>
  <si>
    <t>Frauen-/Männeranteil in %</t>
  </si>
  <si>
    <t>Reifeprüfung nicht relevant</t>
  </si>
  <si>
    <t>Slicer Button</t>
  </si>
  <si>
    <t>+2009</t>
  </si>
  <si>
    <t>&lt;-- default alternate row cell format</t>
  </si>
  <si>
    <t>&lt;--  written cell format</t>
  </si>
  <si>
    <t>Mathematisches Realgymnasium</t>
  </si>
  <si>
    <t>Schulform-Obergruppe</t>
  </si>
  <si>
    <t>künstler. Zulassungsprüfung</t>
  </si>
  <si>
    <t>inl. postsekund. Bildungseinr.</t>
  </si>
  <si>
    <t>Humanistisches Gymnasium</t>
  </si>
  <si>
    <t>Display Formats For:</t>
  </si>
  <si>
    <t>Enabled?</t>
  </si>
  <si>
    <t>&lt;-- Gesamtspalte</t>
  </si>
  <si>
    <t>Ordentliche Neuzugelassene an Universitäten nach Form der allgemeinen Universitätsreife</t>
  </si>
  <si>
    <t>Datenprüfung und -aufbereitung: bmfwf, Abt. I/10</t>
  </si>
  <si>
    <t>Schulform</t>
  </si>
  <si>
    <t>Bundesland</t>
  </si>
  <si>
    <t>Neusprachliches Gymnasium</t>
  </si>
  <si>
    <t>Gymnasium für Berufstätige</t>
  </si>
  <si>
    <t>Slicer Button Hover</t>
  </si>
  <si>
    <t>Label Format--&gt;</t>
  </si>
  <si>
    <t>&lt;--  written cell by another user cell format</t>
  </si>
  <si>
    <t>Summary Written Member</t>
  </si>
  <si>
    <t>Data Format</t>
  </si>
  <si>
    <t>1) Spaltenüberschrift mittels Menüpunkt Daten/Gruppieren/Gruppieren ausblenden</t>
  </si>
  <si>
    <t>[SU Studierende].[Geschlecht]</t>
  </si>
  <si>
    <t>Marital Status</t>
  </si>
  <si>
    <t>Default Writeable Member Format --&gt;</t>
  </si>
  <si>
    <t xml:space="preserve">Studierende </t>
  </si>
  <si>
    <t>Slice Format 2</t>
  </si>
  <si>
    <t>Reife/Koop.-Vertrag (Ausland)</t>
  </si>
  <si>
    <t>Hinweis: Aufgrund der semesterweisen Einspielung von vorläufigen und endgültigen Daten kann im aktuellsten Studienjahr nur der Datenstand des (vorläufigen) Wintersemesters bzw. des endgültigen Wintersemesters und des vorläufigen Sommersemesters verfügbar sein. Unter der Auswahlbox „Semester und Datenstichtag“ ist ersichtlich, welche Semester zu welchem Datenstand verfügbar sind.</t>
  </si>
  <si>
    <t>Quelle: Datenmeldungen der Universitäten auf Basis UHSBV zum jeweiligen Stichtag</t>
  </si>
  <si>
    <t>H.Lehranst. f.wirtsch. Berufe</t>
  </si>
  <si>
    <t>Europäisches Abitur (Inland)</t>
  </si>
  <si>
    <t>ausländische Reifeprüfung</t>
  </si>
  <si>
    <t>Aufbaugymnasium</t>
  </si>
  <si>
    <t>Writeable Member</t>
  </si>
  <si>
    <t>Realschule</t>
  </si>
  <si>
    <t>inl. FH-Bachelorstudiengang</t>
  </si>
  <si>
    <t>H.land- u.forstwirt. Lehranst.</t>
  </si>
  <si>
    <t>Slicer Button Selected</t>
  </si>
  <si>
    <t>&lt;--  summary written cell</t>
  </si>
  <si>
    <t>Formatierungsrichtlinien</t>
  </si>
  <si>
    <t>2) Wenn möglich die nicht hierarchische Darstellung eines Slicers wählen (Slicer Type)</t>
  </si>
  <si>
    <t>5) Formatierung von Zahlen prüfen (Ganzzahl oder Zahl mit einer Kommastelle)</t>
  </si>
  <si>
    <t>BA für Sozialpädagogik</t>
  </si>
</sst>
</file>

<file path=xl/styles.xml><?xml version="1.0" encoding="utf-8"?>
<styleSheet xmlns="http://schemas.openxmlformats.org/spreadsheetml/2006/main">
  <numFmts count="2">
    <numFmt numFmtId="164" formatCode="0.0%"/>
    <numFmt numFmtId="165" formatCode=";;;"/>
  </numFmts>
  <fonts count="35">
    <font>
      <sz val="11"/>
      <color theme="1"/>
      <name val="Calibri"/>
      <family val="2"/>
      <scheme val="minor"/>
    </font>
    <font>
      <sz val="11"/>
      <color indexed="8"/>
      <name val="Calibri"/>
      <family val="2"/>
    </font>
    <font>
      <sz val="11"/>
      <name val="Calibri"/>
      <family val="2"/>
      <scheme val="minor"/>
    </font>
    <font>
      <b/>
      <sz val="11"/>
      <name val="Calibri"/>
      <family val="2"/>
      <scheme val="minor"/>
    </font>
    <font>
      <sz val="10"/>
      <color rgb="FF000000"/>
      <name val="Tahoma"/>
      <family val="2"/>
    </font>
    <font>
      <b/>
      <sz val="10"/>
      <name val="Tahoma"/>
      <family val="2"/>
    </font>
    <font>
      <b/>
      <sz val="8"/>
      <color indexed="23"/>
      <name val="Tahoma"/>
      <family val="2"/>
    </font>
    <font>
      <sz val="9"/>
      <name val="Tahoma"/>
      <family val="2"/>
    </font>
    <font>
      <sz val="11"/>
      <color rgb="FF000000"/>
      <name val="Tahoma"/>
      <family val="2"/>
    </font>
    <font>
      <sz val="10"/>
      <color rgb="FF262626"/>
      <name val="Tahoma"/>
      <family val="2"/>
    </font>
    <font>
      <b/>
      <sz val="11"/>
      <color rgb="FF000000"/>
      <name val="Tahoma"/>
      <family val="2"/>
    </font>
    <font>
      <sz val="10"/>
      <color theme="1" tint="0.34998626667073579"/>
      <name val="Tahoma"/>
      <family val="2"/>
    </font>
    <font>
      <sz val="10"/>
      <name val="Tahoma"/>
      <family val="2"/>
    </font>
    <font>
      <sz val="8"/>
      <name val="Tahoma"/>
      <family val="2"/>
    </font>
    <font>
      <sz val="10"/>
      <color theme="1" tint="0.0499893185216834"/>
      <name val="Tahoma"/>
      <family val="2"/>
    </font>
    <font>
      <sz val="10"/>
      <color rgb="FF595959"/>
      <name val="Tahoma"/>
    </font>
    <font>
      <sz val="10"/>
      <color theme="1" tint="0.14996795556505021"/>
      <name val="Tahoma"/>
      <family val="2"/>
    </font>
    <font>
      <b/>
      <sz val="11"/>
      <color theme="1"/>
      <name val="Calibri"/>
      <family val="2"/>
      <scheme val="minor"/>
    </font>
    <font>
      <sz val="10"/>
      <color rgb="FFFF0000"/>
      <name val="Tahoma"/>
      <family val="2"/>
    </font>
    <font>
      <b/>
      <sz val="8"/>
      <color rgb="FFFF0000"/>
      <name val="Tahoma"/>
      <family val="2"/>
    </font>
    <font>
      <sz val="11"/>
      <color theme="0"/>
      <name val="Calibri"/>
      <family val="2"/>
      <scheme val="minor"/>
    </font>
    <font>
      <b/>
      <sz val="11"/>
      <color theme="3"/>
      <name val="Calibri"/>
      <family val="2"/>
      <scheme val="minor"/>
    </font>
    <font>
      <sz val="11"/>
      <color rgb="FF006100"/>
      <name val="Calibri"/>
      <family val="2"/>
      <scheme val="minor"/>
    </font>
    <font>
      <sz val="11"/>
      <color rgb="FFFA7D00"/>
      <name val="Calibri"/>
      <family val="2"/>
      <scheme val="minor"/>
    </font>
    <font>
      <b/>
      <sz val="18"/>
      <color theme="3"/>
      <name val="Cambria"/>
      <family val="2"/>
      <scheme val="major"/>
    </font>
    <font>
      <b/>
      <sz val="11"/>
      <color rgb="FF3F3F3F"/>
      <name val="Calibri"/>
      <family val="2"/>
      <scheme val="minor"/>
    </font>
    <font>
      <b/>
      <sz val="15"/>
      <color theme="3"/>
      <name val="Calibri"/>
      <family val="2"/>
      <scheme val="minor"/>
    </font>
    <font>
      <sz val="11"/>
      <color rgb="FFFF0000"/>
      <name val="Calibri"/>
      <family val="2"/>
      <scheme val="minor"/>
    </font>
    <font>
      <b/>
      <sz val="11"/>
      <color rgb="FFFA7D00"/>
      <name val="Calibri"/>
      <family val="2"/>
      <scheme val="minor"/>
    </font>
    <font>
      <b/>
      <sz val="13"/>
      <color theme="3"/>
      <name val="Calibri"/>
      <family val="2"/>
      <scheme val="minor"/>
    </font>
    <font>
      <b/>
      <sz val="11"/>
      <color theme="0"/>
      <name val="Calibri"/>
      <family val="2"/>
      <scheme val="minor"/>
    </font>
    <font>
      <sz val="11"/>
      <color rgb="FF9C6500"/>
      <name val="Calibri"/>
      <family val="2"/>
      <scheme val="minor"/>
    </font>
    <font>
      <sz val="11"/>
      <color rgb="FF3F3F76"/>
      <name val="Calibri"/>
      <family val="2"/>
      <scheme val="minor"/>
    </font>
    <font>
      <i/>
      <sz val="11"/>
      <color rgb="FF7F7F7F"/>
      <name val="Calibri"/>
      <family val="2"/>
      <scheme val="minor"/>
    </font>
    <font>
      <sz val="11"/>
      <color rgb="FF9C0006"/>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rgb="FFD9D9D9"/>
        <bgColor rgb="FFFFFFFF"/>
      </patternFill>
    </fill>
    <fill>
      <patternFill patternType="solid">
        <fgColor rgb="FFC0C0C0"/>
        <bgColor rgb="FFFFFFFF"/>
      </patternFill>
    </fill>
    <fill>
      <patternFill patternType="solid">
        <fgColor rgb="FFC6D9F1"/>
        <bgColor rgb="FFFFFFFF"/>
      </patternFill>
    </fill>
    <fill>
      <patternFill patternType="solid">
        <fgColor rgb="FFDDDDDD"/>
        <bgColor indexed="64"/>
      </patternFill>
    </fill>
    <fill>
      <patternFill patternType="solid">
        <fgColor rgb="FFC0C0C0"/>
        <bgColor indexed="64"/>
      </patternFill>
    </fill>
    <fill>
      <patternFill patternType="solid">
        <fgColor indexed="42"/>
        <bgColor indexed="64"/>
      </patternFill>
    </fill>
    <fill>
      <patternFill patternType="solid">
        <fgColor rgb="FFDDDDDD"/>
        <bgColor rgb="FFFFFFFF"/>
      </patternFill>
    </fill>
    <fill>
      <patternFill patternType="solid">
        <fgColor indexed="43"/>
        <bgColor indexed="64"/>
      </patternFill>
    </fill>
    <fill>
      <patternFill patternType="solid">
        <fgColor indexed="40"/>
        <bgColor indexed="64"/>
      </patternFill>
    </fill>
    <fill>
      <patternFill patternType="solid">
        <fgColor rgb="FFD9D9D9"/>
        <bgColor indexed="64"/>
      </patternFill>
    </fill>
  </fills>
  <borders count="8">
    <border>
      <left/>
      <right/>
      <top/>
      <bottom/>
      <diagonal/>
    </border>
    <border>
      <left style="hair">
        <color rgb="FFC0C0C0"/>
      </left>
      <right style="hair">
        <color rgb="FFC0C0C0"/>
      </right>
      <top style="hair">
        <color rgb="FFC0C0C0"/>
      </top>
      <bottom style="hair">
        <color rgb="FFC0C0C0"/>
      </bottom>
      <diagonal/>
    </border>
    <border>
      <left style="hair">
        <color rgb="FFC0C0C0"/>
      </left>
      <right/>
      <top style="hair">
        <color rgb="FFC0C0C0"/>
      </top>
      <bottom/>
      <diagonal/>
    </border>
    <border>
      <left/>
      <right style="hair">
        <color rgb="FFC0C0C0"/>
      </right>
      <top/>
      <bottom/>
      <diagonal/>
    </border>
    <border>
      <left style="hair">
        <color indexed="22"/>
      </left>
      <right style="hair">
        <color indexed="22"/>
      </right>
      <top style="hair">
        <color indexed="22"/>
      </top>
      <bottom style="hair">
        <color indexed="22"/>
      </bottom>
      <diagonal/>
    </border>
    <border>
      <left style="hair">
        <color rgb="FFC0C0C0"/>
      </left>
      <right style="hair">
        <color rgb="FFC0C0C0"/>
      </right>
      <top style="hair">
        <color rgb="FFC0C0C0"/>
      </top>
      <bottom/>
      <diagonal/>
    </border>
    <border>
      <left style="hair">
        <color rgb="FFC0C0C0"/>
      </left>
      <right/>
      <top style="hair">
        <color rgb="FFC0C0C0"/>
      </top>
      <bottom style="hair">
        <color rgb="FFC0C0C0"/>
      </bottom>
      <diagonal/>
    </border>
    <border>
      <left style="thin">
        <color indexed="23"/>
      </left>
      <right/>
      <top/>
      <bottom/>
      <diagonal/>
    </border>
  </borders>
  <cellStyleXfs count="2">
    <xf numFmtId="0" fontId="0" fillId="0" borderId="0"/>
    <xf numFmtId="0" fontId="1" fillId="0" borderId="0"/>
  </cellStyleXfs>
  <cellXfs count="73">
    <xf numFmtId="0" fontId="0" fillId="0" borderId="0" xfId="0"/>
    <xf numFmtId="0" fontId="2" fillId="0" borderId="0" xfId="0" applyFont="1" applyFill="1" applyBorder="1"/>
    <xf numFmtId="3" fontId="3" fillId="0" borderId="0" xfId="0" applyNumberFormat="1" applyFont="1" applyFill="1" applyBorder="1"/>
    <xf numFmtId="0" fontId="4" fillId="0" borderId="0" xfId="0" quotePrefix="1" applyFont="1" applyFill="1" applyAlignment="1">
      <alignment horizontal="left" vertical="top" wrapText="1"/>
    </xf>
    <xf numFmtId="0" fontId="5" fillId="0" borderId="0" xfId="0" applyFont="1"/>
    <xf numFmtId="0" fontId="6" fillId="0" borderId="0" xfId="0" applyFont="1"/>
    <xf numFmtId="0" fontId="0" fillId="0" borderId="0" xfId="0" applyFill="1" applyAlignment="1"/>
    <xf numFmtId="0" fontId="7" fillId="2" borderId="0" xfId="1" applyFont="1" applyFill="1" applyBorder="1" applyAlignment="1">
      <alignment horizontal="center"/>
    </xf>
    <xf numFmtId="0" fontId="8" fillId="0" borderId="0" xfId="0" applyFont="1" applyFill="1" applyAlignment="1">
      <alignment vertical="center"/>
    </xf>
    <xf numFmtId="0" fontId="9" fillId="0" borderId="1" xfId="0" quotePrefix="1" applyFont="1" applyFill="1" applyBorder="1" applyAlignment="1" applyProtection="1">
      <alignment horizontal="right"/>
    </xf>
    <xf numFmtId="0" fontId="4" fillId="0" borderId="0" xfId="0" applyFont="1" applyFill="1" applyAlignment="1"/>
    <xf numFmtId="0" fontId="10" fillId="0" borderId="0" xfId="0" applyFont="1" applyFill="1" applyAlignment="1">
      <alignment vertical="top"/>
    </xf>
    <xf numFmtId="0" fontId="4" fillId="0" borderId="0" xfId="0" applyFont="1" applyFill="1" applyAlignment="1">
      <alignment vertical="top"/>
    </xf>
    <xf numFmtId="0" fontId="9" fillId="0" borderId="1" xfId="0" applyFont="1" applyFill="1" applyBorder="1" applyAlignment="1" applyProtection="1">
      <alignment horizontal="right"/>
    </xf>
    <xf numFmtId="0" fontId="11" fillId="3" borderId="0" xfId="0" applyFont="1" applyFill="1" applyAlignment="1"/>
    <xf numFmtId="0" fontId="12" fillId="0" borderId="0" xfId="0" applyNumberFormat="1" applyFont="1" applyAlignment="1"/>
    <xf numFmtId="3" fontId="9" fillId="4" borderId="1" xfId="0" applyNumberFormat="1" applyFont="1" applyFill="1" applyBorder="1" applyAlignment="1" applyProtection="1">
      <alignment horizontal="right" vertical="center"/>
    </xf>
    <xf numFmtId="0" fontId="13" fillId="0" borderId="0" xfId="1" applyFont="1"/>
    <xf numFmtId="0" fontId="14" fillId="0" borderId="0" xfId="0" applyFont="1"/>
    <xf numFmtId="0" fontId="9" fillId="0" borderId="1" xfId="0" quotePrefix="1" applyFont="1" applyFill="1" applyBorder="1" applyAlignment="1" applyProtection="1">
      <alignment horizontal="center"/>
    </xf>
    <xf numFmtId="0" fontId="9" fillId="0" borderId="2" xfId="0" applyFont="1" applyBorder="1" applyAlignment="1" applyProtection="1">
      <alignment horizontal="right"/>
    </xf>
    <xf numFmtId="164" fontId="9" fillId="5" borderId="1" xfId="0" quotePrefix="1" applyNumberFormat="1" applyFont="1" applyFill="1" applyBorder="1" applyAlignment="1" applyProtection="1">
      <alignment horizontal="center"/>
    </xf>
    <xf numFmtId="164" fontId="9" fillId="4" borderId="1" xfId="0" applyNumberFormat="1" applyFont="1" applyFill="1" applyBorder="1" applyAlignment="1" applyProtection="1">
      <alignment horizontal="right" vertical="center"/>
    </xf>
    <xf numFmtId="0" fontId="15" fillId="6" borderId="3" xfId="0" quotePrefix="1" applyFont="1" applyFill="1" applyBorder="1" applyAlignment="1" applyProtection="1"/>
    <xf numFmtId="0" fontId="13" fillId="3" borderId="0" xfId="1" applyFont="1" applyFill="1"/>
    <xf numFmtId="3" fontId="9" fillId="0" borderId="1" xfId="0" applyNumberFormat="1" applyFont="1" applyFill="1" applyBorder="1" applyAlignment="1" applyProtection="1">
      <alignment horizontal="right"/>
    </xf>
    <xf numFmtId="0" fontId="4" fillId="0" borderId="0" xfId="0" quotePrefix="1" applyFont="1" applyFill="1" applyAlignment="1">
      <alignment vertical="top"/>
    </xf>
    <xf numFmtId="0" fontId="12" fillId="0" borderId="0" xfId="0" applyFont="1"/>
    <xf numFmtId="0" fontId="6" fillId="0" borderId="0" xfId="0" applyFont="1" applyAlignment="1">
      <alignment horizontal="right"/>
    </xf>
    <xf numFmtId="0" fontId="16" fillId="0" borderId="0" xfId="0" applyFont="1"/>
    <xf numFmtId="164" fontId="9" fillId="5" borderId="1" xfId="0" applyNumberFormat="1" applyFont="1" applyFill="1" applyBorder="1" applyAlignment="1" applyProtection="1">
      <alignment horizontal="right"/>
    </xf>
    <xf numFmtId="0" fontId="12" fillId="0" borderId="0" xfId="0" applyFont="1" applyAlignment="1">
      <alignment horizontal="center"/>
    </xf>
    <xf numFmtId="0" fontId="9" fillId="0" borderId="2" xfId="0" applyFont="1" applyBorder="1" applyAlignment="1" applyProtection="1">
      <alignment horizontal="center"/>
    </xf>
    <xf numFmtId="0" fontId="12" fillId="0" borderId="0" xfId="0" applyFont="1" applyFill="1" applyBorder="1" applyAlignment="1">
      <alignment vertical="center"/>
    </xf>
    <xf numFmtId="3" fontId="12" fillId="0" borderId="0" xfId="0" applyNumberFormat="1" applyFont="1" applyAlignment="1"/>
    <xf numFmtId="0" fontId="5" fillId="0" borderId="0" xfId="0" applyFont="1" applyFill="1" applyBorder="1" applyAlignment="1">
      <alignment vertical="center"/>
    </xf>
    <xf numFmtId="0" fontId="16" fillId="0" borderId="4" xfId="0" quotePrefix="1" applyFont="1" applyFill="1" applyBorder="1" applyAlignment="1">
      <alignment horizontal="right"/>
    </xf>
    <xf numFmtId="0" fontId="9" fillId="7" borderId="2" xfId="0" applyFont="1" applyFill="1" applyBorder="1" applyAlignment="1" applyProtection="1">
      <alignment horizontal="right"/>
    </xf>
    <xf numFmtId="0" fontId="16" fillId="0" borderId="4" xfId="0" quotePrefix="1" applyFont="1" applyFill="1" applyBorder="1" applyAlignment="1"/>
    <xf numFmtId="164" fontId="9" fillId="8" borderId="2" xfId="0" applyNumberFormat="1" applyFont="1" applyFill="1" applyBorder="1" applyAlignment="1" applyProtection="1">
      <alignment horizontal="center"/>
    </xf>
    <xf numFmtId="3" fontId="12" fillId="9" borderId="0" xfId="0" applyNumberFormat="1" applyFont="1" applyFill="1" applyAlignment="1"/>
    <xf numFmtId="3" fontId="9" fillId="10" borderId="1" xfId="0" applyNumberFormat="1" applyFont="1" applyFill="1" applyBorder="1" applyAlignment="1" applyProtection="1">
      <alignment horizontal="right"/>
    </xf>
    <xf numFmtId="0" fontId="17" fillId="0" borderId="0" xfId="0" applyFont="1" applyFill="1" applyAlignment="1"/>
    <xf numFmtId="0" fontId="9" fillId="0" borderId="1" xfId="0" applyFont="1" applyFill="1" applyBorder="1" applyAlignment="1" applyProtection="1">
      <alignment vertical="center"/>
    </xf>
    <xf numFmtId="0" fontId="12" fillId="0" borderId="0" xfId="0" quotePrefix="1" applyFont="1" applyFill="1"/>
    <xf numFmtId="0" fontId="4" fillId="0" borderId="0" xfId="0" quotePrefix="1" applyFont="1" applyFill="1" applyAlignment="1"/>
    <xf numFmtId="0" fontId="12" fillId="11" borderId="0" xfId="0" applyNumberFormat="1" applyFont="1" applyFill="1" applyAlignment="1"/>
    <xf numFmtId="0" fontId="12" fillId="11" borderId="0" xfId="0" applyFont="1" applyFill="1"/>
    <xf numFmtId="0" fontId="9" fillId="7" borderId="5" xfId="0" applyFont="1" applyFill="1" applyBorder="1" applyAlignment="1" applyProtection="1">
      <alignment horizontal="right"/>
    </xf>
    <xf numFmtId="0" fontId="12" fillId="0" borderId="0" xfId="0" applyNumberFormat="1" applyFont="1" applyFill="1" applyBorder="1" applyAlignment="1"/>
    <xf numFmtId="0" fontId="9" fillId="10" borderId="1" xfId="0" applyFont="1" applyFill="1" applyBorder="1" applyAlignment="1" applyProtection="1">
      <alignment horizontal="right"/>
    </xf>
    <xf numFmtId="0" fontId="13" fillId="11" borderId="0" xfId="1" applyFont="1" applyFill="1"/>
    <xf numFmtId="3" fontId="12" fillId="12" borderId="0" xfId="0" applyNumberFormat="1" applyFont="1" applyFill="1" applyAlignment="1"/>
    <xf numFmtId="0" fontId="12" fillId="0" borderId="0" xfId="0" quotePrefix="1" applyFont="1"/>
    <xf numFmtId="0" fontId="9" fillId="13" borderId="6" xfId="0" applyFont="1" applyFill="1" applyBorder="1" applyAlignment="1" applyProtection="1">
      <alignment vertical="center"/>
    </xf>
    <xf numFmtId="3" fontId="12" fillId="11" borderId="0" xfId="0" applyNumberFormat="1" applyFont="1" applyFill="1" applyAlignment="1"/>
    <xf numFmtId="0" fontId="0" fillId="0" borderId="0" xfId="0" applyFont="1"/>
    <xf numFmtId="0" fontId="9" fillId="13" borderId="1" xfId="0" applyFont="1" applyFill="1" applyBorder="1" applyAlignment="1" applyProtection="1">
      <alignment vertical="center"/>
    </xf>
    <xf numFmtId="3" fontId="5" fillId="0" borderId="0" xfId="0" applyNumberFormat="1" applyFont="1" applyFill="1" applyAlignment="1"/>
    <xf numFmtId="0" fontId="6" fillId="0" borderId="0" xfId="0" applyFont="1" applyAlignment="1">
      <alignment horizontal="center"/>
    </xf>
    <xf numFmtId="0" fontId="12" fillId="0" borderId="0" xfId="0" applyNumberFormat="1" applyFont="1"/>
    <xf numFmtId="0" fontId="18" fillId="0" borderId="0" xfId="0" applyFont="1"/>
    <xf numFmtId="0" fontId="7" fillId="2" borderId="7" xfId="1" applyFont="1" applyFill="1" applyBorder="1" applyAlignment="1">
      <alignment horizontal="center"/>
    </xf>
    <xf numFmtId="165" fontId="12" fillId="0" borderId="0" xfId="0" applyNumberFormat="1" applyFont="1"/>
    <xf numFmtId="0" fontId="9" fillId="4" borderId="1" xfId="0" applyFont="1" applyFill="1" applyBorder="1" applyAlignment="1" applyProtection="1">
      <alignment vertical="center"/>
    </xf>
    <xf numFmtId="2" fontId="12" fillId="0" borderId="0" xfId="0" applyNumberFormat="1" applyFont="1"/>
    <xf numFmtId="164" fontId="9" fillId="8" borderId="2" xfId="0" applyNumberFormat="1" applyFont="1" applyFill="1" applyBorder="1" applyAlignment="1" applyProtection="1">
      <alignment horizontal="right"/>
    </xf>
    <xf numFmtId="0" fontId="16" fillId="0" borderId="4" xfId="0" applyFont="1" applyFill="1" applyBorder="1" applyAlignment="1">
      <alignment vertical="center"/>
    </xf>
    <xf numFmtId="0" fontId="9" fillId="0" borderId="1" xfId="0" quotePrefix="1" applyFont="1" applyBorder="1" applyAlignment="1" applyProtection="1"/>
    <xf numFmtId="3" fontId="16" fillId="0" borderId="4" xfId="0" applyNumberFormat="1" applyFont="1" applyFill="1" applyBorder="1" applyAlignment="1"/>
    <xf numFmtId="0" fontId="17" fillId="0" borderId="0" xfId="0" applyFont="1"/>
    <xf numFmtId="0" fontId="0" fillId="0" borderId="0" xfId="0" applyFont="1" applyFill="1" applyAlignment="1"/>
    <xf numFmtId="0" fontId="19" fillId="0" borderId="0" xfId="0" applyFont="1"/>
  </cellXfs>
  <cellStyles count="2">
    <cellStyle name="Normal" xfId="0" builtinId="0"/>
    <cellStyle name="Normal_Sheet1" xfId="1"/>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drawings/_rels/drawing1.xml.rels>&#65279;<?xml version="1.0" encoding="utf-8"?><Relationships xmlns="http://schemas.openxmlformats.org/package/2006/relationships"><Relationship Id="rId1" Type="http://schemas.openxmlformats.org/officeDocument/2006/relationships/image" Target="../media/image2.png" /><Relationship Id="rId2" Type="http://schemas.openxmlformats.org/officeDocument/2006/relationships/image" Target="../media/image1.png" /></Relationships>
</file>

<file path=xl/drawings/drawing1.xml><?xml version="1.0" encoding="utf-8"?>
<xdr:wsDr xmlns:a="http://schemas.openxmlformats.org/drawingml/2006/main" xmlns:xdr="http://schemas.openxmlformats.org/drawingml/2006/spreadsheetDrawing">
  <xdr:twoCellAnchor editAs="oneCell">
    <xdr:from>
      <xdr:col>0</xdr:col>
      <xdr:colOff>3333222</xdr:colOff>
      <xdr:row>7</xdr:row>
      <xdr:rowOff>0</xdr:rowOff>
    </xdr:from>
    <xdr:to>
      <xdr:col>5</xdr:col>
      <xdr:colOff>281181</xdr:colOff>
      <xdr:row>8</xdr:row>
      <xdr:rowOff>0</xdr:rowOff>
    </xdr:to>
    <xdr:pic>
      <xdr:nvPicPr>
        <xdr:cNvPr id="3" name="Picture 2"/>
        <xdr:cNvPicPr>
          <a:picLocks/>
        </xdr:cNvPicPr>
      </xdr:nvPicPr>
      <xdr:blipFill>
        <a:blip xmlns:r="http://schemas.openxmlformats.org/officeDocument/2006/relationships" r:embed="rId1"/>
        <a:stretch>
          <a:fillRect/>
        </a:stretch>
      </xdr:blipFill>
      <xdr:spPr>
        <a:xfrm>
          <a:off x="3333222" y="1730375"/>
          <a:ext cx="3697007" cy="189865"/>
        </a:xfrm>
        <a:prstGeom prst="rect">
          <a:avLst/>
        </a:prstGeom>
        <a:noFill/>
        <a:ln w="0">
          <a:noFill/>
        </a:ln>
      </xdr:spPr>
    </xdr:pic>
    <xdr:clientData/>
  </xdr:twoCellAnchor>
  <xdr:twoCellAnchor editAs="oneCell">
    <xdr:from>
      <xdr:col>0</xdr:col>
      <xdr:colOff>3333222</xdr:colOff>
      <xdr:row>7</xdr:row>
      <xdr:rowOff>189865</xdr:rowOff>
    </xdr:from>
    <xdr:to>
      <xdr:col>5</xdr:col>
      <xdr:colOff>281181</xdr:colOff>
      <xdr:row>8</xdr:row>
      <xdr:rowOff>189865</xdr:rowOff>
    </xdr:to>
    <xdr:pic>
      <xdr:nvPicPr>
        <xdr:cNvPr id="4" name="Picture 3"/>
        <xdr:cNvPicPr>
          <a:picLocks/>
        </xdr:cNvPicPr>
      </xdr:nvPicPr>
      <xdr:blipFill>
        <a:blip xmlns:r="http://schemas.openxmlformats.org/officeDocument/2006/relationships" r:embed="rId2"/>
        <a:stretch>
          <a:fillRect/>
        </a:stretch>
      </xdr:blipFill>
      <xdr:spPr>
        <a:xfrm>
          <a:off x="3333222" y="1920240"/>
          <a:ext cx="3697007" cy="189865"/>
        </a:xfrm>
        <a:prstGeom prst="rect">
          <a:avLst/>
        </a:prstGeom>
        <a:noFill/>
        <a:ln w="0">
          <a:noFill/>
        </a:ln>
      </xdr:spPr>
    </xdr:pic>
    <xdr:clientData/>
  </xdr:twoCellAnchor>
  <xdr:twoCellAnchor editAs="oneCell">
    <xdr:from>
      <xdr:col>0</xdr:col>
      <xdr:colOff>3333222</xdr:colOff>
      <xdr:row>8</xdr:row>
      <xdr:rowOff>189865</xdr:rowOff>
    </xdr:from>
    <xdr:to>
      <xdr:col>5</xdr:col>
      <xdr:colOff>281181</xdr:colOff>
      <xdr:row>10</xdr:row>
      <xdr:rowOff>0</xdr:rowOff>
    </xdr:to>
    <xdr:pic>
      <xdr:nvPicPr>
        <xdr:cNvPr id="5" name="Picture 4"/>
        <xdr:cNvPicPr>
          <a:picLocks/>
        </xdr:cNvPicPr>
      </xdr:nvPicPr>
      <xdr:blipFill>
        <a:blip xmlns:r="http://schemas.openxmlformats.org/officeDocument/2006/relationships" r:embed="rId2"/>
        <a:stretch>
          <a:fillRect/>
        </a:stretch>
      </xdr:blipFill>
      <xdr:spPr>
        <a:xfrm>
          <a:off x="3333222" y="2110105"/>
          <a:ext cx="3697007" cy="189865"/>
        </a:xfrm>
        <a:prstGeom prst="rect">
          <a:avLst/>
        </a:prstGeom>
        <a:noFill/>
        <a:ln w="0">
          <a:noFill/>
        </a:ln>
      </xdr:spPr>
    </xdr:pic>
    <xdr:clientData/>
  </xdr:twoCellAnchor>
  <xdr:twoCellAnchor editAs="oneCell">
    <xdr:from>
      <xdr:col>0</xdr:col>
      <xdr:colOff>3333222</xdr:colOff>
      <xdr:row>11</xdr:row>
      <xdr:rowOff>0</xdr:rowOff>
    </xdr:from>
    <xdr:to>
      <xdr:col>5</xdr:col>
      <xdr:colOff>281181</xdr:colOff>
      <xdr:row>12</xdr:row>
      <xdr:rowOff>0</xdr:rowOff>
    </xdr:to>
    <xdr:pic>
      <xdr:nvPicPr>
        <xdr:cNvPr id="6" name="Picture 5"/>
        <xdr:cNvPicPr>
          <a:picLocks/>
        </xdr:cNvPicPr>
      </xdr:nvPicPr>
      <xdr:blipFill>
        <a:blip xmlns:r="http://schemas.openxmlformats.org/officeDocument/2006/relationships" r:embed="rId2"/>
        <a:stretch>
          <a:fillRect/>
        </a:stretch>
      </xdr:blipFill>
      <xdr:spPr>
        <a:xfrm>
          <a:off x="3333222" y="2489835"/>
          <a:ext cx="3697007" cy="189865"/>
        </a:xfrm>
        <a:prstGeom prst="rect">
          <a:avLst/>
        </a:prstGeom>
        <a:noFill/>
        <a:ln w="0">
          <a:noFill/>
        </a:ln>
      </xdr:spPr>
    </xdr:pic>
    <xdr:clientData/>
  </xdr:twoCellAnchor>
  <xdr:twoCellAnchor editAs="oneCell">
    <xdr:from>
      <xdr:col>0</xdr:col>
      <xdr:colOff>3333222</xdr:colOff>
      <xdr:row>12</xdr:row>
      <xdr:rowOff>189865</xdr:rowOff>
    </xdr:from>
    <xdr:to>
      <xdr:col>5</xdr:col>
      <xdr:colOff>281181</xdr:colOff>
      <xdr:row>14</xdr:row>
      <xdr:rowOff>0</xdr:rowOff>
    </xdr:to>
    <xdr:pic>
      <xdr:nvPicPr>
        <xdr:cNvPr id="7" name="Picture 6"/>
        <xdr:cNvPicPr>
          <a:picLocks/>
        </xdr:cNvPicPr>
      </xdr:nvPicPr>
      <xdr:blipFill>
        <a:blip xmlns:r="http://schemas.openxmlformats.org/officeDocument/2006/relationships" r:embed="rId2"/>
        <a:stretch>
          <a:fillRect/>
        </a:stretch>
      </xdr:blipFill>
      <xdr:spPr>
        <a:xfrm>
          <a:off x="3333222" y="2869565"/>
          <a:ext cx="3697007" cy="189865"/>
        </a:xfrm>
        <a:prstGeom prst="rect">
          <a:avLst/>
        </a:prstGeom>
        <a:noFill/>
        <a:ln w="0">
          <a:noFill/>
        </a:ln>
      </xdr:spPr>
    </xdr:pic>
    <xdr:clientData/>
  </xdr:twoCellAnchor>
  <xdr:twoCellAnchor editAs="oneCell">
    <xdr:from>
      <xdr:col>0</xdr:col>
      <xdr:colOff>3333222</xdr:colOff>
      <xdr:row>13</xdr:row>
      <xdr:rowOff>189865</xdr:rowOff>
    </xdr:from>
    <xdr:to>
      <xdr:col>5</xdr:col>
      <xdr:colOff>281181</xdr:colOff>
      <xdr:row>15</xdr:row>
      <xdr:rowOff>0</xdr:rowOff>
    </xdr:to>
    <xdr:pic>
      <xdr:nvPicPr>
        <xdr:cNvPr id="8" name="Picture 7"/>
        <xdr:cNvPicPr>
          <a:picLocks/>
        </xdr:cNvPicPr>
      </xdr:nvPicPr>
      <xdr:blipFill>
        <a:blip xmlns:r="http://schemas.openxmlformats.org/officeDocument/2006/relationships" r:embed="rId2"/>
        <a:stretch>
          <a:fillRect/>
        </a:stretch>
      </xdr:blipFill>
      <xdr:spPr>
        <a:xfrm>
          <a:off x="3333222" y="3059430"/>
          <a:ext cx="3697007" cy="189865"/>
        </a:xfrm>
        <a:prstGeom prst="rect">
          <a:avLst/>
        </a:prstGeom>
        <a:noFill/>
        <a:ln w="0">
          <a:noFill/>
        </a:ln>
      </xdr:spPr>
    </xdr:pic>
    <xdr:clientData/>
  </xdr:twoCellAnchor>
  <xdr:twoCellAnchor editAs="oneCell">
    <xdr:from>
      <xdr:col>0</xdr:col>
      <xdr:colOff>3333222</xdr:colOff>
      <xdr:row>12</xdr:row>
      <xdr:rowOff>0</xdr:rowOff>
    </xdr:from>
    <xdr:to>
      <xdr:col>5</xdr:col>
      <xdr:colOff>281181</xdr:colOff>
      <xdr:row>13</xdr:row>
      <xdr:rowOff>0</xdr:rowOff>
    </xdr:to>
    <xdr:pic>
      <xdr:nvPicPr>
        <xdr:cNvPr id="9" name="Picture 8"/>
        <xdr:cNvPicPr>
          <a:picLocks/>
        </xdr:cNvPicPr>
      </xdr:nvPicPr>
      <xdr:blipFill>
        <a:blip xmlns:r="http://schemas.openxmlformats.org/officeDocument/2006/relationships" r:embed="rId2"/>
        <a:stretch>
          <a:fillRect/>
        </a:stretch>
      </xdr:blipFill>
      <xdr:spPr>
        <a:xfrm>
          <a:off x="3333222" y="2679700"/>
          <a:ext cx="3697007" cy="189865"/>
        </a:xfrm>
        <a:prstGeom prst="rect">
          <a:avLst/>
        </a:prstGeom>
        <a:noFill/>
        <a:ln w="0">
          <a:noFill/>
        </a:ln>
      </xdr:spPr>
    </xdr:pic>
    <xdr:clientData/>
  </xdr:twoCellAnchor>
  <xdr:twoCellAnchor editAs="oneCell">
    <xdr:from>
      <xdr:col>0</xdr:col>
      <xdr:colOff>3333222</xdr:colOff>
      <xdr:row>10</xdr:row>
      <xdr:rowOff>0</xdr:rowOff>
    </xdr:from>
    <xdr:to>
      <xdr:col>5</xdr:col>
      <xdr:colOff>281181</xdr:colOff>
      <xdr:row>10</xdr:row>
      <xdr:rowOff>189865</xdr:rowOff>
    </xdr:to>
    <xdr:pic>
      <xdr:nvPicPr>
        <xdr:cNvPr id="10" name="Picture 9"/>
        <xdr:cNvPicPr>
          <a:picLocks/>
        </xdr:cNvPicPr>
      </xdr:nvPicPr>
      <xdr:blipFill>
        <a:blip xmlns:r="http://schemas.openxmlformats.org/officeDocument/2006/relationships" r:embed="rId2"/>
        <a:stretch>
          <a:fillRect/>
        </a:stretch>
      </xdr:blipFill>
      <xdr:spPr>
        <a:xfrm>
          <a:off x="3333222" y="2299970"/>
          <a:ext cx="3697007" cy="189865"/>
        </a:xfrm>
        <a:prstGeom prst="rect">
          <a:avLst/>
        </a:prstGeom>
        <a:noFill/>
        <a:ln w="0">
          <a:noFill/>
        </a:ln>
      </xdr:spPr>
    </xdr:pic>
    <xdr:clientData/>
  </xdr:twoCellAnchor>
</xdr:wsDr>
</file>

<file path=xl/drawings/drawing2.xml><?xml version="1.0" encoding="utf-8"?>
<xdr:wsDr xmlns:a="http://schemas.openxmlformats.org/drawingml/2006/main" xmlns:xdr="http://schemas.openxmlformats.org/drawingml/2006/spreadsheetDrawing">
  <xdr:twoCellAnchor editAs="absolute">
    <xdr:from>
      <xdr:col>9</xdr:col>
      <xdr:colOff>114300</xdr:colOff>
      <xdr:row>3</xdr:row>
      <xdr:rowOff>109220</xdr:rowOff>
    </xdr:from>
    <xdr:to>
      <xdr:col>10</xdr:col>
      <xdr:colOff>305497</xdr:colOff>
      <xdr:row>7</xdr:row>
      <xdr:rowOff>104140</xdr:rowOff>
    </xdr:to>
    <xdr:sp macro="" textlink="">
      <xdr:nvSpPr>
        <xdr:cNvPr id="2" name="Comment 1" hidden="1"/>
        <xdr:cNvSpPr txBox="1"/>
      </xdr:nvSpPr>
      <xdr:spPr>
        <a:xfrm>
          <a:off x="12905418" y="627380"/>
          <a:ext cx="1097280" cy="685800"/>
        </a:xfrm>
        <a:prstGeom prst="rect">
          <a:avLst/>
        </a:prstGeom>
        <a:solidFill>
          <a:srgbClr val="FFFFE1"/>
        </a:solidFill>
        <a:ln w="9525">
          <a:solidFill>
            <a:srgbClr val="000000"/>
          </a:solidFill>
        </a:ln>
      </xdr:spPr>
      <xdr:txBody>
        <a:bodyPr rtlCol="0"/>
        <a:lstStyle/>
        <a:p>
          <a:pPr algn="l"/>
          <a:r>
            <a:rPr/>
            <a:t>XLCubed:</a:t>
          </a:r>
        </a:p>
        <a:p>
          <a:pPr algn="l"/>
          <a:r>
            <a:rPr/>
            <a:t>Blank name gives the default format.</a:t>
          </a:r>
        </a:p>
        <a:p>
          <a:pPr algn="l"/>
          <a:r>
            <a:rPr/>
            <a:t>Specify slicer name for slicer specific formats</a:t>
          </a:r>
        </a:p>
      </xdr:txBody>
    </xdr:sp>
    <xdr:clientData/>
  </xdr:twoCellAnchor>
  <xdr:twoCellAnchor editAs="absolute">
    <xdr:from>
      <xdr:col>10</xdr:col>
      <xdr:colOff>114300</xdr:colOff>
      <xdr:row>3</xdr:row>
      <xdr:rowOff>109220</xdr:rowOff>
    </xdr:from>
    <xdr:to>
      <xdr:col>11</xdr:col>
      <xdr:colOff>305497</xdr:colOff>
      <xdr:row>7</xdr:row>
      <xdr:rowOff>104140</xdr:rowOff>
    </xdr:to>
    <xdr:sp macro="" textlink="">
      <xdr:nvSpPr>
        <xdr:cNvPr id="3" name="Comment 2" hidden="1"/>
        <xdr:cNvSpPr txBox="1"/>
      </xdr:nvSpPr>
      <xdr:spPr>
        <a:xfrm>
          <a:off x="13811500" y="627380"/>
          <a:ext cx="1097280" cy="685800"/>
        </a:xfrm>
        <a:prstGeom prst="rect">
          <a:avLst/>
        </a:prstGeom>
        <a:solidFill>
          <a:srgbClr val="FFFFE1"/>
        </a:solidFill>
        <a:ln w="9525">
          <a:solidFill>
            <a:srgbClr val="000000"/>
          </a:solidFill>
        </a:ln>
      </xdr:spPr>
      <xdr:txBody>
        <a:bodyPr rtlCol="0"/>
        <a:lstStyle/>
        <a:p>
          <a:pPr algn="l"/>
          <a:r>
            <a:rPr/>
            <a:t>Display format for slicer title</a:t>
          </a:r>
        </a:p>
        <a:p>
          <a:pPr algn="l"/>
          <a:endParaRPr/>
        </a:p>
        <a:p>
          <a:pPr algn="l"/>
          <a:endParaRPr/>
        </a:p>
      </xdr:txBody>
    </xdr:sp>
    <xdr:clientData/>
  </xdr:twoCellAnchor>
  <xdr:twoCellAnchor editAs="absolute">
    <xdr:from>
      <xdr:col>11</xdr:col>
      <xdr:colOff>114300</xdr:colOff>
      <xdr:row>3</xdr:row>
      <xdr:rowOff>109220</xdr:rowOff>
    </xdr:from>
    <xdr:to>
      <xdr:col>12</xdr:col>
      <xdr:colOff>305497</xdr:colOff>
      <xdr:row>7</xdr:row>
      <xdr:rowOff>104140</xdr:rowOff>
    </xdr:to>
    <xdr:sp macro="" textlink="">
      <xdr:nvSpPr>
        <xdr:cNvPr id="4" name="Comment 3" hidden="1"/>
        <xdr:cNvSpPr txBox="1"/>
      </xdr:nvSpPr>
      <xdr:spPr>
        <a:xfrm>
          <a:off x="14717583" y="627380"/>
          <a:ext cx="1097280" cy="685800"/>
        </a:xfrm>
        <a:prstGeom prst="rect">
          <a:avLst/>
        </a:prstGeom>
        <a:solidFill>
          <a:srgbClr val="FFFFE1"/>
        </a:solidFill>
        <a:ln w="9525">
          <a:solidFill>
            <a:srgbClr val="000000"/>
          </a:solidFill>
        </a:ln>
      </xdr:spPr>
      <xdr:txBody>
        <a:bodyPr rtlCol="0"/>
        <a:lstStyle/>
        <a:p>
          <a:pPr algn="l"/>
          <a:r>
            <a:rPr/>
            <a:t>Format for non-button slicer text</a:t>
          </a:r>
        </a:p>
        <a:p>
          <a:pPr algn="l"/>
          <a:endParaRPr/>
        </a:p>
      </xdr:txBody>
    </xdr:sp>
    <xdr:clientData/>
  </xdr:twoCellAnchor>
  <xdr:twoCellAnchor editAs="absolute">
    <xdr:from>
      <xdr:col>12</xdr:col>
      <xdr:colOff>114300</xdr:colOff>
      <xdr:row>3</xdr:row>
      <xdr:rowOff>109220</xdr:rowOff>
    </xdr:from>
    <xdr:to>
      <xdr:col>13</xdr:col>
      <xdr:colOff>44867</xdr:colOff>
      <xdr:row>7</xdr:row>
      <xdr:rowOff>104140</xdr:rowOff>
    </xdr:to>
    <xdr:sp macro="" textlink="">
      <xdr:nvSpPr>
        <xdr:cNvPr id="5" name="Comment 4" hidden="1"/>
        <xdr:cNvSpPr txBox="1"/>
      </xdr:nvSpPr>
      <xdr:spPr>
        <a:xfrm>
          <a:off x="15623665" y="627380"/>
          <a:ext cx="1097280" cy="685800"/>
        </a:xfrm>
        <a:prstGeom prst="rect">
          <a:avLst/>
        </a:prstGeom>
        <a:solidFill>
          <a:srgbClr val="FFFFE1"/>
        </a:solidFill>
        <a:ln w="9525">
          <a:solidFill>
            <a:srgbClr val="000000"/>
          </a:solidFill>
        </a:ln>
      </xdr:spPr>
      <xdr:txBody>
        <a:bodyPr rtlCol="0"/>
        <a:lstStyle/>
        <a:p>
          <a:pPr algn="l"/>
          <a:r>
            <a:rPr/>
            <a:t>Default format for slicer buttons</a:t>
          </a:r>
        </a:p>
      </xdr:txBody>
    </xdr:sp>
    <xdr:clientData/>
  </xdr:twoCellAnchor>
  <xdr:twoCellAnchor editAs="absolute">
    <xdr:from>
      <xdr:col>13</xdr:col>
      <xdr:colOff>114300</xdr:colOff>
      <xdr:row>3</xdr:row>
      <xdr:rowOff>109220</xdr:rowOff>
    </xdr:from>
    <xdr:to>
      <xdr:col>14</xdr:col>
      <xdr:colOff>169913</xdr:colOff>
      <xdr:row>7</xdr:row>
      <xdr:rowOff>104140</xdr:rowOff>
    </xdr:to>
    <xdr:sp macro="" textlink="">
      <xdr:nvSpPr>
        <xdr:cNvPr id="6" name="Comment 5" hidden="1"/>
        <xdr:cNvSpPr txBox="1"/>
      </xdr:nvSpPr>
      <xdr:spPr>
        <a:xfrm>
          <a:off x="16790379" y="627380"/>
          <a:ext cx="1097280" cy="685800"/>
        </a:xfrm>
        <a:prstGeom prst="rect">
          <a:avLst/>
        </a:prstGeom>
        <a:solidFill>
          <a:srgbClr val="FFFFE1"/>
        </a:solidFill>
        <a:ln w="9525">
          <a:solidFill>
            <a:srgbClr val="000000"/>
          </a:solidFill>
        </a:ln>
      </xdr:spPr>
      <xdr:txBody>
        <a:bodyPr rtlCol="0"/>
        <a:lstStyle/>
        <a:p>
          <a:pPr algn="l"/>
          <a:r>
            <a:rPr/>
            <a:t>Display format for selected button</a:t>
          </a:r>
        </a:p>
      </xdr:txBody>
    </xdr:sp>
    <xdr:clientData/>
  </xdr:twoCellAnchor>
  <xdr:twoCellAnchor editAs="absolute">
    <xdr:from>
      <xdr:col>14</xdr:col>
      <xdr:colOff>114300</xdr:colOff>
      <xdr:row>3</xdr:row>
      <xdr:rowOff>109220</xdr:rowOff>
    </xdr:from>
    <xdr:to>
      <xdr:col>14</xdr:col>
      <xdr:colOff>1211580</xdr:colOff>
      <xdr:row>7</xdr:row>
      <xdr:rowOff>104140</xdr:rowOff>
    </xdr:to>
    <xdr:sp macro="" textlink="">
      <xdr:nvSpPr>
        <xdr:cNvPr id="7" name="Comment 6" hidden="1"/>
        <xdr:cNvSpPr txBox="1"/>
      </xdr:nvSpPr>
      <xdr:spPr>
        <a:xfrm>
          <a:off x="17832046" y="627380"/>
          <a:ext cx="1097280" cy="685800"/>
        </a:xfrm>
        <a:prstGeom prst="rect">
          <a:avLst/>
        </a:prstGeom>
        <a:solidFill>
          <a:srgbClr val="FFFFE1"/>
        </a:solidFill>
        <a:ln w="9525">
          <a:solidFill>
            <a:srgbClr val="000000"/>
          </a:solidFill>
        </a:ln>
      </xdr:spPr>
      <xdr:txBody>
        <a:bodyPr rtlCol="0"/>
        <a:lstStyle/>
        <a:p>
          <a:pPr algn="l"/>
          <a:r>
            <a:rPr/>
            <a:t>Display format for button when hovered over</a:t>
          </a:r>
        </a:p>
        <a:p>
          <a:pPr algn="l"/>
          <a:endParaRPr/>
        </a:p>
      </xdr:txBody>
    </xdr:sp>
    <xdr:clientData/>
  </xdr:twoCellAnchor>
  <xdr:twoCellAnchor editAs="absolute">
    <xdr:from>
      <xdr:col>15</xdr:col>
      <xdr:colOff>114300</xdr:colOff>
      <xdr:row>3</xdr:row>
      <xdr:rowOff>109220</xdr:rowOff>
    </xdr:from>
    <xdr:to>
      <xdr:col>16</xdr:col>
      <xdr:colOff>545050</xdr:colOff>
      <xdr:row>7</xdr:row>
      <xdr:rowOff>104140</xdr:rowOff>
    </xdr:to>
    <xdr:sp macro="" textlink="">
      <xdr:nvSpPr>
        <xdr:cNvPr id="8" name="Comment 7" hidden="1"/>
        <xdr:cNvSpPr txBox="1"/>
      </xdr:nvSpPr>
      <xdr:spPr>
        <a:xfrm>
          <a:off x="19165392" y="627380"/>
          <a:ext cx="1097280" cy="685800"/>
        </a:xfrm>
        <a:prstGeom prst="rect">
          <a:avLst/>
        </a:prstGeom>
        <a:solidFill>
          <a:srgbClr val="FFFFE1"/>
        </a:solidFill>
        <a:ln w="9525">
          <a:solidFill>
            <a:srgbClr val="000000"/>
          </a:solidFill>
        </a:ln>
      </xdr:spPr>
      <xdr:txBody>
        <a:bodyPr rtlCol="0"/>
        <a:lstStyle/>
        <a:p>
          <a:pPr algn="l"/>
          <a:r>
            <a:rPr/>
            <a:t>Background between the slicer buttons.</a:t>
          </a:r>
        </a:p>
      </xdr:txBody>
    </xdr:sp>
    <xdr:clientData/>
  </xdr:twoCellAnchor>
  <xdr:twoCellAnchor editAs="absolute">
    <xdr:from>
      <xdr:col>4</xdr:col>
      <xdr:colOff>114300</xdr:colOff>
      <xdr:row>22</xdr:row>
      <xdr:rowOff>109220</xdr:rowOff>
    </xdr:from>
    <xdr:to>
      <xdr:col>4</xdr:col>
      <xdr:colOff>1211580</xdr:colOff>
      <xdr:row>26</xdr:row>
      <xdr:rowOff>104140</xdr:rowOff>
    </xdr:to>
    <xdr:sp macro="" textlink="">
      <xdr:nvSpPr>
        <xdr:cNvPr id="9" name="Comment 8" hidden="1"/>
        <xdr:cNvSpPr txBox="1"/>
      </xdr:nvSpPr>
      <xdr:spPr>
        <a:xfrm>
          <a:off x="7322513" y="3563620"/>
          <a:ext cx="1097280" cy="685800"/>
        </a:xfrm>
        <a:prstGeom prst="rect">
          <a:avLst/>
        </a:prstGeom>
        <a:solidFill>
          <a:srgbClr val="FFFFE1"/>
        </a:solidFill>
        <a:ln w="9525">
          <a:solidFill>
            <a:srgbClr val="000000"/>
          </a:solidFill>
        </a:ln>
      </xdr:spPr>
      <xdr:txBody>
        <a:bodyPr rtlCol="0"/>
        <a:lstStyle/>
        <a:p>
          <a:pPr algn="l"/>
          <a:r>
            <a:rPr/>
            <a:t>Can use wildcard character - '*'</a:t>
          </a:r>
        </a:p>
        <a:p>
          <a:pPr algn="l"/>
          <a:endParaRPr/>
        </a:p>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_rels/sheet2.xml.rels>&#65279;<?xml version="1.0" encoding="utf-8"?><Relationships xmlns="http://schemas.openxmlformats.org/package/2006/relationships"><Relationship Id="rId1" Type="http://schemas.openxmlformats.org/officeDocument/2006/relationships/drawing" Target="../drawings/drawing2.xml" /></Relationships>
</file>

<file path=xl/worksheets/sheet1.xml><?xml version="1.0" encoding="utf-8"?>
<worksheet xmlns:r="http://schemas.openxmlformats.org/officeDocument/2006/relationships" xmlns="http://schemas.openxmlformats.org/spreadsheetml/2006/main">
  <sheetPr>
    <pageSetUpPr fitToPage="1"/>
  </sheetPr>
  <dimension ref="A1:K638"/>
  <sheetViews>
    <sheetView tabSelected="1" workbookViewId="0"/>
  </sheetViews>
  <sheetFormatPr defaultColWidth="11.42578125" defaultRowHeight="14.95"/>
  <cols>
    <col min="1" max="1" width="45.7109375" style="56" customWidth="1"/>
    <col min="2" max="7" width="11.7109375" customWidth="1"/>
    <col min="8" max="8" width="8.28515625" customWidth="1"/>
    <col min="9" max="9" width="7.140625" customWidth="1"/>
    <col min="10" max="10" width="7.85546875" customWidth="1"/>
    <col min="11" max="11" width="11.28515625" customWidth="1"/>
    <col min="12" max="12" width="9.85546875" customWidth="1"/>
    <col min="13" max="13" width="7.28515625" customWidth="1"/>
    <col min="14" max="14" width="11.28515625" customWidth="1"/>
    <col min="15" max="15" width="9.85546875" customWidth="1"/>
    <col min="16" max="16" width="7.28515625" customWidth="1"/>
    <col min="17" max="17" width="11.28515625" customWidth="1"/>
    <col min="18" max="18" width="7.28515625" customWidth="1"/>
    <col min="19" max="19" width="11.28515625" customWidth="1"/>
    <col min="20" max="20" width="9.85546875" customWidth="1"/>
    <col min="21" max="21" width="7.28515625" customWidth="1"/>
    <col min="22" max="22" width="11.28515625" customWidth="1"/>
    <col min="23" max="23" width="9.85546875" customWidth="1"/>
    <col min="24" max="24" width="7.28515625" customWidth="1"/>
    <col min="25" max="25" width="11.28515625" customWidth="1"/>
    <col min="26" max="26" width="17.140625" customWidth="1"/>
    <col min="27" max="27" width="6.7109375" customWidth="1"/>
    <col min="28" max="28" width="7.140625" customWidth="1"/>
    <col min="29" max="29" width="17.140625" customWidth="1"/>
    <col min="30" max="30" width="6.7109375" customWidth="1"/>
    <col min="31" max="31" width="7.140625" customWidth="1"/>
    <col min="32" max="32" width="17.140625" customWidth="1"/>
    <col min="33" max="33" width="6.7109375" customWidth="1"/>
    <col min="34" max="34" width="7.140625" customWidth="1"/>
  </cols>
  <sheetData>
    <row>
      <c s="8" t="s">
        <v>71</v>
      </c>
      <c s="8"/>
      <c s="8"/>
      <c s="8"/>
      <c s="8"/>
      <c s="6"/>
    </row>
    <row s="70" customFormat="1">
      <c s="11" t="s">
        <v>94</v>
      </c>
      <c s="11"/>
      <c s="11"/>
      <c s="11"/>
      <c s="11"/>
      <c s="42"/>
    </row>
    <row s="70" customFormat="1">
      <c s="26" t="s">
        <v>16</v>
      </c>
      <c s="11"/>
      <c s="11"/>
      <c s="11"/>
      <c s="11"/>
      <c s="42"/>
    </row>
    <row ht="45" customHeight="1" s="70" customFormat="1">
      <c s="3" t="s">
        <v>112</v>
      </c>
      <c s="3"/>
      <c s="3"/>
      <c s="3"/>
      <c s="3"/>
      <c s="3"/>
      <c s="3"/>
      <c s="3"/>
    </row>
    <row>
      <c s="45" t="s">
        <v>113</v>
      </c>
      <c s="10"/>
      <c s="10"/>
      <c s="10"/>
      <c s="10"/>
      <c s="10"/>
    </row>
    <row>
      <c s="26" t="s">
        <v>95</v>
      </c>
      <c s="12"/>
      <c s="12"/>
      <c s="12"/>
      <c s="12"/>
      <c s="6"/>
    </row>
    <row ht="16.5" customHeight="1">
      <c s="71"/>
      <c s="6"/>
      <c s="6"/>
      <c s="6"/>
      <c s="6"/>
      <c s="6"/>
    </row>
    <row>
      <c s="23" t="s">
        <v>49</v>
      </c>
      <c s="68" t="s">
        <v>48</v>
      </c>
      <c r="E8" s="6"/>
      <c s="6" t="s">
        <v>27</v>
      </c>
    </row>
    <row>
      <c s="23" t="s">
        <v>1</v>
      </c>
      <c s="68" t="s">
        <v>21</v>
      </c>
      <c r="F9" t="s">
        <v>27</v>
      </c>
    </row>
    <row>
      <c s="23" t="s">
        <v>0</v>
      </c>
      <c s="68" t="s">
        <v>21</v>
      </c>
      <c r="F10" t="s">
        <v>27</v>
      </c>
    </row>
    <row>
      <c s="23" t="s">
        <v>87</v>
      </c>
      <c s="68" t="s">
        <v>21</v>
      </c>
      <c r="F11" t="s">
        <v>27</v>
      </c>
    </row>
    <row>
      <c s="23" t="s">
        <v>59</v>
      </c>
      <c s="68" t="s">
        <v>21</v>
      </c>
      <c r="F12" t="s">
        <v>27</v>
      </c>
    </row>
    <row>
      <c s="23" t="s">
        <v>9</v>
      </c>
      <c s="68" t="s">
        <v>21</v>
      </c>
      <c r="F13" t="s">
        <v>27</v>
      </c>
    </row>
    <row>
      <c s="23" t="s">
        <v>97</v>
      </c>
      <c s="68" t="s">
        <v>21</v>
      </c>
      <c r="F14" t="s">
        <v>27</v>
      </c>
    </row>
    <row>
      <c s="23" t="s">
        <v>58</v>
      </c>
      <c s="68" t="s">
        <v>21</v>
      </c>
      <c r="F15" t="s">
        <v>27</v>
      </c>
    </row>
    <row>
      <c/>
    </row>
    <row>
      <c/>
    </row>
    <row ht="15" customHeight="1">
      <c/>
      <c s="9" t="s">
        <v>74</v>
      </c>
      <c s="9"/>
      <c s="9"/>
      <c s="9"/>
      <c s="9"/>
    </row>
    <row ht="15" customHeight="1">
      <c/>
      <c s="19" t="s">
        <v>10</v>
      </c>
      <c s="19"/>
      <c s="19"/>
      <c s="21" t="s">
        <v>80</v>
      </c>
      <c s="21"/>
    </row>
    <row>
      <c s="23" t="s">
        <v>96</v>
      </c>
      <c s="13" t="s">
        <v>8</v>
      </c>
      <c s="13" t="s">
        <v>41</v>
      </c>
      <c s="50" t="s">
        <v>21</v>
      </c>
      <c s="13" t="s">
        <v>8</v>
      </c>
      <c s="13" t="s">
        <v>41</v>
      </c>
    </row>
    <row>
      <c s="43" t="s">
        <v>47</v>
      </c>
      <c s="25">
        <v>91</v>
      </c>
      <c s="25">
        <v>43</v>
      </c>
      <c s="41">
        <v>134</v>
      </c>
      <c s="30">
        <v>0.67910447761194026</v>
      </c>
      <c s="30">
        <v>0.32089552238805968</v>
      </c>
    </row>
    <row>
      <c s="43" t="s">
        <v>117</v>
      </c>
      <c s="25">
        <v>10</v>
      </c>
      <c s="25">
        <v>6</v>
      </c>
      <c s="41">
        <v>16</v>
      </c>
      <c s="30">
        <v>0.625</v>
      </c>
      <c s="30">
        <v>0.375</v>
      </c>
    </row>
    <row>
      <c s="43" t="s">
        <v>46</v>
      </c>
      <c s="25">
        <v>2</v>
      </c>
      <c s="25">
        <v>1</v>
      </c>
      <c s="41">
        <v>3</v>
      </c>
      <c s="30">
        <v>0.66666666666666663</v>
      </c>
      <c s="30">
        <v>0.33333333333333331</v>
      </c>
    </row>
    <row>
      <c s="43" t="s">
        <v>18</v>
      </c>
      <c s="25">
        <v>48</v>
      </c>
      <c s="25">
        <v>41</v>
      </c>
      <c s="41">
        <v>89</v>
      </c>
      <c s="30">
        <v>0.5393258426966292</v>
      </c>
      <c s="30">
        <v>0.4606741573033708</v>
      </c>
    </row>
    <row>
      <c s="43" t="s">
        <v>45</v>
      </c>
      <c s="25">
        <v>9</v>
      </c>
      <c s="25">
        <v>3</v>
      </c>
      <c s="41">
        <v>12</v>
      </c>
      <c s="30">
        <v>0.75</v>
      </c>
      <c s="30">
        <v>0.25</v>
      </c>
    </row>
    <row>
      <c s="43" t="s">
        <v>24</v>
      </c>
      <c s="25">
        <v>4376</v>
      </c>
      <c s="25">
        <v>4868</v>
      </c>
      <c s="41">
        <v>9244</v>
      </c>
      <c s="30">
        <v>0.47338814366075294</v>
      </c>
      <c s="30">
        <v>0.52661185633924712</v>
      </c>
    </row>
    <row>
      <c s="43" t="s">
        <v>116</v>
      </c>
      <c s="25">
        <v>5116</v>
      </c>
      <c s="25">
        <v>4278</v>
      </c>
      <c s="41">
        <v>9394</v>
      </c>
      <c s="30">
        <v>0.54460293804556104</v>
      </c>
      <c s="30">
        <v>0.45539706195443902</v>
      </c>
    </row>
    <row>
      <c s="43" t="s">
        <v>79</v>
      </c>
      <c s="25">
        <v>468</v>
      </c>
      <c s="25">
        <v>41</v>
      </c>
      <c s="41">
        <v>509</v>
      </c>
      <c s="30">
        <v>0.91944990176817287</v>
      </c>
      <c s="30">
        <v>0.080550098231827114</v>
      </c>
    </row>
    <row>
      <c s="43" t="s">
        <v>127</v>
      </c>
      <c s="25">
        <v>28</v>
      </c>
      <c s="25">
        <v>2</v>
      </c>
      <c s="41">
        <v>30</v>
      </c>
      <c s="30">
        <v>0.93333333333333335</v>
      </c>
      <c s="30">
        <v>0.066666666666666666</v>
      </c>
    </row>
    <row>
      <c s="43" t="s">
        <v>44</v>
      </c>
      <c s="25">
        <v>41</v>
      </c>
      <c s="25">
        <v>26</v>
      </c>
      <c s="41">
        <v>67</v>
      </c>
      <c s="30">
        <v>0.61194029850746268</v>
      </c>
      <c s="30">
        <v>0.38805970149253732</v>
      </c>
    </row>
    <row>
      <c s="43" t="s">
        <v>54</v>
      </c>
      <c s="25">
        <v>9</v>
      </c>
      <c s="25">
        <v>8</v>
      </c>
      <c s="41">
        <v>17</v>
      </c>
      <c s="30">
        <v>0.52941176470588236</v>
      </c>
      <c s="30">
        <v>0.47058823529411764</v>
      </c>
    </row>
    <row>
      <c s="43" t="s">
        <v>73</v>
      </c>
      <c s="25"/>
      <c s="25">
        <v>2</v>
      </c>
      <c s="41">
        <v>2</v>
      </c>
      <c s="30"/>
      <c s="30">
        <v>1</v>
      </c>
    </row>
    <row>
      <c s="43" t="s">
        <v>40</v>
      </c>
      <c s="25">
        <v>523</v>
      </c>
      <c s="25">
        <v>659</v>
      </c>
      <c s="41">
        <v>1182</v>
      </c>
      <c s="30">
        <v>0.44247038917089676</v>
      </c>
      <c s="30">
        <v>0.55752961082910324</v>
      </c>
    </row>
    <row>
      <c s="43" t="s">
        <v>53</v>
      </c>
      <c s="25">
        <v>32</v>
      </c>
      <c s="25">
        <v>36</v>
      </c>
      <c s="41">
        <v>68</v>
      </c>
      <c s="30">
        <v>0.47058823529411764</v>
      </c>
      <c s="30">
        <v>0.52941176470588236</v>
      </c>
    </row>
    <row>
      <c s="43" t="s">
        <v>115</v>
      </c>
      <c s="25"/>
      <c s="25">
        <v>2</v>
      </c>
      <c s="41">
        <v>2</v>
      </c>
      <c s="30"/>
      <c s="30">
        <v>1</v>
      </c>
    </row>
    <row>
      <c s="43" t="s">
        <v>39</v>
      </c>
      <c s="25">
        <v>52</v>
      </c>
      <c s="25">
        <v>73</v>
      </c>
      <c s="41">
        <v>125</v>
      </c>
      <c s="30">
        <v>0.41599999999999998</v>
      </c>
      <c s="30">
        <v>0.58399999999999996</v>
      </c>
    </row>
    <row>
      <c s="43" t="s">
        <v>52</v>
      </c>
      <c s="25">
        <v>395</v>
      </c>
      <c s="25">
        <v>320</v>
      </c>
      <c s="41">
        <v>715</v>
      </c>
      <c s="30">
        <v>0.55244755244755239</v>
      </c>
      <c s="30">
        <v>0.44755244755244755</v>
      </c>
    </row>
    <row>
      <c s="43" t="s">
        <v>38</v>
      </c>
      <c s="25">
        <v>4642</v>
      </c>
      <c s="25">
        <v>2429</v>
      </c>
      <c s="41">
        <v>7071</v>
      </c>
      <c s="30">
        <v>0.65648423136755762</v>
      </c>
      <c s="30">
        <v>0.34351576863244238</v>
      </c>
    </row>
    <row>
      <c s="43" t="s">
        <v>99</v>
      </c>
      <c s="25">
        <v>115</v>
      </c>
      <c s="25">
        <v>86</v>
      </c>
      <c s="41">
        <v>201</v>
      </c>
      <c s="30">
        <v>0.57213930348258701</v>
      </c>
      <c s="30">
        <v>0.42786069651741293</v>
      </c>
    </row>
    <row>
      <c s="43" t="s">
        <v>121</v>
      </c>
      <c s="25">
        <v>162</v>
      </c>
      <c s="25">
        <v>105</v>
      </c>
      <c s="41">
        <v>267</v>
      </c>
      <c s="30">
        <v>0.6067415730337079</v>
      </c>
      <c s="30">
        <v>0.39325842696629215</v>
      </c>
    </row>
    <row>
      <c s="43" t="s">
        <v>114</v>
      </c>
      <c s="25">
        <v>2241</v>
      </c>
      <c s="25">
        <v>449</v>
      </c>
      <c s="41">
        <v>2690</v>
      </c>
      <c s="30">
        <v>0.83308550185873609</v>
      </c>
      <c s="30">
        <v>0.16691449814126394</v>
      </c>
    </row>
    <row>
      <c s="43" t="s">
        <v>51</v>
      </c>
      <c s="25">
        <v>1086</v>
      </c>
      <c s="25">
        <v>2950</v>
      </c>
      <c s="41">
        <v>4036</v>
      </c>
      <c s="30">
        <v>0.26907829534192268</v>
      </c>
      <c s="30">
        <v>0.73092170465807726</v>
      </c>
    </row>
    <row>
      <c s="43" t="s">
        <v>29</v>
      </c>
      <c s="25">
        <v>1760</v>
      </c>
      <c s="25">
        <v>1199</v>
      </c>
      <c s="41">
        <v>2959</v>
      </c>
      <c s="30">
        <v>0.59479553903345728</v>
      </c>
      <c s="30">
        <v>0.40520446096654272</v>
      </c>
    </row>
    <row>
      <c s="43" t="s">
        <v>90</v>
      </c>
      <c s="25">
        <v>113</v>
      </c>
      <c s="25">
        <v>76</v>
      </c>
      <c s="41">
        <v>189</v>
      </c>
      <c s="30">
        <v>0.59788359788359791</v>
      </c>
      <c s="30">
        <v>0.40211640211640209</v>
      </c>
    </row>
    <row>
      <c s="43" t="s">
        <v>12</v>
      </c>
      <c s="25">
        <v>133</v>
      </c>
      <c s="25">
        <v>91</v>
      </c>
      <c s="41">
        <v>224</v>
      </c>
      <c s="30">
        <v>0.59375</v>
      </c>
      <c s="30">
        <v>0.40625</v>
      </c>
    </row>
    <row>
      <c s="43" t="s">
        <v>72</v>
      </c>
      <c s="25">
        <v>45</v>
      </c>
      <c s="25">
        <v>44</v>
      </c>
      <c s="41">
        <v>89</v>
      </c>
      <c s="30">
        <v>0.5056179775280899</v>
      </c>
      <c s="30">
        <v>0.4943820224719101</v>
      </c>
    </row>
    <row>
      <c s="43" t="s">
        <v>11</v>
      </c>
      <c s="25">
        <v>19</v>
      </c>
      <c s="25">
        <v>8</v>
      </c>
      <c s="41">
        <v>27</v>
      </c>
      <c s="30">
        <v>0.70370370370370372</v>
      </c>
      <c s="30">
        <v>0.29629629629629628</v>
      </c>
    </row>
    <row>
      <c s="43" t="s">
        <v>120</v>
      </c>
      <c s="25">
        <v>305</v>
      </c>
      <c s="25">
        <v>237</v>
      </c>
      <c s="41">
        <v>542</v>
      </c>
      <c s="30">
        <v>0.5627306273062731</v>
      </c>
      <c s="30">
        <v>0.43726937269372695</v>
      </c>
    </row>
    <row>
      <c s="43" t="s">
        <v>37</v>
      </c>
      <c s="25">
        <v>29</v>
      </c>
      <c s="25">
        <v>39</v>
      </c>
      <c s="41">
        <v>68</v>
      </c>
      <c s="30">
        <v>0.4264705882352941</v>
      </c>
      <c s="30">
        <v>0.57352941176470584</v>
      </c>
    </row>
    <row>
      <c s="43" t="s">
        <v>64</v>
      </c>
      <c s="25">
        <v>25</v>
      </c>
      <c s="25">
        <v>7</v>
      </c>
      <c s="41">
        <v>32</v>
      </c>
      <c s="30">
        <v>0.78125</v>
      </c>
      <c s="30">
        <v>0.21875</v>
      </c>
    </row>
    <row>
      <c s="43" t="s">
        <v>89</v>
      </c>
      <c s="25">
        <v>32</v>
      </c>
      <c s="25">
        <v>31</v>
      </c>
      <c s="41">
        <v>63</v>
      </c>
      <c s="30">
        <v>0.50793650793650791</v>
      </c>
      <c s="30">
        <v>0.49206349206349204</v>
      </c>
    </row>
    <row>
      <c s="43" t="s">
        <v>23</v>
      </c>
      <c s="25">
        <v>6</v>
      </c>
      <c s="25">
        <v>11</v>
      </c>
      <c s="41">
        <v>17</v>
      </c>
      <c s="30">
        <v>0.35294117647058826</v>
      </c>
      <c s="30">
        <v>0.6470588235294118</v>
      </c>
    </row>
    <row>
      <c s="43" t="s">
        <v>88</v>
      </c>
      <c s="25">
        <v>311</v>
      </c>
      <c s="25">
        <v>236</v>
      </c>
      <c s="41">
        <v>547</v>
      </c>
      <c s="30">
        <v>0.56855575868372943</v>
      </c>
      <c s="30">
        <v>0.43144424131627057</v>
      </c>
    </row>
    <row>
      <c s="43" t="s">
        <v>63</v>
      </c>
      <c s="25">
        <v>3</v>
      </c>
      <c s="25"/>
      <c s="41">
        <v>3</v>
      </c>
      <c s="30">
        <v>1</v>
      </c>
      <c s="30"/>
    </row>
    <row>
      <c s="43" t="s">
        <v>43</v>
      </c>
      <c s="25">
        <v>18</v>
      </c>
      <c s="25">
        <v>22</v>
      </c>
      <c s="41">
        <v>40</v>
      </c>
      <c s="30">
        <v>0.45000000000000001</v>
      </c>
      <c s="30">
        <v>0.55000000000000004</v>
      </c>
    </row>
    <row>
      <c s="43" t="s">
        <v>62</v>
      </c>
      <c s="25">
        <v>2</v>
      </c>
      <c s="25">
        <v>1</v>
      </c>
      <c s="41">
        <v>3</v>
      </c>
      <c s="30">
        <v>0.66666666666666663</v>
      </c>
      <c s="30">
        <v>0.33333333333333331</v>
      </c>
    </row>
    <row>
      <c s="43" t="s">
        <v>86</v>
      </c>
      <c s="25">
        <v>23</v>
      </c>
      <c s="25">
        <v>12</v>
      </c>
      <c s="41">
        <v>35</v>
      </c>
      <c s="30">
        <v>0.65714285714285714</v>
      </c>
      <c s="30">
        <v>0.34285714285714286</v>
      </c>
    </row>
    <row>
      <c s="43" t="s">
        <v>36</v>
      </c>
      <c s="25">
        <v>413</v>
      </c>
      <c s="25">
        <v>438</v>
      </c>
      <c s="41">
        <v>851</v>
      </c>
      <c s="30">
        <v>0.48531139835487663</v>
      </c>
      <c s="30">
        <v>0.51468860164512342</v>
      </c>
    </row>
    <row>
      <c s="43" t="s">
        <v>98</v>
      </c>
      <c s="25">
        <v>113</v>
      </c>
      <c s="25">
        <v>56</v>
      </c>
      <c s="41">
        <v>169</v>
      </c>
      <c s="30">
        <v>0.66863905325443784</v>
      </c>
      <c s="30">
        <v>0.33136094674556216</v>
      </c>
    </row>
    <row>
      <c s="43" t="s">
        <v>22</v>
      </c>
      <c s="25">
        <v>2817</v>
      </c>
      <c s="25">
        <v>1579</v>
      </c>
      <c s="41">
        <v>4396</v>
      </c>
      <c s="30">
        <v>0.64080982711555956</v>
      </c>
      <c s="30">
        <v>0.35919017288444038</v>
      </c>
    </row>
    <row>
      <c s="43" t="s">
        <v>61</v>
      </c>
      <c s="25">
        <v>2833</v>
      </c>
      <c s="25">
        <v>2954</v>
      </c>
      <c s="41">
        <v>5787</v>
      </c>
      <c s="30">
        <v>0.4895455330914118</v>
      </c>
      <c s="30">
        <v>0.5104544669085882</v>
      </c>
    </row>
    <row>
      <c s="43" t="s">
        <v>60</v>
      </c>
      <c s="25">
        <v>8</v>
      </c>
      <c s="25">
        <v>18</v>
      </c>
      <c s="41">
        <v>26</v>
      </c>
      <c s="30">
        <v>0.30769230769230771</v>
      </c>
      <c s="30">
        <v>0.69230769230769229</v>
      </c>
    </row>
    <row>
      <c s="43" t="s">
        <v>119</v>
      </c>
      <c s="25">
        <v>1</v>
      </c>
      <c s="25">
        <v>2</v>
      </c>
      <c s="41">
        <v>3</v>
      </c>
      <c s="30">
        <v>0.33333333333333331</v>
      </c>
      <c s="30">
        <v>0.66666666666666663</v>
      </c>
    </row>
    <row>
      <c s="43" t="s">
        <v>111</v>
      </c>
      <c s="25">
        <v>4345</v>
      </c>
      <c s="25">
        <v>2365</v>
      </c>
      <c s="41">
        <v>6710</v>
      </c>
      <c s="30">
        <v>0.64754098360655743</v>
      </c>
      <c s="30">
        <v>0.35245901639344263</v>
      </c>
    </row>
    <row>
      <c s="43" t="s">
        <v>2</v>
      </c>
      <c s="25">
        <v>6</v>
      </c>
      <c s="25">
        <v>6</v>
      </c>
      <c s="41">
        <v>12</v>
      </c>
      <c s="30">
        <v>0.5</v>
      </c>
      <c s="30">
        <v>0.5</v>
      </c>
    </row>
    <row>
      <c s="43" t="s">
        <v>81</v>
      </c>
      <c s="25">
        <v>1</v>
      </c>
      <c s="25"/>
      <c s="41">
        <v>1</v>
      </c>
      <c s="30">
        <v>1</v>
      </c>
      <c s="30"/>
    </row>
    <row>
      <c s="43" t="s">
        <v>17</v>
      </c>
      <c s="25"/>
      <c s="25">
        <v>1</v>
      </c>
      <c s="41">
        <v>1</v>
      </c>
      <c s="30"/>
      <c s="30">
        <v>1</v>
      </c>
    </row>
    <row>
      <c s="43" t="s">
        <v>50</v>
      </c>
      <c s="25">
        <v>35</v>
      </c>
      <c s="25">
        <v>50</v>
      </c>
      <c s="41">
        <v>85</v>
      </c>
      <c s="30">
        <v>0.41176470588235292</v>
      </c>
      <c s="30">
        <v>0.58823529411764708</v>
      </c>
    </row>
    <row>
      <c s="43" t="s">
        <v>28</v>
      </c>
      <c s="25">
        <v>523</v>
      </c>
      <c s="25">
        <v>328</v>
      </c>
      <c s="41">
        <v>851</v>
      </c>
      <c s="30">
        <v>0.61457109283196243</v>
      </c>
      <c s="30">
        <v>0.38542890716803763</v>
      </c>
    </row>
    <row>
      <c s="64" t="s">
        <v>21</v>
      </c>
      <c s="16">
        <v>33365</v>
      </c>
      <c s="16">
        <v>26239</v>
      </c>
      <c s="16">
        <v>59604</v>
      </c>
      <c s="22">
        <v>0.55977786725723111</v>
      </c>
      <c s="22">
        <v>0.44022213274276895</v>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s="1"/>
      <c s="1"/>
      <c s="1"/>
      <c s="1"/>
      <c s="1"/>
      <c s="1"/>
      <c s="1"/>
      <c s="1"/>
      <c s="1"/>
      <c s="1"/>
      <c s="1"/>
    </row>
    <row>
      <c s="1"/>
      <c s="1"/>
      <c s="1"/>
      <c s="1"/>
      <c s="1"/>
      <c s="1"/>
      <c s="1"/>
      <c s="1"/>
      <c s="1"/>
      <c s="1"/>
      <c s="1"/>
    </row>
    <row>
      <c s="1"/>
      <c s="1"/>
      <c s="1"/>
      <c s="1"/>
      <c s="1"/>
      <c s="1"/>
      <c s="1"/>
      <c s="1"/>
      <c s="1"/>
      <c s="1"/>
      <c s="1"/>
    </row>
    <row>
      <c s="35"/>
      <c s="2"/>
      <c s="2"/>
      <c s="2"/>
      <c s="2"/>
      <c s="2"/>
      <c s="2"/>
      <c s="2"/>
      <c s="2"/>
      <c s="2"/>
      <c s="1"/>
    </row>
    <row>
      <c s="1"/>
      <c s="1"/>
      <c s="1"/>
      <c s="1"/>
      <c s="1"/>
      <c s="1"/>
      <c s="1"/>
      <c s="1"/>
      <c s="1"/>
      <c s="1"/>
      <c s="1"/>
    </row>
    <row>
      <c s="1"/>
      <c s="1"/>
      <c s="1"/>
      <c s="1"/>
      <c s="1"/>
      <c s="1"/>
      <c s="1"/>
      <c s="1"/>
      <c s="1"/>
      <c s="1"/>
      <c s="1"/>
    </row>
    <row>
      <c s="1"/>
      <c s="1"/>
      <c s="1"/>
      <c s="1"/>
      <c s="1"/>
      <c s="1"/>
      <c s="1"/>
      <c s="1"/>
      <c s="1"/>
      <c s="1"/>
      <c s="1"/>
    </row>
    <row>
      <c s="1"/>
      <c s="1"/>
      <c s="1"/>
      <c s="1"/>
      <c s="1"/>
      <c s="1"/>
      <c s="1"/>
      <c s="1"/>
      <c s="1"/>
      <c s="1"/>
      <c s="1"/>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row>
      <c/>
    </row>
  </sheetData>
  <mergeCells count="4">
    <mergeCell ref="A4:H4"/>
    <mergeCell ref="B18:F18"/>
    <mergeCell ref="B19:D19"/>
    <mergeCell ref="E19:F19"/>
  </mergeCells>
  <pageMargins left="0.70866141732283472" right="0.70866141732283472" top="0.78740157480314965" bottom="0.78740157480314965" header="0.31496062992125984" footer="0.31496062992125984"/>
  <pageSetup paperSize="9" scale="84" fitToHeight="2" orientation="landscape"/>
  <headerFooter>
    <oddHeader>&amp;L&amp;"Tahoma,Standard"&amp;10unidata.gv.at&amp;R&amp;"Tahoma,Standard"&amp;10&amp;D</oddHeader>
    <oddFooter>&amp;R&amp;"Tahoma,Standard"&amp;10&amp;P/&amp;N</oddFooter>
  </headerFooter>
  <rowBreaks count="1" manualBreakCount="1">
    <brk id="41" max="16383" man="1"/>
  </rowBreaks>
  <drawing r:id="rId1"/>
</worksheet>
</file>

<file path=xl/worksheets/sheet2.xml><?xml version="1.0" encoding="utf-8"?>
<worksheet xmlns:r="http://schemas.openxmlformats.org/officeDocument/2006/relationships" xmlns="http://schemas.openxmlformats.org/spreadsheetml/2006/main">
  <dimension ref="A1:Z32"/>
  <sheetViews>
    <sheetView workbookViewId="0">
      <selection activeCell="E31" sqref="E31"/>
    </sheetView>
  </sheetViews>
  <sheetFormatPr defaultColWidth="9.140625" defaultRowHeight="13.6"/>
  <cols>
    <col min="1" max="1" width="13.5703125" style="27" customWidth="1"/>
    <col min="2" max="2" width="40.85546875" style="27" customWidth="1"/>
    <col min="3" max="3" width="28.140625" style="27" customWidth="1"/>
    <col min="4" max="4" width="16.28515625" style="27" customWidth="1"/>
    <col min="5" max="5" width="19.42578125" style="27" customWidth="1"/>
    <col min="6" max="6" width="11.140625" style="27" customWidth="1"/>
    <col min="7" max="7" width="9.140625" style="27" customWidth="1"/>
    <col min="8" max="8" width="17.28515625" style="27" customWidth="1"/>
    <col min="9" max="9" width="19.5703125" style="27" customWidth="1"/>
    <col min="10" max="12" width="12.42578125" style="27" customWidth="1"/>
    <col min="13" max="13" width="16" style="27" customWidth="1"/>
    <col min="14" max="14" width="14.28515625" style="27" customWidth="1"/>
    <col min="15" max="15" width="18.28515625" style="27" customWidth="1"/>
    <col min="16" max="25" width="9.140625" style="27" customWidth="1"/>
    <col min="26" max="26" width="9.140625" style="27" hidden="1" customWidth="1"/>
    <col min="27" max="27" width="9.140625" style="27" customWidth="1"/>
    <col min="28" max="16384" width="9.140625" style="27"/>
  </cols>
  <sheetData>
    <row>
      <c s="60"/>
      <c r="H1" s="63">
        <v>129806172700000000</v>
      </c>
      <c r="Z1" s="65" t="b">
        <f>0=1</f>
        <v>0</v>
      </c>
    </row>
    <row>
      <c r="Z2" s="65" t="b">
        <f>1=1</f>
        <v>1</v>
      </c>
    </row>
    <row>
      <c r="Z3" s="65"/>
    </row>
    <row>
      <c r="I4" s="27" t="s">
        <v>42</v>
      </c>
      <c s="62" t="s">
        <v>91</v>
      </c>
      <c s="7"/>
      <c s="7"/>
      <c s="7"/>
      <c s="7"/>
      <c s="7"/>
    </row>
    <row>
      <c r="J5" s="24" t="s">
        <v>30</v>
      </c>
      <c s="17" t="s">
        <v>65</v>
      </c>
      <c s="17" t="s">
        <v>82</v>
      </c>
      <c s="24" t="s">
        <v>122</v>
      </c>
      <c s="51" t="s">
        <v>100</v>
      </c>
      <c s="17" t="s">
        <v>3</v>
      </c>
    </row>
    <row>
      <c r="B6" s="28" t="s">
        <v>101</v>
      </c>
      <c s="14" t="s">
        <v>107</v>
      </c>
      <c s="38" t="s">
        <v>13</v>
      </c>
      <c s="5" t="s">
        <v>66</v>
      </c>
    </row>
    <row>
      <c r="C7" s="18"/>
      <c s="29" t="s">
        <v>14</v>
      </c>
      <c s="5" t="s">
        <v>75</v>
      </c>
    </row>
    <row>
      <c r="C8" s="29" t="s">
        <v>4</v>
      </c>
      <c s="18"/>
    </row>
    <row>
      <c r="C9" s="18"/>
      <c s="14" t="s">
        <v>31</v>
      </c>
      <c s="72"/>
    </row>
    <row>
      <c r="C10" s="14" t="s">
        <v>55</v>
      </c>
      <c s="36" t="s">
        <v>83</v>
      </c>
      <c s="5" t="s">
        <v>19</v>
      </c>
    </row>
    <row>
      <c r="B11" s="28" t="s">
        <v>67</v>
      </c>
      <c s="67" t="s">
        <v>56</v>
      </c>
      <c s="69">
        <v>60398</v>
      </c>
      <c s="5" t="s">
        <v>32</v>
      </c>
    </row>
    <row>
      <c r="B12" s="28"/>
      <c s="33"/>
      <c s="49"/>
      <c s="59" t="s">
        <v>92</v>
      </c>
    </row>
    <row>
      <c r="B13" s="28" t="s">
        <v>57</v>
      </c>
      <c s="47" t="s">
        <v>25</v>
      </c>
      <c s="55">
        <v>1212</v>
      </c>
      <c s="27" t="b">
        <v>0</v>
      </c>
      <c s="5" t="s">
        <v>84</v>
      </c>
    </row>
    <row ht="12.75" hidden="1">
      <c r="B14" s="28"/>
      <c s="47"/>
      <c s="46"/>
      <c s="27" t="b">
        <v>0</v>
      </c>
    </row>
    <row>
      <c r="B15" s="28" t="s">
        <v>108</v>
      </c>
      <c s="27" t="s">
        <v>118</v>
      </c>
      <c s="34">
        <v>1212</v>
      </c>
      <c s="27" t="b">
        <v>0</v>
      </c>
      <c s="5" t="s">
        <v>26</v>
      </c>
    </row>
    <row ht="12.75" hidden="1">
      <c r="B16" s="28"/>
      <c r="D16" s="15"/>
      <c s="27" t="b">
        <v>0</v>
      </c>
      <c s="5"/>
    </row>
    <row>
      <c r="B17" s="28"/>
      <c s="27" t="s">
        <v>33</v>
      </c>
      <c s="40">
        <v>3434</v>
      </c>
      <c s="27" t="b">
        <v>0</v>
      </c>
      <c s="5" t="s">
        <v>85</v>
      </c>
    </row>
    <row>
      <c r="B18" s="28"/>
      <c r="D18" s="15"/>
      <c s="27" t="b">
        <v>0</v>
      </c>
      <c s="5"/>
    </row>
    <row>
      <c r="B19" s="28"/>
      <c s="27" t="s">
        <v>5</v>
      </c>
      <c s="52">
        <v>3434</v>
      </c>
      <c s="27" t="b">
        <v>0</v>
      </c>
      <c s="5" t="s">
        <v>102</v>
      </c>
    </row>
    <row>
      <c r="B20" s="28"/>
      <c r="D20" s="15"/>
      <c s="27" t="b">
        <v>0</v>
      </c>
      <c s="5"/>
    </row>
    <row>
      <c r="B21" s="28"/>
      <c s="27" t="s">
        <v>103</v>
      </c>
      <c s="58">
        <v>5656</v>
      </c>
      <c s="27" t="b">
        <v>0</v>
      </c>
      <c s="5" t="s">
        <v>123</v>
      </c>
    </row>
    <row>
      <c r="B22" s="28"/>
      <c r="E22" s="5"/>
      <c r="I22" s="61"/>
    </row>
    <row>
      <c r="B23" s="31" t="s">
        <v>6</v>
      </c>
      <c s="31"/>
    </row>
    <row>
      <c r="B24" s="4" t="s">
        <v>68</v>
      </c>
      <c s="4" t="s">
        <v>34</v>
      </c>
      <c s="4" t="s">
        <v>15</v>
      </c>
      <c s="4" t="s">
        <v>104</v>
      </c>
      <c s="4"/>
      <c s="4"/>
      <c s="4" t="s">
        <v>124</v>
      </c>
    </row>
    <row>
      <c s="27" t="s">
        <v>76</v>
      </c>
      <c r="C25" s="44" t="s">
        <v>69</v>
      </c>
      <c s="20" t="s">
        <v>109</v>
      </c>
      <c s="20">
        <v>1234.5599999999999</v>
      </c>
      <c s="5" t="s">
        <v>93</v>
      </c>
      <c r="H25" s="27" t="s">
        <v>105</v>
      </c>
    </row>
    <row>
      <c s="27" t="s">
        <v>110</v>
      </c>
      <c r="C26" s="44" t="s">
        <v>69</v>
      </c>
      <c s="32" t="s">
        <v>109</v>
      </c>
      <c s="20">
        <v>1234.5599999999999</v>
      </c>
      <c s="5" t="s">
        <v>77</v>
      </c>
      <c r="H26" s="27" t="s">
        <v>125</v>
      </c>
    </row>
    <row>
      <c r="C27" s="44" t="s">
        <v>69</v>
      </c>
      <c s="32" t="s">
        <v>109</v>
      </c>
      <c s="20">
        <v>1234.5599999999999</v>
      </c>
      <c r="H27" s="27" t="s">
        <v>78</v>
      </c>
    </row>
    <row>
      <c r="C28" s="53" t="s">
        <v>7</v>
      </c>
      <c s="32" t="s">
        <v>10</v>
      </c>
      <c s="20">
        <v>1234.5599999999999</v>
      </c>
      <c r="H28" s="27" t="s">
        <v>35</v>
      </c>
    </row>
    <row>
      <c r="C29" s="53" t="s">
        <v>7</v>
      </c>
      <c s="39" t="s">
        <v>80</v>
      </c>
      <c s="66">
        <v>1234.5599999999999</v>
      </c>
      <c r="H29" s="27" t="s">
        <v>126</v>
      </c>
    </row>
    <row>
      <c r="C30" s="53" t="s">
        <v>106</v>
      </c>
      <c s="37" t="s">
        <v>21</v>
      </c>
      <c s="48">
        <v>1234.5599999999999</v>
      </c>
    </row>
    <row>
      <c r="C31" s="53" t="s">
        <v>69</v>
      </c>
      <c s="32" t="s">
        <v>70</v>
      </c>
      <c s="20">
        <v>1234.5599999999999</v>
      </c>
    </row>
    <row>
      <c r="C32" s="53" t="s">
        <v>20</v>
      </c>
      <c s="54" t="s">
        <v>21</v>
      </c>
      <c s="57">
        <v>1234.5599999999999</v>
      </c>
    </row>
  </sheetData>
  <mergeCells count="2">
    <mergeCell ref="J4:O4"/>
    <mergeCell ref="B23:C23"/>
  </mergeCells>
  <dataValidations count="1">
    <dataValidation type="list" allowBlank="1" showInputMessage="1" showErrorMessage="1" sqref="E13:E21">
      <formula1>$Z$1:$Z$2</formula1>
    </dataValidation>
  </dataValidations>
  <pageMargins left="0.7" right="0.7" top="0.787401575" bottom="0.787401575" header="0.3" footer="0.3"/>
  <pageSetup paperSize="9" orientation="portrait"/>
  <drawing r:id="rId1"/>
</worksheet>
</file>